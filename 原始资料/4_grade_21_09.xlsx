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otn\Desktop\"/>
    </mc:Choice>
  </mc:AlternateContent>
  <xr:revisionPtr revIDLastSave="0" documentId="13_ncr:1_{1CBC2A60-61F8-46B3-992D-6F7E93AA393B}" xr6:coauthVersionLast="47" xr6:coauthVersionMax="47" xr10:uidLastSave="{00000000-0000-0000-0000-000000000000}"/>
  <bookViews>
    <workbookView xWindow="-110" yWindow="-110" windowWidth="25820" windowHeight="15620" activeTab="1" xr2:uid="{967F7315-F6F3-430D-B87C-839C4F86BE98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5" i="2" l="1"/>
  <c r="N407" i="2"/>
  <c r="N420" i="2"/>
  <c r="N419" i="2"/>
  <c r="N418" i="2"/>
  <c r="N406" i="2"/>
  <c r="N408" i="2"/>
  <c r="N409" i="2"/>
  <c r="N410" i="2"/>
  <c r="N411" i="2"/>
  <c r="N412" i="2"/>
  <c r="N425" i="2" s="1"/>
  <c r="N413" i="2"/>
  <c r="N414" i="2"/>
  <c r="N415" i="2"/>
  <c r="N416" i="2"/>
  <c r="N417" i="2"/>
  <c r="N421" i="2"/>
  <c r="N422" i="2"/>
  <c r="N423" i="2"/>
  <c r="N424" i="2"/>
  <c r="N405" i="2"/>
  <c r="M406" i="2"/>
  <c r="M407" i="2"/>
  <c r="M408" i="2"/>
  <c r="M409" i="2"/>
  <c r="M410" i="2"/>
  <c r="M411" i="2"/>
  <c r="M413" i="2"/>
  <c r="M414" i="2"/>
  <c r="M415" i="2"/>
  <c r="M416" i="2"/>
  <c r="M417" i="2"/>
  <c r="M418" i="2"/>
  <c r="M419" i="2"/>
  <c r="M420" i="2"/>
  <c r="M422" i="2"/>
  <c r="M423" i="2"/>
  <c r="M424" i="2"/>
  <c r="M405" i="2"/>
  <c r="L424" i="2"/>
  <c r="L406" i="2"/>
  <c r="L407" i="2"/>
  <c r="L408" i="2"/>
  <c r="L409" i="2"/>
  <c r="L410" i="2"/>
  <c r="L411" i="2"/>
  <c r="L413" i="2"/>
  <c r="L414" i="2"/>
  <c r="L415" i="2"/>
  <c r="L416" i="2"/>
  <c r="L417" i="2"/>
  <c r="L418" i="2"/>
  <c r="L419" i="2"/>
  <c r="L420" i="2"/>
  <c r="L422" i="2"/>
  <c r="L423" i="2"/>
  <c r="L405" i="2"/>
  <c r="J421" i="2"/>
  <c r="L421" i="2" s="1"/>
  <c r="M421" i="2" s="1"/>
  <c r="J422" i="2"/>
  <c r="J423" i="2"/>
  <c r="J424" i="2"/>
  <c r="H424" i="2"/>
  <c r="H422" i="2"/>
  <c r="H423" i="2"/>
  <c r="H421" i="2"/>
  <c r="J420" i="2"/>
  <c r="J419" i="2"/>
  <c r="J418" i="2"/>
  <c r="K417" i="2"/>
  <c r="J417" i="2"/>
  <c r="H417" i="2"/>
  <c r="K416" i="2"/>
  <c r="J416" i="2"/>
  <c r="H416" i="2"/>
  <c r="J414" i="2"/>
  <c r="J415" i="2"/>
  <c r="H415" i="2"/>
  <c r="H414" i="2"/>
  <c r="J413" i="2"/>
  <c r="H413" i="2"/>
  <c r="H412" i="2"/>
  <c r="J412" i="2" s="1"/>
  <c r="K411" i="2"/>
  <c r="K410" i="2"/>
  <c r="J410" i="2"/>
  <c r="J411" i="2"/>
  <c r="H411" i="2"/>
  <c r="H410" i="2"/>
  <c r="K409" i="2"/>
  <c r="H409" i="2"/>
  <c r="J409" i="2" s="1"/>
  <c r="H408" i="2"/>
  <c r="J408" i="2" s="1"/>
  <c r="J406" i="2"/>
  <c r="J407" i="2"/>
  <c r="J405" i="2"/>
  <c r="H407" i="2"/>
  <c r="H405" i="2"/>
  <c r="H406" i="2"/>
  <c r="E397" i="2"/>
  <c r="E394" i="2"/>
  <c r="E392" i="2"/>
  <c r="E389" i="2"/>
  <c r="E380" i="2"/>
  <c r="O309" i="2"/>
  <c r="O308" i="2"/>
  <c r="K309" i="2"/>
  <c r="K308" i="2"/>
  <c r="J310" i="2"/>
  <c r="L309" i="2" s="1"/>
  <c r="T305" i="2"/>
  <c r="I310" i="2" s="1"/>
  <c r="M305" i="2"/>
  <c r="I305" i="2"/>
  <c r="S343" i="2"/>
  <c r="J347" i="2" s="1"/>
  <c r="L346" i="2" s="1"/>
  <c r="L347" i="2"/>
  <c r="O346" i="2"/>
  <c r="K346" i="2"/>
  <c r="J346" i="2"/>
  <c r="I346" i="2"/>
  <c r="R343" i="2"/>
  <c r="T343" i="2"/>
  <c r="I347" i="2" s="1"/>
  <c r="M343" i="2"/>
  <c r="I343" i="2"/>
  <c r="L362" i="2"/>
  <c r="O361" i="2"/>
  <c r="K361" i="2"/>
  <c r="J361" i="2"/>
  <c r="I361" i="2"/>
  <c r="S358" i="2"/>
  <c r="J362" i="2" s="1"/>
  <c r="L361" i="2" s="1"/>
  <c r="T358" i="2"/>
  <c r="K362" i="2" s="1"/>
  <c r="M358" i="2"/>
  <c r="I358" i="2"/>
  <c r="S325" i="2"/>
  <c r="J329" i="2" s="1"/>
  <c r="L328" i="2" s="1"/>
  <c r="T325" i="2"/>
  <c r="K329" i="2" s="1"/>
  <c r="L329" i="2"/>
  <c r="O328" i="2"/>
  <c r="K328" i="2"/>
  <c r="J328" i="2"/>
  <c r="I328" i="2"/>
  <c r="M325" i="2"/>
  <c r="I325" i="2"/>
  <c r="S292" i="2"/>
  <c r="J296" i="2" s="1"/>
  <c r="L295" i="2" s="1"/>
  <c r="T292" i="2"/>
  <c r="K296" i="2" s="1"/>
  <c r="L296" i="2"/>
  <c r="I296" i="2"/>
  <c r="O295" i="2"/>
  <c r="K295" i="2"/>
  <c r="J295" i="2"/>
  <c r="I295" i="2"/>
  <c r="M292" i="2"/>
  <c r="I292" i="2"/>
  <c r="O283" i="2"/>
  <c r="O284" i="2"/>
  <c r="K283" i="2"/>
  <c r="K284" i="2"/>
  <c r="O282" i="2"/>
  <c r="O281" i="2"/>
  <c r="K282" i="2"/>
  <c r="K281" i="2"/>
  <c r="E282" i="2"/>
  <c r="H282" i="2" s="1"/>
  <c r="E281" i="2"/>
  <c r="H281" i="2" s="1"/>
  <c r="F31" i="2"/>
  <c r="F32" i="2"/>
  <c r="E247" i="2"/>
  <c r="K248" i="2"/>
  <c r="H248" i="2"/>
  <c r="E248" i="2"/>
  <c r="K247" i="2"/>
  <c r="H247" i="2"/>
  <c r="L228" i="2"/>
  <c r="O227" i="2"/>
  <c r="K227" i="2"/>
  <c r="J227" i="2"/>
  <c r="I227" i="2"/>
  <c r="S214" i="2"/>
  <c r="J228" i="2" s="1"/>
  <c r="L227" i="2" s="1"/>
  <c r="S213" i="2"/>
  <c r="L218" i="2"/>
  <c r="O217" i="2"/>
  <c r="K217" i="2"/>
  <c r="J217" i="2"/>
  <c r="I217" i="2"/>
  <c r="T214" i="2"/>
  <c r="I228" i="2" s="1"/>
  <c r="R214" i="2"/>
  <c r="M214" i="2"/>
  <c r="I214" i="2"/>
  <c r="T213" i="2"/>
  <c r="I218" i="2" s="1"/>
  <c r="R213" i="2"/>
  <c r="M213" i="2"/>
  <c r="I213" i="2"/>
  <c r="P154" i="2"/>
  <c r="P155" i="2"/>
  <c r="P156" i="2"/>
  <c r="P157" i="2"/>
  <c r="M152" i="2"/>
  <c r="M153" i="2"/>
  <c r="M154" i="2"/>
  <c r="M155" i="2"/>
  <c r="M156" i="2"/>
  <c r="M157" i="2"/>
  <c r="M151" i="2"/>
  <c r="H152" i="2"/>
  <c r="H153" i="2"/>
  <c r="H154" i="2"/>
  <c r="H155" i="2"/>
  <c r="H156" i="2"/>
  <c r="H157" i="2"/>
  <c r="H151" i="2"/>
  <c r="F152" i="2"/>
  <c r="F153" i="2"/>
  <c r="F154" i="2"/>
  <c r="F155" i="2"/>
  <c r="F156" i="2"/>
  <c r="F157" i="2"/>
  <c r="F151" i="2"/>
  <c r="P125" i="2"/>
  <c r="P126" i="2"/>
  <c r="P127" i="2"/>
  <c r="P128" i="2"/>
  <c r="P129" i="2"/>
  <c r="P124" i="2"/>
  <c r="M125" i="2"/>
  <c r="M126" i="2"/>
  <c r="M127" i="2"/>
  <c r="M128" i="2"/>
  <c r="M129" i="2"/>
  <c r="M124" i="2"/>
  <c r="H125" i="2"/>
  <c r="H126" i="2"/>
  <c r="H127" i="2"/>
  <c r="H128" i="2"/>
  <c r="H129" i="2"/>
  <c r="H124" i="2"/>
  <c r="F125" i="2"/>
  <c r="F126" i="2"/>
  <c r="F127" i="2"/>
  <c r="F128" i="2"/>
  <c r="F129" i="2"/>
  <c r="F124" i="2"/>
  <c r="L271" i="2"/>
  <c r="O270" i="2"/>
  <c r="K270" i="2"/>
  <c r="J270" i="2"/>
  <c r="I270" i="2"/>
  <c r="L261" i="2"/>
  <c r="O260" i="2"/>
  <c r="K260" i="2"/>
  <c r="J260" i="2"/>
  <c r="I260" i="2"/>
  <c r="U257" i="2"/>
  <c r="J271" i="2" s="1"/>
  <c r="U256" i="2"/>
  <c r="J261" i="2" s="1"/>
  <c r="V257" i="2"/>
  <c r="I271" i="2" s="1"/>
  <c r="V256" i="2"/>
  <c r="I261" i="2" s="1"/>
  <c r="O257" i="2"/>
  <c r="O256" i="2"/>
  <c r="K257" i="2"/>
  <c r="K256" i="2"/>
  <c r="F30" i="2"/>
  <c r="E256" i="2"/>
  <c r="F29" i="2"/>
  <c r="L412" i="2" l="1"/>
  <c r="J425" i="2"/>
  <c r="M309" i="2"/>
  <c r="N309" i="2" s="1"/>
  <c r="L308" i="2"/>
  <c r="O310" i="2"/>
  <c r="K310" i="2"/>
  <c r="M310" i="2" s="1"/>
  <c r="N310" i="2" s="1"/>
  <c r="K311" i="2"/>
  <c r="M308" i="2"/>
  <c r="M311" i="2" s="1"/>
  <c r="O311" i="2"/>
  <c r="N308" i="2"/>
  <c r="N311" i="2" s="1"/>
  <c r="K347" i="2"/>
  <c r="M347" i="2" s="1"/>
  <c r="N347" i="2" s="1"/>
  <c r="I362" i="2"/>
  <c r="O362" i="2" s="1"/>
  <c r="O363" i="2" s="1"/>
  <c r="M328" i="2"/>
  <c r="N328" i="2" s="1"/>
  <c r="M361" i="2"/>
  <c r="N361" i="2" s="1"/>
  <c r="I329" i="2"/>
  <c r="O329" i="2" s="1"/>
  <c r="O330" i="2" s="1"/>
  <c r="M346" i="2"/>
  <c r="O347" i="2"/>
  <c r="O348" i="2" s="1"/>
  <c r="K348" i="2"/>
  <c r="K363" i="2"/>
  <c r="M362" i="2"/>
  <c r="N362" i="2" s="1"/>
  <c r="K330" i="2"/>
  <c r="M329" i="2"/>
  <c r="N329" i="2" s="1"/>
  <c r="M295" i="2"/>
  <c r="N295" i="2" s="1"/>
  <c r="M296" i="2"/>
  <c r="N296" i="2" s="1"/>
  <c r="K297" i="2"/>
  <c r="O296" i="2"/>
  <c r="O297" i="2" s="1"/>
  <c r="K228" i="2"/>
  <c r="K229" i="2" s="1"/>
  <c r="J218" i="2"/>
  <c r="O218" i="2" s="1"/>
  <c r="O219" i="2" s="1"/>
  <c r="M227" i="2"/>
  <c r="N227" i="2" s="1"/>
  <c r="O228" i="2"/>
  <c r="O229" i="2" s="1"/>
  <c r="O261" i="2"/>
  <c r="O262" i="2" s="1"/>
  <c r="L260" i="2"/>
  <c r="M260" i="2" s="1"/>
  <c r="N260" i="2" s="1"/>
  <c r="K271" i="2"/>
  <c r="M271" i="2" s="1"/>
  <c r="N271" i="2" s="1"/>
  <c r="O271" i="2"/>
  <c r="O272" i="2" s="1"/>
  <c r="L270" i="2"/>
  <c r="M270" i="2" s="1"/>
  <c r="K261" i="2"/>
  <c r="M261" i="2" s="1"/>
  <c r="N261" i="2" s="1"/>
  <c r="E244" i="2"/>
  <c r="E238" i="2"/>
  <c r="K244" i="2"/>
  <c r="K243" i="2"/>
  <c r="K238" i="2"/>
  <c r="K237" i="2"/>
  <c r="H244" i="2"/>
  <c r="H243" i="2"/>
  <c r="H238" i="2"/>
  <c r="H237" i="2"/>
  <c r="E243" i="2"/>
  <c r="E237" i="2"/>
  <c r="L179" i="2"/>
  <c r="O178" i="2"/>
  <c r="K178" i="2"/>
  <c r="J178" i="2"/>
  <c r="I178" i="2"/>
  <c r="L203" i="2"/>
  <c r="O202" i="2"/>
  <c r="K202" i="2"/>
  <c r="J202" i="2"/>
  <c r="I202" i="2"/>
  <c r="L193" i="2"/>
  <c r="O192" i="2"/>
  <c r="K192" i="2"/>
  <c r="J192" i="2"/>
  <c r="I192" i="2"/>
  <c r="T189" i="2"/>
  <c r="I203" i="2" s="1"/>
  <c r="T188" i="2"/>
  <c r="I193" i="2" s="1"/>
  <c r="S189" i="2"/>
  <c r="J203" i="2" s="1"/>
  <c r="S188" i="2"/>
  <c r="J193" i="2" s="1"/>
  <c r="L192" i="2" s="1"/>
  <c r="R189" i="2"/>
  <c r="R188" i="2"/>
  <c r="R165" i="2"/>
  <c r="R164" i="2"/>
  <c r="M189" i="2"/>
  <c r="M188" i="2"/>
  <c r="I189" i="2"/>
  <c r="I188" i="2"/>
  <c r="O168" i="2"/>
  <c r="L169" i="2"/>
  <c r="K168" i="2"/>
  <c r="J168" i="2"/>
  <c r="I168" i="2"/>
  <c r="T165" i="2"/>
  <c r="I179" i="2" s="1"/>
  <c r="T164" i="2"/>
  <c r="I169" i="2" s="1"/>
  <c r="S165" i="2"/>
  <c r="J179" i="2" s="1"/>
  <c r="S164" i="2"/>
  <c r="J169" i="2" s="1"/>
  <c r="L168" i="2" s="1"/>
  <c r="M165" i="2"/>
  <c r="M164" i="2"/>
  <c r="I165" i="2"/>
  <c r="I164" i="2"/>
  <c r="M147" i="2"/>
  <c r="M146" i="2"/>
  <c r="M145" i="2"/>
  <c r="M144" i="2"/>
  <c r="H145" i="2"/>
  <c r="H146" i="2"/>
  <c r="H147" i="2"/>
  <c r="H144" i="2"/>
  <c r="F147" i="2"/>
  <c r="F146" i="2"/>
  <c r="F145" i="2"/>
  <c r="F144" i="2"/>
  <c r="M139" i="2"/>
  <c r="H139" i="2"/>
  <c r="F139" i="2"/>
  <c r="M138" i="2"/>
  <c r="H138" i="2"/>
  <c r="H137" i="2"/>
  <c r="F138" i="2"/>
  <c r="M137" i="2"/>
  <c r="F137" i="2"/>
  <c r="M136" i="2"/>
  <c r="H136" i="2"/>
  <c r="F136" i="2"/>
  <c r="P120" i="2"/>
  <c r="M120" i="2"/>
  <c r="P119" i="2"/>
  <c r="M119" i="2"/>
  <c r="P118" i="2"/>
  <c r="M118" i="2"/>
  <c r="P117" i="2"/>
  <c r="M117" i="2"/>
  <c r="P116" i="2"/>
  <c r="M116" i="2"/>
  <c r="P115" i="2"/>
  <c r="M115" i="2"/>
  <c r="H116" i="2"/>
  <c r="H117" i="2"/>
  <c r="H118" i="2"/>
  <c r="H119" i="2"/>
  <c r="H120" i="2"/>
  <c r="H115" i="2"/>
  <c r="F116" i="2"/>
  <c r="F117" i="2"/>
  <c r="F118" i="2"/>
  <c r="F119" i="2"/>
  <c r="F120" i="2"/>
  <c r="F115" i="2"/>
  <c r="P107" i="2"/>
  <c r="P108" i="2"/>
  <c r="P109" i="2"/>
  <c r="P110" i="2"/>
  <c r="P111" i="2"/>
  <c r="P106" i="2"/>
  <c r="M107" i="2"/>
  <c r="M108" i="2"/>
  <c r="M109" i="2"/>
  <c r="M110" i="2"/>
  <c r="M111" i="2"/>
  <c r="M106" i="2"/>
  <c r="H107" i="2"/>
  <c r="H108" i="2"/>
  <c r="H109" i="2"/>
  <c r="H110" i="2"/>
  <c r="H111" i="2"/>
  <c r="H106" i="2"/>
  <c r="F107" i="2"/>
  <c r="F108" i="2"/>
  <c r="F109" i="2"/>
  <c r="F110" i="2"/>
  <c r="F111" i="2"/>
  <c r="F106" i="2"/>
  <c r="E99" i="2"/>
  <c r="J305" i="2" s="1"/>
  <c r="K305" i="2" s="1"/>
  <c r="E77" i="2"/>
  <c r="I66" i="2"/>
  <c r="I67" i="2"/>
  <c r="I68" i="2"/>
  <c r="I69" i="2"/>
  <c r="I70" i="2"/>
  <c r="I73" i="2"/>
  <c r="I74" i="2"/>
  <c r="E62" i="2"/>
  <c r="H70" i="2" s="1"/>
  <c r="I65" i="2"/>
  <c r="D72" i="2"/>
  <c r="D71" i="2"/>
  <c r="I54" i="2"/>
  <c r="E46" i="2"/>
  <c r="E42" i="2"/>
  <c r="F54" i="2" s="1"/>
  <c r="E43" i="2"/>
  <c r="G65" i="2" s="1"/>
  <c r="E41" i="2"/>
  <c r="E65" i="2" s="1"/>
  <c r="E20" i="2"/>
  <c r="F24" i="2"/>
  <c r="F25" i="2"/>
  <c r="F26" i="2"/>
  <c r="F27" i="2"/>
  <c r="F28" i="2"/>
  <c r="F23" i="2"/>
  <c r="H15" i="2"/>
  <c r="H14" i="2"/>
  <c r="F14" i="2"/>
  <c r="E86" i="2" s="1"/>
  <c r="H13" i="2"/>
  <c r="H12" i="2"/>
  <c r="H8" i="2"/>
  <c r="H10" i="2" s="1"/>
  <c r="F13" i="2"/>
  <c r="F12" i="2"/>
  <c r="F8" i="2"/>
  <c r="H9" i="2" s="1"/>
  <c r="F23" i="1"/>
  <c r="E23" i="1"/>
  <c r="D23" i="1"/>
  <c r="F17" i="1"/>
  <c r="E17" i="1"/>
  <c r="D17" i="1"/>
  <c r="F24" i="1"/>
  <c r="F22" i="1"/>
  <c r="F21" i="1"/>
  <c r="E21" i="1"/>
  <c r="D21" i="1"/>
  <c r="F20" i="1"/>
  <c r="F19" i="1"/>
  <c r="E19" i="1"/>
  <c r="D19" i="1"/>
  <c r="F18" i="1"/>
  <c r="M412" i="2" l="1"/>
  <c r="M425" i="2" s="1"/>
  <c r="L425" i="2"/>
  <c r="E427" i="2" s="1"/>
  <c r="G427" i="2" s="1"/>
  <c r="K313" i="2"/>
  <c r="E37" i="2"/>
  <c r="E383" i="2"/>
  <c r="N297" i="2"/>
  <c r="K314" i="2"/>
  <c r="K315" i="2" s="1"/>
  <c r="M297" i="2"/>
  <c r="J325" i="2"/>
  <c r="K325" i="2" s="1"/>
  <c r="J343" i="2"/>
  <c r="K343" i="2" s="1"/>
  <c r="J358" i="2"/>
  <c r="K358" i="2" s="1"/>
  <c r="K272" i="2"/>
  <c r="N346" i="2"/>
  <c r="N348" i="2" s="1"/>
  <c r="M348" i="2"/>
  <c r="K350" i="2" s="1"/>
  <c r="M363" i="2"/>
  <c r="K365" i="2" s="1"/>
  <c r="N363" i="2"/>
  <c r="M330" i="2"/>
  <c r="K332" i="2" s="1"/>
  <c r="N330" i="2"/>
  <c r="G30" i="2"/>
  <c r="H30" i="2" s="1"/>
  <c r="D257" i="2" s="1"/>
  <c r="H257" i="2" s="1"/>
  <c r="G32" i="2"/>
  <c r="H32" i="2" s="1"/>
  <c r="G31" i="2"/>
  <c r="H31" i="2" s="1"/>
  <c r="L217" i="2"/>
  <c r="M217" i="2" s="1"/>
  <c r="N217" i="2" s="1"/>
  <c r="M228" i="2"/>
  <c r="N228" i="2" s="1"/>
  <c r="N229" i="2" s="1"/>
  <c r="J292" i="2"/>
  <c r="K292" i="2" s="1"/>
  <c r="L282" i="2"/>
  <c r="M282" i="2" s="1"/>
  <c r="P282" i="2" s="1"/>
  <c r="Q282" i="2" s="1"/>
  <c r="R282" i="2" s="1"/>
  <c r="S282" i="2" s="1"/>
  <c r="L283" i="2"/>
  <c r="M283" i="2" s="1"/>
  <c r="L281" i="2"/>
  <c r="M281" i="2" s="1"/>
  <c r="P281" i="2" s="1"/>
  <c r="Q281" i="2" s="1"/>
  <c r="R281" i="2" s="1"/>
  <c r="S281" i="2" s="1"/>
  <c r="L284" i="2"/>
  <c r="M284" i="2" s="1"/>
  <c r="K299" i="2"/>
  <c r="K300" i="2" s="1"/>
  <c r="K301" i="2" s="1"/>
  <c r="I248" i="2"/>
  <c r="I247" i="2"/>
  <c r="L247" i="2" s="1"/>
  <c r="K218" i="2"/>
  <c r="K262" i="2"/>
  <c r="J214" i="2"/>
  <c r="K214" i="2" s="1"/>
  <c r="J213" i="2"/>
  <c r="K213" i="2" s="1"/>
  <c r="I155" i="2"/>
  <c r="J155" i="2" s="1"/>
  <c r="I156" i="2"/>
  <c r="J156" i="2" s="1"/>
  <c r="I157" i="2"/>
  <c r="J157" i="2" s="1"/>
  <c r="I151" i="2"/>
  <c r="J151" i="2" s="1"/>
  <c r="I153" i="2"/>
  <c r="J153" i="2" s="1"/>
  <c r="I152" i="2"/>
  <c r="J152" i="2" s="1"/>
  <c r="I154" i="2"/>
  <c r="J154" i="2" s="1"/>
  <c r="I127" i="2"/>
  <c r="J127" i="2" s="1"/>
  <c r="I126" i="2"/>
  <c r="J126" i="2" s="1"/>
  <c r="I129" i="2"/>
  <c r="J129" i="2" s="1"/>
  <c r="I125" i="2"/>
  <c r="J125" i="2" s="1"/>
  <c r="I124" i="2"/>
  <c r="J124" i="2" s="1"/>
  <c r="I128" i="2"/>
  <c r="J128" i="2" s="1"/>
  <c r="N262" i="2"/>
  <c r="M262" i="2"/>
  <c r="E101" i="2"/>
  <c r="L256" i="2"/>
  <c r="M256" i="2" s="1"/>
  <c r="L257" i="2"/>
  <c r="M257" i="2" s="1"/>
  <c r="N270" i="2"/>
  <c r="N272" i="2" s="1"/>
  <c r="M272" i="2"/>
  <c r="I238" i="2"/>
  <c r="I243" i="2"/>
  <c r="L243" i="2" s="1"/>
  <c r="I244" i="2"/>
  <c r="G27" i="2"/>
  <c r="H27" i="2" s="1"/>
  <c r="G29" i="2"/>
  <c r="H29" i="2" s="1"/>
  <c r="D256" i="2" s="1"/>
  <c r="H256" i="2" s="1"/>
  <c r="I237" i="2"/>
  <c r="L237" i="2" s="1"/>
  <c r="M168" i="2"/>
  <c r="N168" i="2" s="1"/>
  <c r="O179" i="2"/>
  <c r="O180" i="2" s="1"/>
  <c r="L178" i="2"/>
  <c r="M178" i="2" s="1"/>
  <c r="K179" i="2"/>
  <c r="M179" i="2" s="1"/>
  <c r="N179" i="2" s="1"/>
  <c r="K193" i="2"/>
  <c r="M193" i="2" s="1"/>
  <c r="N193" i="2" s="1"/>
  <c r="I107" i="2"/>
  <c r="J107" i="2" s="1"/>
  <c r="I139" i="2"/>
  <c r="P139" i="2" s="1"/>
  <c r="M192" i="2"/>
  <c r="N192" i="2" s="1"/>
  <c r="O203" i="2"/>
  <c r="O204" i="2" s="1"/>
  <c r="L202" i="2"/>
  <c r="M202" i="2" s="1"/>
  <c r="K203" i="2"/>
  <c r="M203" i="2" s="1"/>
  <c r="N203" i="2" s="1"/>
  <c r="J165" i="2"/>
  <c r="K165" i="2" s="1"/>
  <c r="I144" i="2"/>
  <c r="J144" i="2" s="1"/>
  <c r="N144" i="2" s="1"/>
  <c r="O144" i="2" s="1"/>
  <c r="I145" i="2"/>
  <c r="J145" i="2" s="1"/>
  <c r="I147" i="2"/>
  <c r="O193" i="2"/>
  <c r="O194" i="2" s="1"/>
  <c r="I146" i="2"/>
  <c r="P153" i="2" s="1"/>
  <c r="J164" i="2"/>
  <c r="K164" i="2" s="1"/>
  <c r="G67" i="2"/>
  <c r="G74" i="2"/>
  <c r="I137" i="2"/>
  <c r="J188" i="2"/>
  <c r="K188" i="2" s="1"/>
  <c r="G72" i="2"/>
  <c r="G68" i="2"/>
  <c r="J189" i="2"/>
  <c r="K189" i="2" s="1"/>
  <c r="E68" i="2"/>
  <c r="O169" i="2"/>
  <c r="O170" i="2" s="1"/>
  <c r="K169" i="2"/>
  <c r="F71" i="2"/>
  <c r="E82" i="2"/>
  <c r="F68" i="2"/>
  <c r="I115" i="2"/>
  <c r="J115" i="2" s="1"/>
  <c r="F74" i="2"/>
  <c r="I116" i="2"/>
  <c r="J116" i="2" s="1"/>
  <c r="I138" i="2"/>
  <c r="E74" i="2"/>
  <c r="I117" i="2"/>
  <c r="J117" i="2" s="1"/>
  <c r="I106" i="2"/>
  <c r="J106" i="2" s="1"/>
  <c r="I118" i="2"/>
  <c r="J118" i="2" s="1"/>
  <c r="E71" i="2"/>
  <c r="I111" i="2"/>
  <c r="J111" i="2" s="1"/>
  <c r="I119" i="2"/>
  <c r="J119" i="2" s="1"/>
  <c r="I110" i="2"/>
  <c r="J110" i="2" s="1"/>
  <c r="I120" i="2"/>
  <c r="J120" i="2" s="1"/>
  <c r="I109" i="2"/>
  <c r="J109" i="2" s="1"/>
  <c r="E69" i="2"/>
  <c r="I108" i="2"/>
  <c r="J108" i="2" s="1"/>
  <c r="I136" i="2"/>
  <c r="P151" i="2" s="1"/>
  <c r="I72" i="2"/>
  <c r="E72" i="2"/>
  <c r="E87" i="2"/>
  <c r="I71" i="2"/>
  <c r="F72" i="2"/>
  <c r="G71" i="2"/>
  <c r="H65" i="2"/>
  <c r="H71" i="2"/>
  <c r="H67" i="2"/>
  <c r="F70" i="2"/>
  <c r="E67" i="2"/>
  <c r="H74" i="2"/>
  <c r="G70" i="2"/>
  <c r="F73" i="2"/>
  <c r="E70" i="2"/>
  <c r="E81" i="2"/>
  <c r="H73" i="2"/>
  <c r="F67" i="2"/>
  <c r="H66" i="2"/>
  <c r="G73" i="2"/>
  <c r="H69" i="2"/>
  <c r="G66" i="2"/>
  <c r="H68" i="2"/>
  <c r="H72" i="2"/>
  <c r="G69" i="2"/>
  <c r="F66" i="2"/>
  <c r="E89" i="2"/>
  <c r="E92" i="2" s="1"/>
  <c r="E73" i="2"/>
  <c r="F69" i="2"/>
  <c r="E66" i="2"/>
  <c r="E90" i="2"/>
  <c r="F65" i="2"/>
  <c r="G54" i="2"/>
  <c r="E54" i="2"/>
  <c r="G23" i="2"/>
  <c r="H23" i="2" s="1"/>
  <c r="G28" i="2"/>
  <c r="H28" i="2" s="1"/>
  <c r="G138" i="2" s="1"/>
  <c r="G26" i="2"/>
  <c r="H26" i="2" s="1"/>
  <c r="G25" i="2"/>
  <c r="H25" i="2" s="1"/>
  <c r="G24" i="2"/>
  <c r="H24" i="2" s="1"/>
  <c r="F10" i="2"/>
  <c r="E47" i="2" s="1"/>
  <c r="H16" i="2"/>
  <c r="H17" i="2" s="1"/>
  <c r="E428" i="2" l="1"/>
  <c r="P257" i="2"/>
  <c r="Q257" i="2" s="1"/>
  <c r="R257" i="2" s="1"/>
  <c r="S257" i="2" s="1"/>
  <c r="K274" i="2"/>
  <c r="K366" i="2"/>
  <c r="K367" i="2" s="1"/>
  <c r="K264" i="2"/>
  <c r="K265" i="2" s="1"/>
  <c r="K266" i="2" s="1"/>
  <c r="M229" i="2"/>
  <c r="K231" i="2" s="1"/>
  <c r="G139" i="2"/>
  <c r="G147" i="2" s="1"/>
  <c r="F358" i="2"/>
  <c r="N358" i="2" s="1"/>
  <c r="O358" i="2" s="1"/>
  <c r="P358" i="2" s="1"/>
  <c r="Q358" i="2" s="1"/>
  <c r="K351" i="2"/>
  <c r="K352" i="2" s="1"/>
  <c r="K333" i="2"/>
  <c r="K334" i="2" s="1"/>
  <c r="G146" i="2"/>
  <c r="F292" i="2"/>
  <c r="F305" i="2" s="1"/>
  <c r="N305" i="2" s="1"/>
  <c r="O305" i="2" s="1"/>
  <c r="P305" i="2" s="1"/>
  <c r="Q305" i="2" s="1"/>
  <c r="K316" i="2" s="1"/>
  <c r="K232" i="2"/>
  <c r="K233" i="2" s="1"/>
  <c r="L248" i="2"/>
  <c r="M218" i="2"/>
  <c r="K219" i="2"/>
  <c r="F164" i="2"/>
  <c r="F189" i="2" s="1"/>
  <c r="N189" i="2" s="1"/>
  <c r="F213" i="2"/>
  <c r="N213" i="2" s="1"/>
  <c r="O213" i="2" s="1"/>
  <c r="P213" i="2" s="1"/>
  <c r="Q213" i="2" s="1"/>
  <c r="J137" i="2"/>
  <c r="P152" i="2"/>
  <c r="K180" i="2"/>
  <c r="P256" i="2"/>
  <c r="Q256" i="2" s="1"/>
  <c r="R256" i="2" s="1"/>
  <c r="S256" i="2" s="1"/>
  <c r="K267" i="2" s="1"/>
  <c r="K275" i="2"/>
  <c r="K276" i="2" s="1"/>
  <c r="K277" i="2" s="1"/>
  <c r="L244" i="2"/>
  <c r="L238" i="2"/>
  <c r="P145" i="2"/>
  <c r="J139" i="2"/>
  <c r="N139" i="2" s="1"/>
  <c r="O139" i="2" s="1"/>
  <c r="K194" i="2"/>
  <c r="K204" i="2"/>
  <c r="P144" i="2"/>
  <c r="M180" i="2"/>
  <c r="N178" i="2"/>
  <c r="N180" i="2" s="1"/>
  <c r="J147" i="2"/>
  <c r="N147" i="2" s="1"/>
  <c r="O147" i="2" s="1"/>
  <c r="P147" i="2"/>
  <c r="J70" i="2"/>
  <c r="N202" i="2"/>
  <c r="N204" i="2" s="1"/>
  <c r="M204" i="2"/>
  <c r="N194" i="2"/>
  <c r="M194" i="2"/>
  <c r="J146" i="2"/>
  <c r="P146" i="2"/>
  <c r="P137" i="2"/>
  <c r="K170" i="2"/>
  <c r="M169" i="2"/>
  <c r="P138" i="2"/>
  <c r="J138" i="2"/>
  <c r="N138" i="2" s="1"/>
  <c r="O138" i="2" s="1"/>
  <c r="G120" i="2"/>
  <c r="G111" i="2"/>
  <c r="N111" i="2" s="1"/>
  <c r="O111" i="2" s="1"/>
  <c r="Q111" i="2" s="1"/>
  <c r="J136" i="2"/>
  <c r="P136" i="2"/>
  <c r="G106" i="2"/>
  <c r="N106" i="2" s="1"/>
  <c r="O106" i="2" s="1"/>
  <c r="Q106" i="2" s="1"/>
  <c r="R106" i="2" s="1"/>
  <c r="G116" i="2"/>
  <c r="G115" i="2"/>
  <c r="G107" i="2"/>
  <c r="N107" i="2" s="1"/>
  <c r="O107" i="2" s="1"/>
  <c r="Q107" i="2" s="1"/>
  <c r="J69" i="2"/>
  <c r="G157" i="2" s="1"/>
  <c r="N157" i="2" s="1"/>
  <c r="O157" i="2" s="1"/>
  <c r="J74" i="2"/>
  <c r="D283" i="2" s="1"/>
  <c r="H283" i="2" s="1"/>
  <c r="P283" i="2" s="1"/>
  <c r="Q283" i="2" s="1"/>
  <c r="R283" i="2" s="1"/>
  <c r="S283" i="2" s="1"/>
  <c r="J66" i="2"/>
  <c r="G154" i="2" s="1"/>
  <c r="N154" i="2" s="1"/>
  <c r="O154" i="2" s="1"/>
  <c r="G118" i="2"/>
  <c r="G109" i="2"/>
  <c r="N109" i="2" s="1"/>
  <c r="O109" i="2" s="1"/>
  <c r="Q109" i="2" s="1"/>
  <c r="G119" i="2"/>
  <c r="G110" i="2"/>
  <c r="N110" i="2" s="1"/>
  <c r="O110" i="2" s="1"/>
  <c r="Q110" i="2" s="1"/>
  <c r="J72" i="2"/>
  <c r="G108" i="2"/>
  <c r="N108" i="2" s="1"/>
  <c r="O108" i="2" s="1"/>
  <c r="Q108" i="2" s="1"/>
  <c r="G117" i="2"/>
  <c r="J71" i="2"/>
  <c r="J68" i="2"/>
  <c r="G156" i="2" s="1"/>
  <c r="N156" i="2" s="1"/>
  <c r="O156" i="2" s="1"/>
  <c r="E93" i="2"/>
  <c r="E376" i="2" s="1"/>
  <c r="J65" i="2"/>
  <c r="J73" i="2"/>
  <c r="D284" i="2" s="1"/>
  <c r="H284" i="2" s="1"/>
  <c r="P284" i="2" s="1"/>
  <c r="Q284" i="2" s="1"/>
  <c r="R284" i="2" s="1"/>
  <c r="S284" i="2" s="1"/>
  <c r="J67" i="2"/>
  <c r="G155" i="2" s="1"/>
  <c r="N155" i="2" s="1"/>
  <c r="O155" i="2" s="1"/>
  <c r="H54" i="2"/>
  <c r="J54" i="2" s="1"/>
  <c r="F165" i="2" s="1"/>
  <c r="D56" i="2"/>
  <c r="D55" i="2"/>
  <c r="E431" i="2" l="1"/>
  <c r="G431" i="2" s="1"/>
  <c r="E430" i="2"/>
  <c r="G430" i="2" s="1"/>
  <c r="G428" i="2"/>
  <c r="E391" i="2"/>
  <c r="E382" i="2"/>
  <c r="N146" i="2"/>
  <c r="O146" i="2" s="1"/>
  <c r="E371" i="2"/>
  <c r="N292" i="2"/>
  <c r="F325" i="2"/>
  <c r="N325" i="2" s="1"/>
  <c r="O325" i="2" s="1"/>
  <c r="P325" i="2" s="1"/>
  <c r="Q325" i="2" s="1"/>
  <c r="E337" i="2" s="1"/>
  <c r="N164" i="2"/>
  <c r="O164" i="2" s="1"/>
  <c r="P164" i="2" s="1"/>
  <c r="Q164" i="2" s="1"/>
  <c r="G153" i="2"/>
  <c r="N153" i="2" s="1"/>
  <c r="O153" i="2" s="1"/>
  <c r="F343" i="2"/>
  <c r="N343" i="2" s="1"/>
  <c r="O343" i="2" s="1"/>
  <c r="P343" i="2" s="1"/>
  <c r="Q343" i="2" s="1"/>
  <c r="K353" i="2" s="1"/>
  <c r="K368" i="2"/>
  <c r="O292" i="2"/>
  <c r="P292" i="2" s="1"/>
  <c r="Q292" i="2" s="1"/>
  <c r="K302" i="2" s="1"/>
  <c r="K182" i="2"/>
  <c r="K183" i="2" s="1"/>
  <c r="K184" i="2" s="1"/>
  <c r="N218" i="2"/>
  <c r="N219" i="2" s="1"/>
  <c r="M219" i="2"/>
  <c r="K221" i="2" s="1"/>
  <c r="G151" i="2"/>
  <c r="N151" i="2" s="1"/>
  <c r="O151" i="2" s="1"/>
  <c r="F214" i="2"/>
  <c r="N214" i="2" s="1"/>
  <c r="O214" i="2" s="1"/>
  <c r="P214" i="2" s="1"/>
  <c r="Q214" i="2" s="1"/>
  <c r="K234" i="2" s="1"/>
  <c r="N118" i="2"/>
  <c r="O118" i="2" s="1"/>
  <c r="Q118" i="2" s="1"/>
  <c r="G127" i="2"/>
  <c r="N127" i="2" s="1"/>
  <c r="O127" i="2" s="1"/>
  <c r="Q127" i="2" s="1"/>
  <c r="N117" i="2"/>
  <c r="O117" i="2" s="1"/>
  <c r="G126" i="2"/>
  <c r="N126" i="2" s="1"/>
  <c r="O126" i="2" s="1"/>
  <c r="Q126" i="2" s="1"/>
  <c r="N120" i="2"/>
  <c r="O120" i="2" s="1"/>
  <c r="Q120" i="2" s="1"/>
  <c r="G129" i="2"/>
  <c r="N129" i="2" s="1"/>
  <c r="O129" i="2" s="1"/>
  <c r="Q129" i="2" s="1"/>
  <c r="N115" i="2"/>
  <c r="O115" i="2" s="1"/>
  <c r="Q115" i="2" s="1"/>
  <c r="R115" i="2" s="1"/>
  <c r="G124" i="2"/>
  <c r="N124" i="2" s="1"/>
  <c r="O124" i="2" s="1"/>
  <c r="Q124" i="2" s="1"/>
  <c r="R124" i="2" s="1"/>
  <c r="N119" i="2"/>
  <c r="O119" i="2" s="1"/>
  <c r="Q119" i="2" s="1"/>
  <c r="G128" i="2"/>
  <c r="N128" i="2" s="1"/>
  <c r="O128" i="2" s="1"/>
  <c r="Q128" i="2" s="1"/>
  <c r="N116" i="2"/>
  <c r="O116" i="2" s="1"/>
  <c r="Q116" i="2" s="1"/>
  <c r="G125" i="2"/>
  <c r="N125" i="2" s="1"/>
  <c r="O125" i="2" s="1"/>
  <c r="Q125" i="2" s="1"/>
  <c r="K206" i="2"/>
  <c r="K207" i="2" s="1"/>
  <c r="K208" i="2" s="1"/>
  <c r="K196" i="2"/>
  <c r="K197" i="2" s="1"/>
  <c r="K198" i="2" s="1"/>
  <c r="N165" i="2"/>
  <c r="F188" i="2"/>
  <c r="N188" i="2" s="1"/>
  <c r="O189" i="2"/>
  <c r="P189" i="2" s="1"/>
  <c r="Q189" i="2" s="1"/>
  <c r="M170" i="2"/>
  <c r="K172" i="2" s="1"/>
  <c r="N169" i="2"/>
  <c r="N170" i="2" s="1"/>
  <c r="G137" i="2"/>
  <c r="G136" i="2"/>
  <c r="N136" i="2" s="1"/>
  <c r="O136" i="2" s="1"/>
  <c r="Q136" i="2" s="1"/>
  <c r="G55" i="2"/>
  <c r="I55" i="2"/>
  <c r="H55" i="2"/>
  <c r="F55" i="2"/>
  <c r="E55" i="2"/>
  <c r="I56" i="2"/>
  <c r="G56" i="2"/>
  <c r="H56" i="2"/>
  <c r="F56" i="2"/>
  <c r="E56" i="2"/>
  <c r="G152" i="2" l="1"/>
  <c r="N152" i="2" s="1"/>
  <c r="O152" i="2" s="1"/>
  <c r="K335" i="2"/>
  <c r="K222" i="2"/>
  <c r="K223" i="2" s="1"/>
  <c r="K224" i="2" s="1"/>
  <c r="K209" i="2"/>
  <c r="J55" i="2"/>
  <c r="N137" i="2"/>
  <c r="O137" i="2" s="1"/>
  <c r="G145" i="2"/>
  <c r="N145" i="2" s="1"/>
  <c r="O145" i="2" s="1"/>
  <c r="J56" i="2"/>
  <c r="O188" i="2"/>
  <c r="P188" i="2" s="1"/>
  <c r="Q188" i="2" s="1"/>
  <c r="K199" i="2" s="1"/>
  <c r="O165" i="2"/>
  <c r="P165" i="2" s="1"/>
  <c r="Q165" i="2" s="1"/>
  <c r="K185" i="2" s="1"/>
  <c r="K173" i="2"/>
  <c r="K174" i="2" s="1"/>
  <c r="K17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Kirill Plotnikov</author>
  </authors>
  <commentList>
    <comment ref="H418" authorId="0" shapeId="0" xr:uid="{C0B5FD58-5F85-47BD-B6B6-D4D68BFC8003}">
      <text>
        <r>
          <rPr>
            <b/>
            <sz val="9"/>
            <color indexed="81"/>
            <rFont val="Tahoma"/>
            <family val="2"/>
            <charset val="204"/>
          </rPr>
          <t>Kirill Plotnikov:</t>
        </r>
        <r>
          <rPr>
            <sz val="9"/>
            <color indexed="81"/>
            <rFont val="Tahoma"/>
            <family val="2"/>
            <charset val="204"/>
          </rPr>
          <t xml:space="preserve">
берем из сортамента в стандарте DIN1019
</t>
        </r>
      </text>
    </comment>
    <comment ref="N418" authorId="0" shapeId="0" xr:uid="{75A652FD-6277-4E4B-BBA7-267E8F411242}">
      <text>
        <r>
          <rPr>
            <b/>
            <sz val="9"/>
            <color indexed="81"/>
            <rFont val="Tahoma"/>
            <family val="2"/>
            <charset val="204"/>
          </rPr>
          <t>Kirill Plotnikov:</t>
        </r>
        <r>
          <rPr>
            <sz val="9"/>
            <color indexed="81"/>
            <rFont val="Tahoma"/>
            <family val="2"/>
            <charset val="204"/>
          </rPr>
          <t xml:space="preserve">
для профилей смотрим I в сортаменте стандарта и умножаем на количество</t>
        </r>
      </text>
    </comment>
  </commentList>
</comments>
</file>

<file path=xl/sharedStrings.xml><?xml version="1.0" encoding="utf-8"?>
<sst xmlns="http://schemas.openxmlformats.org/spreadsheetml/2006/main" count="987" uniqueCount="377">
  <si>
    <t>L, м</t>
  </si>
  <si>
    <t>B, м</t>
  </si>
  <si>
    <t>D, м</t>
  </si>
  <si>
    <t>d, м</t>
  </si>
  <si>
    <t>v, уз</t>
  </si>
  <si>
    <t>С</t>
  </si>
  <si>
    <t>Т</t>
  </si>
  <si>
    <t>СB</t>
  </si>
  <si>
    <t>Ким</t>
  </si>
  <si>
    <t>Настя</t>
  </si>
  <si>
    <t>Печенег</t>
  </si>
  <si>
    <t>Руслан</t>
  </si>
  <si>
    <t>Олег</t>
  </si>
  <si>
    <t>Женя</t>
  </si>
  <si>
    <t>Анатолий</t>
  </si>
  <si>
    <t>Егор</t>
  </si>
  <si>
    <t>Клара</t>
  </si>
  <si>
    <t>Владимир</t>
  </si>
  <si>
    <t>Антон</t>
  </si>
  <si>
    <t>Виктор</t>
  </si>
  <si>
    <t>Марк</t>
  </si>
  <si>
    <t>Иван</t>
  </si>
  <si>
    <t>Боря</t>
  </si>
  <si>
    <t>Паша</t>
  </si>
  <si>
    <t>Денис</t>
  </si>
  <si>
    <t>Василий</t>
  </si>
  <si>
    <t>Леонид</t>
  </si>
  <si>
    <t>Саша</t>
  </si>
  <si>
    <t>Лена</t>
  </si>
  <si>
    <t>Артем</t>
  </si>
  <si>
    <t>Cb</t>
  </si>
  <si>
    <r>
      <t>h</t>
    </r>
    <r>
      <rPr>
        <vertAlign val="subscript"/>
        <sz val="11"/>
        <color theme="1"/>
        <rFont val="Calibri"/>
        <family val="2"/>
        <charset val="204"/>
        <scheme val="minor"/>
      </rPr>
      <t>д_РС</t>
    </r>
    <r>
      <rPr>
        <sz val="11"/>
        <color theme="1"/>
        <rFont val="Calibri"/>
        <family val="2"/>
        <charset val="204"/>
        <scheme val="minor"/>
      </rPr>
      <t>, м</t>
    </r>
  </si>
  <si>
    <t>Высота дв.дна по Правилам</t>
  </si>
  <si>
    <t>Высота дв.дна по MARPOL (танкеры)</t>
  </si>
  <si>
    <r>
      <t>h</t>
    </r>
    <r>
      <rPr>
        <vertAlign val="subscript"/>
        <sz val="11"/>
        <color theme="1"/>
        <rFont val="Calibri"/>
        <family val="2"/>
        <charset val="204"/>
        <scheme val="minor"/>
      </rPr>
      <t>д_MARPOL</t>
    </r>
    <r>
      <rPr>
        <sz val="11"/>
        <color theme="1"/>
        <rFont val="Calibri"/>
        <family val="2"/>
        <charset val="204"/>
        <scheme val="minor"/>
      </rPr>
      <t>, м</t>
    </r>
  </si>
  <si>
    <t>ПРИНЯТАЯ высота дв.дна</t>
  </si>
  <si>
    <r>
      <t>h</t>
    </r>
    <r>
      <rPr>
        <vertAlign val="subscript"/>
        <sz val="11"/>
        <color theme="1"/>
        <rFont val="Calibri"/>
        <family val="2"/>
        <charset val="204"/>
        <scheme val="minor"/>
      </rPr>
      <t>дд</t>
    </r>
    <r>
      <rPr>
        <sz val="11"/>
        <color theme="1"/>
        <rFont val="Calibri"/>
        <family val="2"/>
        <charset val="204"/>
        <scheme val="minor"/>
      </rPr>
      <t>, м</t>
    </r>
  </si>
  <si>
    <t>Радиус скулы</t>
  </si>
  <si>
    <t>R, м</t>
  </si>
  <si>
    <t>См</t>
  </si>
  <si>
    <t>Коэффициент полноты МШ</t>
  </si>
  <si>
    <t>Погибь палубы</t>
  </si>
  <si>
    <t>f, м</t>
  </si>
  <si>
    <t>СУХОГРУЗ</t>
  </si>
  <si>
    <t>ТАНКЕР</t>
  </si>
  <si>
    <t>Водоизмещение массовое</t>
  </si>
  <si>
    <t>Δ, т</t>
  </si>
  <si>
    <t xml:space="preserve">Коэффициент </t>
  </si>
  <si>
    <t>η</t>
  </si>
  <si>
    <t>DW, т</t>
  </si>
  <si>
    <t>Дедвейт</t>
  </si>
  <si>
    <t>Ширина двойного борта</t>
  </si>
  <si>
    <r>
      <t>h</t>
    </r>
    <r>
      <rPr>
        <vertAlign val="subscript"/>
        <sz val="11"/>
        <color theme="1"/>
        <rFont val="Calibri"/>
        <family val="2"/>
        <charset val="204"/>
      </rPr>
      <t>ДБ</t>
    </r>
    <r>
      <rPr>
        <sz val="11"/>
        <color theme="1"/>
        <rFont val="Calibri"/>
        <family val="2"/>
        <charset val="204"/>
      </rPr>
      <t>, м</t>
    </r>
  </si>
  <si>
    <t>Давления на наружную обшивку</t>
  </si>
  <si>
    <t>Листы K, А-D</t>
  </si>
  <si>
    <r>
      <t>z</t>
    </r>
    <r>
      <rPr>
        <i/>
        <vertAlign val="subscript"/>
        <sz val="11"/>
        <color theme="1"/>
        <rFont val="Calibri"/>
        <family val="2"/>
        <charset val="204"/>
        <scheme val="minor"/>
      </rPr>
      <t>i</t>
    </r>
    <r>
      <rPr>
        <i/>
        <sz val="11"/>
        <color theme="1"/>
        <rFont val="Calibri"/>
        <family val="2"/>
        <charset val="204"/>
        <scheme val="minor"/>
      </rPr>
      <t>, м</t>
    </r>
  </si>
  <si>
    <t>Лист E</t>
  </si>
  <si>
    <t>Лист F</t>
  </si>
  <si>
    <t>Лист G</t>
  </si>
  <si>
    <t>Лист H</t>
  </si>
  <si>
    <t>Уровень верхней палубы</t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</si>
  <si>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st</t>
    </r>
    <r>
      <rPr>
        <i/>
        <sz val="11"/>
        <color theme="1"/>
        <rFont val="Calibri"/>
        <family val="2"/>
        <charset val="204"/>
        <scheme val="minor"/>
      </rPr>
      <t>, kPa</t>
    </r>
  </si>
  <si>
    <t>Расположение</t>
  </si>
  <si>
    <t>ниже ВЛ</t>
  </si>
  <si>
    <t>выше ВЛ</t>
  </si>
  <si>
    <t>Волновой коэффициент</t>
  </si>
  <si>
    <r>
      <t>с</t>
    </r>
    <r>
      <rPr>
        <i/>
        <vertAlign val="subscript"/>
        <sz val="11"/>
        <color theme="1"/>
        <rFont val="Calibri"/>
        <family val="2"/>
        <charset val="204"/>
        <scheme val="minor"/>
      </rPr>
      <t>W</t>
    </r>
  </si>
  <si>
    <t>Произведение коэффициентов</t>
  </si>
  <si>
    <r>
      <t>a</t>
    </r>
    <r>
      <rPr>
        <i/>
        <vertAlign val="subscript"/>
        <sz val="11"/>
        <color theme="1"/>
        <rFont val="Calibri"/>
        <family val="2"/>
        <charset val="204"/>
        <scheme val="minor"/>
      </rPr>
      <t>v</t>
    </r>
    <r>
      <rPr>
        <i/>
        <sz val="11"/>
        <color theme="1"/>
        <rFont val="Calibri"/>
        <family val="2"/>
        <charset val="204"/>
        <scheme val="minor"/>
      </rPr>
      <t>a</t>
    </r>
    <r>
      <rPr>
        <i/>
        <vertAlign val="subscript"/>
        <sz val="11"/>
        <color theme="1"/>
        <rFont val="Calibri"/>
        <family val="2"/>
        <charset val="204"/>
        <scheme val="minor"/>
      </rPr>
      <t>x</t>
    </r>
  </si>
  <si>
    <t>только для сечений вблизи мидель-шпангоута!</t>
  </si>
  <si>
    <t>Волновое давление на уровне ЛГВЛ</t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</si>
  <si>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w0</t>
    </r>
    <r>
      <rPr>
        <i/>
        <sz val="11"/>
        <color theme="1"/>
        <rFont val="Calibri"/>
        <family val="2"/>
        <charset val="204"/>
        <scheme val="minor"/>
      </rPr>
      <t>, kPa</t>
    </r>
  </si>
  <si>
    <t xml:space="preserve">Коэффициент, зависящий от положения </t>
  </si>
  <si>
    <t>сечения по длине судна</t>
  </si>
  <si>
    <r>
      <t>a</t>
    </r>
    <r>
      <rPr>
        <i/>
        <vertAlign val="subscript"/>
        <sz val="11"/>
        <color theme="1"/>
        <rFont val="Calibri"/>
        <family val="2"/>
        <charset val="204"/>
        <scheme val="minor"/>
      </rPr>
      <t>x</t>
    </r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</si>
  <si>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w</t>
    </r>
    <r>
      <rPr>
        <i/>
        <sz val="11"/>
        <color theme="1"/>
        <rFont val="Calibri"/>
        <family val="2"/>
        <charset val="204"/>
        <scheme val="minor"/>
      </rPr>
      <t>, kPa</t>
    </r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</si>
  <si>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st</t>
    </r>
    <r>
      <rPr>
        <i/>
        <sz val="11"/>
        <color theme="1"/>
        <rFont val="Calibri"/>
        <family val="2"/>
        <charset val="204"/>
        <scheme val="minor"/>
      </rPr>
      <t>+p</t>
    </r>
    <r>
      <rPr>
        <i/>
        <vertAlign val="subscript"/>
        <sz val="11"/>
        <color theme="1"/>
        <rFont val="Calibri"/>
        <family val="2"/>
        <charset val="204"/>
        <scheme val="minor"/>
      </rPr>
      <t>w</t>
    </r>
    <r>
      <rPr>
        <i/>
        <sz val="11"/>
        <color theme="1"/>
        <rFont val="Calibri"/>
        <family val="2"/>
        <charset val="204"/>
        <scheme val="minor"/>
      </rPr>
      <t>, kPa</t>
    </r>
  </si>
  <si>
    <t>Давление со стороны перевозимого груза</t>
  </si>
  <si>
    <t>Ускорение в вертикальной плоскости</t>
  </si>
  <si>
    <r>
      <t>a</t>
    </r>
    <r>
      <rPr>
        <i/>
        <vertAlign val="subscript"/>
        <sz val="11"/>
        <color theme="1"/>
        <rFont val="Calibri"/>
        <family val="2"/>
        <charset val="204"/>
        <scheme val="minor"/>
      </rPr>
      <t>z</t>
    </r>
    <r>
      <rPr>
        <i/>
        <sz val="11"/>
        <color theme="1"/>
        <rFont val="Calibri"/>
        <family val="2"/>
        <charset val="204"/>
        <scheme val="minor"/>
      </rPr>
      <t>, м/с</t>
    </r>
    <r>
      <rPr>
        <i/>
        <vertAlign val="superscript"/>
        <sz val="11"/>
        <color theme="1"/>
        <rFont val="Calibri"/>
        <family val="2"/>
        <charset val="204"/>
        <scheme val="minor"/>
      </rPr>
      <t>2</t>
    </r>
  </si>
  <si>
    <t>Амлитуда бортовой качки (угол крена)</t>
  </si>
  <si>
    <t>Амплитуда килевой качки (угол дифферента)</t>
  </si>
  <si>
    <r>
      <t>θ</t>
    </r>
    <r>
      <rPr>
        <i/>
        <sz val="11"/>
        <color theme="1"/>
        <rFont val="Calibri"/>
        <family val="2"/>
        <charset val="204"/>
      </rPr>
      <t>, рад</t>
    </r>
  </si>
  <si>
    <r>
      <t>ψ</t>
    </r>
    <r>
      <rPr>
        <i/>
        <sz val="11"/>
        <color theme="1"/>
        <rFont val="Arial"/>
        <family val="2"/>
        <charset val="204"/>
      </rPr>
      <t>, рад</t>
    </r>
  </si>
  <si>
    <t>Давления от балласта в балластной цистерне:</t>
  </si>
  <si>
    <t>- на уровне настила второго дна</t>
  </si>
  <si>
    <t>- на уровне середины высоты второго дна</t>
  </si>
  <si>
    <t>- на уровне днища</t>
  </si>
  <si>
    <t>Ширина цистерны двойного дна</t>
  </si>
  <si>
    <t>b, м</t>
  </si>
  <si>
    <t>Длина цистерны двойного дна</t>
  </si>
  <si>
    <t>l, м</t>
  </si>
  <si>
    <t>Высота воздушной трубы над крышей</t>
  </si>
  <si>
    <t>Δz, м</t>
  </si>
  <si>
    <t>Давление, на которое настроен</t>
  </si>
  <si>
    <t>предохранительный клапан</t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</si>
  <si>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к</t>
    </r>
    <r>
      <rPr>
        <i/>
        <sz val="11"/>
        <color theme="1"/>
        <rFont val="Calibri"/>
        <family val="2"/>
        <charset val="204"/>
        <scheme val="minor"/>
      </rPr>
      <t>, кПа</t>
    </r>
  </si>
  <si>
    <t>Плотность балластной воды</t>
  </si>
  <si>
    <r>
      <t>ρ</t>
    </r>
    <r>
      <rPr>
        <i/>
        <vertAlign val="subscript"/>
        <sz val="11"/>
        <color theme="1"/>
        <rFont val="Calibri"/>
        <family val="2"/>
        <charset val="204"/>
        <scheme val="minor"/>
      </rPr>
      <t>г</t>
    </r>
    <r>
      <rPr>
        <i/>
        <sz val="11"/>
        <color theme="1"/>
        <rFont val="Calibri"/>
        <family val="2"/>
        <charset val="204"/>
        <scheme val="minor"/>
      </rPr>
      <t>, т/м</t>
    </r>
    <r>
      <rPr>
        <i/>
        <vertAlign val="superscript"/>
        <sz val="11"/>
        <color theme="1"/>
        <rFont val="Calibri"/>
        <family val="2"/>
        <charset val="204"/>
        <scheme val="minor"/>
      </rPr>
      <t>3</t>
    </r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</si>
  <si>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1</t>
    </r>
    <r>
      <rPr>
        <i/>
        <sz val="11"/>
        <color theme="1"/>
        <rFont val="Calibri"/>
        <family val="2"/>
        <charset val="204"/>
        <scheme val="minor"/>
      </rPr>
      <t>, кПа</t>
    </r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</si>
  <si>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2</t>
    </r>
    <r>
      <rPr>
        <i/>
        <sz val="11"/>
        <color theme="1"/>
        <rFont val="Calibri"/>
        <family val="2"/>
        <charset val="204"/>
        <scheme val="minor"/>
      </rPr>
      <t>, кПа</t>
    </r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</si>
  <si>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3</t>
    </r>
    <r>
      <rPr>
        <i/>
        <sz val="11"/>
        <color theme="1"/>
        <rFont val="Calibri"/>
        <family val="2"/>
        <charset val="204"/>
        <scheme val="minor"/>
      </rPr>
      <t>, кПа</t>
    </r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</si>
  <si>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4</t>
    </r>
    <r>
      <rPr>
        <i/>
        <sz val="11"/>
        <color theme="1"/>
        <rFont val="Calibri"/>
        <family val="2"/>
        <charset val="204"/>
        <scheme val="minor"/>
      </rPr>
      <t>, кПа</t>
    </r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</si>
  <si>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5</t>
    </r>
    <r>
      <rPr>
        <i/>
        <sz val="11"/>
        <color theme="1"/>
        <rFont val="Calibri"/>
        <family val="2"/>
        <charset val="204"/>
        <scheme val="minor"/>
      </rPr>
      <t>, кПа</t>
    </r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</si>
  <si>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max</t>
    </r>
    <r>
      <rPr>
        <i/>
        <sz val="11"/>
        <color theme="1"/>
        <rFont val="Calibri"/>
        <family val="2"/>
        <charset val="204"/>
        <scheme val="minor"/>
      </rPr>
      <t>, кПа</t>
    </r>
  </si>
  <si>
    <t>ЕСЛИ ТАНКЕР</t>
  </si>
  <si>
    <t>Давления от балласта/жидкого груза:</t>
  </si>
  <si>
    <t>- на уровне верхней палубы</t>
  </si>
  <si>
    <t>- лист внутреннего борта верхний (ISA)</t>
  </si>
  <si>
    <t>- лист внутреннего борта ISB</t>
  </si>
  <si>
    <t>- лист внутреннего борта ISС</t>
  </si>
  <si>
    <t>- лист внутреннего борта ISD</t>
  </si>
  <si>
    <t>- на уровне середины высоты двойного дна</t>
  </si>
  <si>
    <t>- на уровне днища судна</t>
  </si>
  <si>
    <t>Ширина балластной цистерны</t>
  </si>
  <si>
    <t>Длина цистерны</t>
  </si>
  <si>
    <t>- середина верхнего пролета шпангоута борта</t>
  </si>
  <si>
    <t>- середина нижнего пролета шпангоута борта</t>
  </si>
  <si>
    <t>Высота воздушной трубы расчётная</t>
  </si>
  <si>
    <t>Плотность сухого груза</t>
  </si>
  <si>
    <r>
      <t>ρ</t>
    </r>
    <r>
      <rPr>
        <i/>
        <vertAlign val="subscript"/>
        <sz val="11"/>
        <color theme="1"/>
        <rFont val="Calibri"/>
        <family val="2"/>
        <charset val="204"/>
      </rPr>
      <t>г</t>
    </r>
    <r>
      <rPr>
        <i/>
        <sz val="11"/>
        <color theme="1"/>
        <rFont val="Calibri"/>
        <family val="2"/>
        <charset val="204"/>
      </rPr>
      <t>, т/м</t>
    </r>
    <r>
      <rPr>
        <i/>
        <vertAlign val="superscript"/>
        <sz val="11"/>
        <color theme="1"/>
        <rFont val="Calibri"/>
        <family val="2"/>
        <charset val="204"/>
      </rPr>
      <t>3</t>
    </r>
  </si>
  <si>
    <t>Высота трюма</t>
  </si>
  <si>
    <t>Высота твиндека</t>
  </si>
  <si>
    <r>
      <t>h</t>
    </r>
    <r>
      <rPr>
        <i/>
        <vertAlign val="subscript"/>
        <sz val="11"/>
        <color theme="1"/>
        <rFont val="Calibri"/>
        <family val="2"/>
        <charset val="204"/>
        <scheme val="minor"/>
      </rPr>
      <t>тр</t>
    </r>
    <r>
      <rPr>
        <i/>
        <sz val="11"/>
        <color theme="1"/>
        <rFont val="Calibri"/>
        <family val="2"/>
        <charset val="204"/>
        <scheme val="minor"/>
      </rPr>
      <t>, м</t>
    </r>
  </si>
  <si>
    <r>
      <t>h</t>
    </r>
    <r>
      <rPr>
        <i/>
        <vertAlign val="subscript"/>
        <sz val="11"/>
        <color theme="1"/>
        <rFont val="Calibri"/>
        <family val="2"/>
        <charset val="204"/>
        <scheme val="minor"/>
      </rPr>
      <t>тв</t>
    </r>
    <r>
      <rPr>
        <i/>
        <sz val="11"/>
        <color theme="1"/>
        <rFont val="Calibri"/>
        <family val="2"/>
        <charset val="204"/>
        <scheme val="minor"/>
      </rPr>
      <t>, м</t>
    </r>
  </si>
  <si>
    <t>Давление на нижнюю палубу</t>
  </si>
  <si>
    <t>Давление на настил второго дна</t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</si>
  <si>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НП</t>
    </r>
    <r>
      <rPr>
        <i/>
        <sz val="11"/>
        <color theme="1"/>
        <rFont val="Calibri"/>
        <family val="2"/>
        <charset val="204"/>
        <scheme val="minor"/>
      </rPr>
      <t>, кПа</t>
    </r>
  </si>
  <si>
    <r>
      <t>p</t>
    </r>
    <r>
      <rPr>
        <i/>
        <vertAlign val="subscript"/>
        <sz val="11"/>
        <color theme="1"/>
        <rFont val="Calibri"/>
        <family val="2"/>
        <charset val="204"/>
        <scheme val="minor"/>
      </rPr>
      <t>2Д</t>
    </r>
    <r>
      <rPr>
        <i/>
        <sz val="11"/>
        <color theme="1"/>
        <rFont val="Calibri"/>
        <family val="2"/>
        <charset val="204"/>
        <scheme val="minor"/>
      </rPr>
      <t>, кПа</t>
    </r>
  </si>
  <si>
    <t>Давление от штучно-тарного груза сухогруза (ТОЛЬКО СУХОГРУЗ)</t>
  </si>
  <si>
    <t>РАСЧЁТНЫЙ ИЗГИБАЮЩИЙ МОМЕНТ КОРПУСА СУДНА</t>
  </si>
  <si>
    <t>Изгибающий момент на тихой воде</t>
  </si>
  <si>
    <t>Коэффициент расчётного момента на тихой воде</t>
  </si>
  <si>
    <t>! 60 для сухогруза и 80 для танкера</t>
  </si>
  <si>
    <r>
      <t>k</t>
    </r>
    <r>
      <rPr>
        <i/>
        <vertAlign val="subscript"/>
        <sz val="11"/>
        <color theme="1"/>
        <rFont val="Calibri"/>
        <family val="2"/>
        <charset val="204"/>
        <scheme val="minor"/>
      </rPr>
      <t>sw</t>
    </r>
  </si>
  <si>
    <t>Волновой изгибающий момент корпуса</t>
  </si>
  <si>
    <t>-вызывающий перегиб</t>
  </si>
  <si>
    <t>-вызывающий прогиб</t>
  </si>
  <si>
    <r>
      <t>M</t>
    </r>
    <r>
      <rPr>
        <i/>
        <vertAlign val="superscript"/>
        <sz val="11"/>
        <color theme="1"/>
        <rFont val="Calibri"/>
        <family val="2"/>
        <charset val="204"/>
        <scheme val="minor"/>
      </rPr>
      <t>+</t>
    </r>
    <r>
      <rPr>
        <i/>
        <vertAlign val="subscript"/>
        <sz val="11"/>
        <color theme="1"/>
        <rFont val="Calibri"/>
        <family val="2"/>
        <charset val="204"/>
        <scheme val="minor"/>
      </rPr>
      <t>w</t>
    </r>
    <r>
      <rPr>
        <i/>
        <sz val="11"/>
        <color theme="1"/>
        <rFont val="Calibri"/>
        <family val="2"/>
        <charset val="204"/>
        <scheme val="minor"/>
      </rPr>
      <t>, кНм</t>
    </r>
  </si>
  <si>
    <r>
      <t>M</t>
    </r>
    <r>
      <rPr>
        <i/>
        <vertAlign val="superscript"/>
        <sz val="11"/>
        <color theme="1"/>
        <rFont val="Calibri"/>
        <family val="2"/>
        <charset val="204"/>
        <scheme val="minor"/>
      </rPr>
      <t>-</t>
    </r>
    <r>
      <rPr>
        <i/>
        <vertAlign val="subscript"/>
        <sz val="11"/>
        <color theme="1"/>
        <rFont val="Calibri"/>
        <family val="2"/>
        <charset val="204"/>
        <scheme val="minor"/>
      </rPr>
      <t>w</t>
    </r>
    <r>
      <rPr>
        <i/>
        <sz val="11"/>
        <color theme="1"/>
        <rFont val="Calibri"/>
        <family val="2"/>
        <charset val="204"/>
        <scheme val="minor"/>
      </rPr>
      <t>, кНм</t>
    </r>
  </si>
  <si>
    <t>перегиб судна!</t>
  </si>
  <si>
    <r>
      <t>M</t>
    </r>
    <r>
      <rPr>
        <i/>
        <vertAlign val="superscript"/>
        <sz val="11"/>
        <color theme="1"/>
        <rFont val="Calibri"/>
        <family val="2"/>
        <charset val="204"/>
        <scheme val="minor"/>
      </rPr>
      <t>+</t>
    </r>
    <r>
      <rPr>
        <i/>
        <vertAlign val="subscript"/>
        <sz val="11"/>
        <color theme="1"/>
        <rFont val="Calibri"/>
        <family val="2"/>
        <charset val="204"/>
        <scheme val="minor"/>
      </rPr>
      <t>sw</t>
    </r>
    <r>
      <rPr>
        <i/>
        <sz val="11"/>
        <color theme="1"/>
        <rFont val="Calibri"/>
        <family val="2"/>
        <charset val="204"/>
        <scheme val="minor"/>
      </rPr>
      <t>, кНм</t>
    </r>
  </si>
  <si>
    <r>
      <t>M</t>
    </r>
    <r>
      <rPr>
        <i/>
        <vertAlign val="superscript"/>
        <sz val="11"/>
        <color theme="1"/>
        <rFont val="Calibri"/>
        <family val="2"/>
        <charset val="204"/>
        <scheme val="minor"/>
      </rPr>
      <t>-</t>
    </r>
    <r>
      <rPr>
        <i/>
        <vertAlign val="subscript"/>
        <sz val="11"/>
        <color theme="1"/>
        <rFont val="Calibri"/>
        <family val="2"/>
        <charset val="204"/>
        <scheme val="minor"/>
      </rPr>
      <t>sw</t>
    </r>
    <r>
      <rPr>
        <i/>
        <sz val="11"/>
        <color theme="1"/>
        <rFont val="Calibri"/>
        <family val="2"/>
        <charset val="204"/>
        <scheme val="minor"/>
      </rPr>
      <t>, кНм</t>
    </r>
  </si>
  <si>
    <t>прогиб судна!</t>
  </si>
  <si>
    <t xml:space="preserve">Расчётные изгибающие моменты корпуса </t>
  </si>
  <si>
    <r>
      <t>M</t>
    </r>
    <r>
      <rPr>
        <i/>
        <vertAlign val="superscript"/>
        <sz val="11"/>
        <color theme="1"/>
        <rFont val="Calibri"/>
        <family val="2"/>
        <charset val="204"/>
        <scheme val="minor"/>
      </rPr>
      <t>+</t>
    </r>
    <r>
      <rPr>
        <i/>
        <vertAlign val="subscript"/>
        <sz val="11"/>
        <color theme="1"/>
        <rFont val="Calibri"/>
        <family val="2"/>
        <charset val="204"/>
        <scheme val="minor"/>
      </rPr>
      <t>T</t>
    </r>
    <r>
      <rPr>
        <i/>
        <sz val="11"/>
        <color theme="1"/>
        <rFont val="Calibri"/>
        <family val="2"/>
        <charset val="204"/>
        <scheme val="minor"/>
      </rPr>
      <t>, кНм</t>
    </r>
  </si>
  <si>
    <r>
      <t>M</t>
    </r>
    <r>
      <rPr>
        <i/>
        <vertAlign val="superscript"/>
        <sz val="11"/>
        <color theme="1"/>
        <rFont val="Calibri"/>
        <family val="2"/>
        <charset val="204"/>
        <scheme val="minor"/>
      </rPr>
      <t>-</t>
    </r>
    <r>
      <rPr>
        <i/>
        <vertAlign val="subscript"/>
        <sz val="11"/>
        <color theme="1"/>
        <rFont val="Calibri"/>
        <family val="2"/>
        <charset val="204"/>
        <scheme val="minor"/>
      </rPr>
      <t>T</t>
    </r>
    <r>
      <rPr>
        <i/>
        <sz val="11"/>
        <color theme="1"/>
        <rFont val="Calibri"/>
        <family val="2"/>
        <charset val="204"/>
        <scheme val="minor"/>
      </rPr>
      <t>, кНм</t>
    </r>
  </si>
  <si>
    <t>ВЫБОР СТАЛИ ДЛЯ КОРПУСНЫХ КОНСТРУКЦИЙ</t>
  </si>
  <si>
    <t>Принимаем для всех конструкций корпуса судна сталь нормальной прочности</t>
  </si>
  <si>
    <t xml:space="preserve">Предел текучести стали </t>
  </si>
  <si>
    <r>
      <t>R</t>
    </r>
    <r>
      <rPr>
        <i/>
        <vertAlign val="subscript"/>
        <sz val="11"/>
        <color theme="1"/>
        <rFont val="Calibri"/>
        <family val="2"/>
        <charset val="204"/>
        <scheme val="minor"/>
      </rPr>
      <t>eH</t>
    </r>
    <r>
      <rPr>
        <i/>
        <sz val="11"/>
        <color theme="1"/>
        <rFont val="Calibri"/>
        <family val="2"/>
        <charset val="204"/>
        <scheme val="minor"/>
      </rPr>
      <t>, МПа</t>
    </r>
  </si>
  <si>
    <t xml:space="preserve">Коэффициент использования механических </t>
  </si>
  <si>
    <t>свойств стали</t>
  </si>
  <si>
    <t>Нормативный предел текучести по нормальным</t>
  </si>
  <si>
    <t>напряжениям</t>
  </si>
  <si>
    <r>
      <t>σ</t>
    </r>
    <r>
      <rPr>
        <i/>
        <vertAlign val="subscript"/>
        <sz val="11"/>
        <color theme="1"/>
        <rFont val="Calibri"/>
        <family val="2"/>
        <charset val="204"/>
      </rPr>
      <t>n</t>
    </r>
    <r>
      <rPr>
        <i/>
        <sz val="11"/>
        <color theme="1"/>
        <rFont val="Calibri"/>
        <family val="2"/>
        <charset val="204"/>
      </rPr>
      <t>, МПа</t>
    </r>
  </si>
  <si>
    <t>ОПРЕДЕЛЕНИЕ ТОЛЩИНЫ НАРУЖНОЙ ОБШИВКИ</t>
  </si>
  <si>
    <t>Наименование листа</t>
  </si>
  <si>
    <t>Листы А-D</t>
  </si>
  <si>
    <t>Горизонтальный киль К</t>
  </si>
  <si>
    <t>ВАРИАНТ С ПРОДОЛЬНОЙ СИСТЕМОЙ НАБОРА!!!!!!!!</t>
  </si>
  <si>
    <t>a, м</t>
  </si>
  <si>
    <t>k</t>
  </si>
  <si>
    <t>p, кПа</t>
  </si>
  <si>
    <r>
      <t>σ</t>
    </r>
    <r>
      <rPr>
        <i/>
        <vertAlign val="subscript"/>
        <sz val="11"/>
        <color theme="1"/>
        <rFont val="Calibri"/>
        <family val="2"/>
        <charset val="204"/>
        <scheme val="minor"/>
      </rPr>
      <t>n</t>
    </r>
    <r>
      <rPr>
        <i/>
        <sz val="11"/>
        <color theme="1"/>
        <rFont val="Calibri"/>
        <family val="2"/>
        <charset val="204"/>
        <scheme val="minor"/>
      </rPr>
      <t>, МПа</t>
    </r>
  </si>
  <si>
    <r>
      <t>k</t>
    </r>
    <r>
      <rPr>
        <i/>
        <vertAlign val="subscript"/>
        <sz val="11"/>
        <color theme="1"/>
        <rFont val="Calibri"/>
        <family val="2"/>
        <charset val="204"/>
        <scheme val="minor"/>
      </rPr>
      <t>σ</t>
    </r>
  </si>
  <si>
    <t>u, мм/год</t>
  </si>
  <si>
    <t>Δs, мм</t>
  </si>
  <si>
    <t>s', мм</t>
  </si>
  <si>
    <r>
      <t>s'+</t>
    </r>
    <r>
      <rPr>
        <sz val="11"/>
        <color theme="1"/>
        <rFont val="Calibri"/>
        <family val="2"/>
        <charset val="204"/>
      </rPr>
      <t>Δs, мм</t>
    </r>
  </si>
  <si>
    <r>
      <t>s</t>
    </r>
    <r>
      <rPr>
        <i/>
        <vertAlign val="subscript"/>
        <sz val="11"/>
        <color theme="1"/>
        <rFont val="Calibri"/>
        <family val="2"/>
        <charset val="204"/>
        <scheme val="minor"/>
      </rPr>
      <t>min</t>
    </r>
    <r>
      <rPr>
        <i/>
        <sz val="11"/>
        <color theme="1"/>
        <rFont val="Calibri"/>
        <family val="2"/>
        <charset val="204"/>
        <scheme val="minor"/>
      </rPr>
      <t>, мм</t>
    </r>
  </si>
  <si>
    <r>
      <t>s</t>
    </r>
    <r>
      <rPr>
        <i/>
        <vertAlign val="subscript"/>
        <sz val="11"/>
        <color theme="1"/>
        <rFont val="Calibri"/>
        <family val="2"/>
        <charset val="204"/>
        <scheme val="minor"/>
      </rPr>
      <t>_as-built</t>
    </r>
    <r>
      <rPr>
        <i/>
        <sz val="11"/>
        <color theme="1"/>
        <rFont val="Calibri"/>
        <family val="2"/>
        <charset val="204"/>
        <scheme val="minor"/>
      </rPr>
      <t>, мм</t>
    </r>
  </si>
  <si>
    <r>
      <t>s</t>
    </r>
    <r>
      <rPr>
        <i/>
        <vertAlign val="subscript"/>
        <sz val="11"/>
        <color theme="1"/>
        <rFont val="Calibri"/>
        <family val="2"/>
        <charset val="204"/>
        <scheme val="minor"/>
      </rPr>
      <t>req</t>
    </r>
    <r>
      <rPr>
        <i/>
        <sz val="11"/>
        <color theme="1"/>
        <rFont val="Calibri"/>
        <family val="2"/>
        <charset val="204"/>
        <scheme val="minor"/>
      </rPr>
      <t>, мм</t>
    </r>
  </si>
  <si>
    <t>ВАРИАНТ С ПОПЕРЕЧНОЙ СИСТЕМОЙ НАБОРА!!!!!!!!</t>
  </si>
  <si>
    <t>ОПРЕДЕЛЕНИЕ ТОЛЩИН ЛИСТОВ НАСТИЛОВ И ОБШИВОК (КРОМЕ НАРУЖНОЙ)</t>
  </si>
  <si>
    <t>СУХОГРУЗ - ПОПЕРЕЧНАЯ СИСТЕМА НАБОРА</t>
  </si>
  <si>
    <t>Листы настила второго дна</t>
  </si>
  <si>
    <t>Крайний междудонный лист</t>
  </si>
  <si>
    <t>Настил верхней палубы</t>
  </si>
  <si>
    <t>Настил нижней палубы</t>
  </si>
  <si>
    <t>СУХОГРУЗ - ПРОДОЛЬНАЯ СИСТЕМА НАБОРА</t>
  </si>
  <si>
    <t>РАСЧЁТ БАЛОК ДНИЩА И ВТОРОГО ДНА</t>
  </si>
  <si>
    <t>ЕСЛИ СИСТЕМА НАБОРА ПРОДОЛЬНАЯ!</t>
  </si>
  <si>
    <t>Продольные балки днища</t>
  </si>
  <si>
    <t>Продольные балки второго дна</t>
  </si>
  <si>
    <t>m</t>
  </si>
  <si>
    <r>
      <t>k</t>
    </r>
    <r>
      <rPr>
        <i/>
        <vertAlign val="subscript"/>
        <sz val="11"/>
        <color theme="1"/>
        <rFont val="Calibri"/>
        <family val="2"/>
        <charset val="204"/>
      </rPr>
      <t>σ</t>
    </r>
  </si>
  <si>
    <r>
      <t>W', см</t>
    </r>
    <r>
      <rPr>
        <i/>
        <vertAlign val="superscript"/>
        <sz val="11"/>
        <color theme="1"/>
        <rFont val="Calibri"/>
        <family val="2"/>
        <charset val="204"/>
        <scheme val="minor"/>
      </rPr>
      <t>3</t>
    </r>
    <r>
      <rPr>
        <i/>
        <sz val="11"/>
        <color theme="1"/>
        <rFont val="Calibri"/>
        <family val="2"/>
        <charset val="204"/>
        <scheme val="minor"/>
      </rPr>
      <t xml:space="preserve"> </t>
    </r>
  </si>
  <si>
    <r>
      <t>α</t>
    </r>
    <r>
      <rPr>
        <i/>
        <vertAlign val="subscript"/>
        <sz val="11"/>
        <color theme="1"/>
        <rFont val="Calibri"/>
        <family val="2"/>
        <charset val="204"/>
        <scheme val="minor"/>
      </rPr>
      <t>к</t>
    </r>
  </si>
  <si>
    <r>
      <t>ω</t>
    </r>
    <r>
      <rPr>
        <i/>
        <vertAlign val="subscript"/>
        <sz val="11"/>
        <color theme="1"/>
        <rFont val="Calibri"/>
        <family val="2"/>
        <charset val="204"/>
        <scheme val="minor"/>
      </rPr>
      <t>к</t>
    </r>
  </si>
  <si>
    <t>W, см3</t>
  </si>
  <si>
    <r>
      <t>W, см</t>
    </r>
    <r>
      <rPr>
        <i/>
        <vertAlign val="superscript"/>
        <sz val="11"/>
        <color theme="1"/>
        <rFont val="Calibri"/>
        <family val="2"/>
        <charset val="204"/>
        <scheme val="minor"/>
      </rPr>
      <t>3</t>
    </r>
  </si>
  <si>
    <r>
      <t>S</t>
    </r>
    <r>
      <rPr>
        <i/>
        <vertAlign val="subscript"/>
        <sz val="11"/>
        <color theme="1"/>
        <rFont val="Calibri"/>
        <family val="2"/>
        <charset val="204"/>
        <scheme val="minor"/>
      </rPr>
      <t>min</t>
    </r>
    <r>
      <rPr>
        <i/>
        <sz val="11"/>
        <color theme="1"/>
        <rFont val="Calibri"/>
        <family val="2"/>
        <charset val="204"/>
        <scheme val="minor"/>
      </rPr>
      <t>, мм</t>
    </r>
  </si>
  <si>
    <t xml:space="preserve">Продольная балка днища </t>
  </si>
  <si>
    <t>h</t>
  </si>
  <si>
    <t>s</t>
  </si>
  <si>
    <t>A</t>
  </si>
  <si>
    <t>I</t>
  </si>
  <si>
    <t>y0</t>
  </si>
  <si>
    <t>Балка</t>
  </si>
  <si>
    <t>Прис.поясок</t>
  </si>
  <si>
    <r>
      <t>s</t>
    </r>
    <r>
      <rPr>
        <i/>
        <vertAlign val="subscript"/>
        <sz val="11"/>
        <color theme="1"/>
        <rFont val="Calibri"/>
        <family val="2"/>
        <charset val="204"/>
        <scheme val="minor"/>
      </rPr>
      <t>пр</t>
    </r>
    <r>
      <rPr>
        <i/>
        <sz val="11"/>
        <color theme="1"/>
        <rFont val="Calibri"/>
        <family val="2"/>
        <charset val="204"/>
        <scheme val="minor"/>
      </rPr>
      <t>, мм</t>
    </r>
  </si>
  <si>
    <r>
      <t>b</t>
    </r>
    <r>
      <rPr>
        <i/>
        <vertAlign val="subscript"/>
        <sz val="11"/>
        <color theme="1"/>
        <rFont val="Calibri"/>
        <family val="2"/>
        <charset val="204"/>
        <scheme val="minor"/>
      </rPr>
      <t>пр</t>
    </r>
    <r>
      <rPr>
        <i/>
        <sz val="11"/>
        <color theme="1"/>
        <rFont val="Calibri"/>
        <family val="2"/>
        <charset val="204"/>
        <scheme val="minor"/>
      </rPr>
      <t>, м</t>
    </r>
  </si>
  <si>
    <t>b, h, см</t>
  </si>
  <si>
    <t>s, см</t>
  </si>
  <si>
    <r>
      <t>A, см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</si>
  <si>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y, см</t>
  </si>
  <si>
    <t>Ay, см3</t>
  </si>
  <si>
    <t>Ayy, см4</t>
  </si>
  <si>
    <t>I, см4</t>
  </si>
  <si>
    <t>СУММА</t>
  </si>
  <si>
    <t>e, см</t>
  </si>
  <si>
    <t>HP 200х9</t>
  </si>
  <si>
    <t>ЕСЛИ СИСТЕМА НАБОРА ПОПЕРЕЧНАЯ!</t>
  </si>
  <si>
    <t>Верхняя балка бракетного флора</t>
  </si>
  <si>
    <t>Нижняя балка бракетного флора</t>
  </si>
  <si>
    <t xml:space="preserve">Верхняя балка бракетного флора </t>
  </si>
  <si>
    <t>HP 220х10</t>
  </si>
  <si>
    <t xml:space="preserve">Нижняя балка бракетного флора </t>
  </si>
  <si>
    <t>HP 220х11.5</t>
  </si>
  <si>
    <t>HP 220x10</t>
  </si>
  <si>
    <t>HP 220x11.5</t>
  </si>
  <si>
    <t>Продольная балка второго дна</t>
  </si>
  <si>
    <t>HP 180х8</t>
  </si>
  <si>
    <t>Сплошной флор</t>
  </si>
  <si>
    <t>Вертикальный киль</t>
  </si>
  <si>
    <t>ЕСЛИ ПРОДОЛЬНАЯ СИСТЕМА НАБОРА</t>
  </si>
  <si>
    <t>ЕСЛИ ПОПЕРЕЧНАЯ СИСТЕМА НАБОРА</t>
  </si>
  <si>
    <t>α</t>
  </si>
  <si>
    <t>k1</t>
  </si>
  <si>
    <t>k2</t>
  </si>
  <si>
    <t>s, мм</t>
  </si>
  <si>
    <r>
      <t>s</t>
    </r>
    <r>
      <rPr>
        <i/>
        <vertAlign val="subscript"/>
        <sz val="11"/>
        <color theme="1"/>
        <rFont val="Calibri"/>
        <family val="2"/>
        <charset val="204"/>
        <scheme val="minor"/>
      </rPr>
      <t>as-built</t>
    </r>
    <r>
      <rPr>
        <i/>
        <sz val="11"/>
        <color theme="1"/>
        <rFont val="Calibri"/>
        <family val="2"/>
        <charset val="204"/>
        <scheme val="minor"/>
      </rPr>
      <t>, мм</t>
    </r>
  </si>
  <si>
    <t>-</t>
  </si>
  <si>
    <t>РАСЧЁТ ШПАНГОУТОВ</t>
  </si>
  <si>
    <t>Шпангоут в трюме</t>
  </si>
  <si>
    <t>ВАРИАНТ С СУХОГРУЗНЫМ СУДНОМ!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</si>
  <si>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st</t>
    </r>
    <r>
      <rPr>
        <sz val="11"/>
        <color theme="1"/>
        <rFont val="Calibri"/>
        <family val="2"/>
        <charset val="204"/>
        <scheme val="minor"/>
      </rPr>
      <t>+p</t>
    </r>
    <r>
      <rPr>
        <vertAlign val="subscript"/>
        <sz val="11"/>
        <color theme="1"/>
        <rFont val="Calibri"/>
        <family val="2"/>
        <charset val="204"/>
        <scheme val="minor"/>
      </rPr>
      <t>w</t>
    </r>
    <r>
      <rPr>
        <sz val="11"/>
        <color theme="1"/>
        <rFont val="Calibri"/>
        <family val="2"/>
        <charset val="204"/>
        <scheme val="minor"/>
      </rPr>
      <t>, кПа</t>
    </r>
  </si>
  <si>
    <t>pmin, кПа</t>
  </si>
  <si>
    <t>Шпангоут в твиндеке</t>
  </si>
  <si>
    <t>HP 180х9</t>
  </si>
  <si>
    <t>HP 160х8</t>
  </si>
  <si>
    <t>ВАРИАНТ ТАНКЕР!!!</t>
  </si>
  <si>
    <t>ТАНКЕР!</t>
  </si>
  <si>
    <t>(СУХОГРУЗ)</t>
  </si>
  <si>
    <t>HP 200x10</t>
  </si>
  <si>
    <t>на один мм больше, чем флор</t>
  </si>
  <si>
    <t>ВАРИАНТ С ТАНКЕРОМ!</t>
  </si>
  <si>
    <t>Шпангоут в нижнем пролете</t>
  </si>
  <si>
    <t>Шпангоут в верхнем пролете</t>
  </si>
  <si>
    <t>Шпангоут в нижнем пролете (танкер)</t>
  </si>
  <si>
    <t>Шпангоут в верхнем пролете (танкер)</t>
  </si>
  <si>
    <t>HP200x10</t>
  </si>
  <si>
    <t>Шпангоут внутренний в нижнем пролете</t>
  </si>
  <si>
    <t>Шпангоут внутренний в верхнем пролете</t>
  </si>
  <si>
    <t>берем как нижний</t>
  </si>
  <si>
    <t>HP220x11.5</t>
  </si>
  <si>
    <t>РАСЧЁТ БАЛОК ВЕРХНЕЙ ПАЛУБЫ</t>
  </si>
  <si>
    <t>ВАРИАНТ С СУХОГРУЗНЫМ СУДНОМ - ПРОДОЛЬНАЯ СИСТЕМА НАБОРА</t>
  </si>
  <si>
    <t>Продольная балка верхней палубы</t>
  </si>
  <si>
    <t>HP 140х7</t>
  </si>
  <si>
    <t>HP 140x7</t>
  </si>
  <si>
    <t>ВАРИАНТ С СУХОГРУЗНЫМ СУДНОМ - ПОПЕРЕЧНАЯ СИСТЕМА НАБОРА</t>
  </si>
  <si>
    <t>Бимс</t>
  </si>
  <si>
    <t>HP 160х9</t>
  </si>
  <si>
    <t>Кница для соединения бимса верхней палубы и шпангоута</t>
  </si>
  <si>
    <t>Катет кницы</t>
  </si>
  <si>
    <t>c, см</t>
  </si>
  <si>
    <t>Примем кницу 200х200х8</t>
  </si>
  <si>
    <t>РАСЧЁТ БАЛОК НИЖНЕЙ ПАЛУБЫ</t>
  </si>
  <si>
    <t>Бимс нижней палубы</t>
  </si>
  <si>
    <t>Бимс верхней палубы</t>
  </si>
  <si>
    <t>HP 200x9</t>
  </si>
  <si>
    <t>Кница для соединения бимса нижней палубы и шпангоута</t>
  </si>
  <si>
    <t>Примем кницу 220х220х9</t>
  </si>
  <si>
    <t>ВАРИАНТ С ТАНКЕРОМ !</t>
  </si>
  <si>
    <t>Рамные бимсы и полубимсы</t>
  </si>
  <si>
    <t>Стенка</t>
  </si>
  <si>
    <t>Своб.поясок</t>
  </si>
  <si>
    <t>Т_280х8/120х12</t>
  </si>
  <si>
    <t>ТРЕБУЕМЫЕ ХАРАКТЕРИСТИКИ ПОПЕРЕЧНОГО СЕЧЕНИЯ ДЛЯ ПРОВЕРКИ ОБЩЕЙ ПРОДОЛЬНОЙ ПРОЧНОСТИ</t>
  </si>
  <si>
    <t>Предел текучести материала верхней палубы</t>
  </si>
  <si>
    <t>Коэффициент материала верхней палубы</t>
  </si>
  <si>
    <t>Предел текучести материала днища</t>
  </si>
  <si>
    <t>Коэффициент материала днища</t>
  </si>
  <si>
    <r>
      <t>R</t>
    </r>
    <r>
      <rPr>
        <i/>
        <vertAlign val="subscript"/>
        <sz val="11"/>
        <color theme="1"/>
        <rFont val="Calibri"/>
        <family val="2"/>
        <charset val="204"/>
        <scheme val="minor"/>
      </rPr>
      <t>eH-D</t>
    </r>
    <r>
      <rPr>
        <i/>
        <sz val="11"/>
        <color theme="1"/>
        <rFont val="Calibri"/>
        <family val="2"/>
        <charset val="204"/>
        <scheme val="minor"/>
      </rPr>
      <t>, МПа</t>
    </r>
  </si>
  <si>
    <r>
      <t>R</t>
    </r>
    <r>
      <rPr>
        <i/>
        <vertAlign val="subscript"/>
        <sz val="11"/>
        <color theme="1"/>
        <rFont val="Calibri"/>
        <family val="2"/>
        <charset val="204"/>
        <scheme val="minor"/>
      </rPr>
      <t>eH-B</t>
    </r>
    <r>
      <rPr>
        <i/>
        <sz val="11"/>
        <color theme="1"/>
        <rFont val="Calibri"/>
        <family val="2"/>
        <charset val="204"/>
        <scheme val="minor"/>
      </rPr>
      <t>, МПа</t>
    </r>
  </si>
  <si>
    <r>
      <t>η</t>
    </r>
    <r>
      <rPr>
        <i/>
        <vertAlign val="subscript"/>
        <sz val="11"/>
        <color theme="1"/>
        <rFont val="Calibri"/>
        <family val="2"/>
        <charset val="204"/>
      </rPr>
      <t>D</t>
    </r>
  </si>
  <si>
    <r>
      <t>η</t>
    </r>
    <r>
      <rPr>
        <i/>
        <vertAlign val="subscript"/>
        <sz val="11"/>
        <color theme="1"/>
        <rFont val="Calibri"/>
        <family val="2"/>
        <charset val="204"/>
      </rPr>
      <t>B</t>
    </r>
  </si>
  <si>
    <t>Допускаемые напряжения в верхней палубе</t>
  </si>
  <si>
    <t>Допускаемые напряжения в днище</t>
  </si>
  <si>
    <r>
      <t>[σ]</t>
    </r>
    <r>
      <rPr>
        <i/>
        <vertAlign val="subscript"/>
        <sz val="11"/>
        <color theme="1"/>
        <rFont val="Calibri"/>
        <family val="2"/>
        <charset val="204"/>
      </rPr>
      <t>D</t>
    </r>
    <r>
      <rPr>
        <i/>
        <sz val="11"/>
        <color theme="1"/>
        <rFont val="Calibri"/>
        <family val="2"/>
        <charset val="204"/>
      </rPr>
      <t>, МПа</t>
    </r>
  </si>
  <si>
    <r>
      <t>[σ]</t>
    </r>
    <r>
      <rPr>
        <i/>
        <vertAlign val="subscript"/>
        <sz val="11"/>
        <color theme="1"/>
        <rFont val="Calibri"/>
        <family val="2"/>
        <charset val="204"/>
      </rPr>
      <t>B</t>
    </r>
    <r>
      <rPr>
        <i/>
        <sz val="11"/>
        <color theme="1"/>
        <rFont val="Calibri"/>
        <family val="2"/>
        <charset val="204"/>
      </rPr>
      <t>, МПа</t>
    </r>
  </si>
  <si>
    <t>корпуса судна на уровне верхней палубы</t>
  </si>
  <si>
    <r>
      <t>W</t>
    </r>
    <r>
      <rPr>
        <i/>
        <vertAlign val="subscript"/>
        <sz val="11"/>
        <color theme="1"/>
        <rFont val="Calibri"/>
        <family val="2"/>
        <charset val="204"/>
      </rPr>
      <t>D</t>
    </r>
    <r>
      <rPr>
        <i/>
        <sz val="11"/>
        <color theme="1"/>
        <rFont val="Calibri"/>
        <family val="2"/>
        <charset val="204"/>
      </rPr>
      <t>, см</t>
    </r>
    <r>
      <rPr>
        <i/>
        <vertAlign val="superscript"/>
        <sz val="11"/>
        <color theme="1"/>
        <rFont val="Calibri"/>
        <family val="2"/>
        <charset val="204"/>
      </rPr>
      <t>3</t>
    </r>
  </si>
  <si>
    <t>Наибольший по модулю расчётный изгибающий момент</t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</si>
  <si>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>, кНм</t>
    </r>
  </si>
  <si>
    <t>корпуса судна на уровне днища</t>
  </si>
  <si>
    <r>
      <t>W</t>
    </r>
    <r>
      <rPr>
        <i/>
        <vertAlign val="subscript"/>
        <sz val="11"/>
        <color theme="1"/>
        <rFont val="Calibri"/>
        <family val="2"/>
        <charset val="204"/>
      </rPr>
      <t>B</t>
    </r>
    <r>
      <rPr>
        <i/>
        <sz val="11"/>
        <color theme="1"/>
        <rFont val="Calibri"/>
        <family val="2"/>
        <charset val="204"/>
      </rPr>
      <t>, см</t>
    </r>
    <r>
      <rPr>
        <i/>
        <vertAlign val="superscript"/>
        <sz val="11"/>
        <color theme="1"/>
        <rFont val="Calibri"/>
        <family val="2"/>
        <charset val="204"/>
      </rPr>
      <t>3</t>
    </r>
  </si>
  <si>
    <t>Требуемый момент сопротивления</t>
  </si>
  <si>
    <t>Расчётное значение требуемого момента</t>
  </si>
  <si>
    <t>сопротивления на уровне верхней палубы</t>
  </si>
  <si>
    <r>
      <t>W</t>
    </r>
    <r>
      <rPr>
        <i/>
        <vertAlign val="subscript"/>
        <sz val="11"/>
        <color theme="1"/>
        <rFont val="Calibri"/>
        <family val="2"/>
        <charset val="204"/>
      </rPr>
      <t>D_треб</t>
    </r>
    <r>
      <rPr>
        <i/>
        <sz val="11"/>
        <color theme="1"/>
        <rFont val="Calibri"/>
        <family val="2"/>
        <charset val="204"/>
      </rPr>
      <t>, см</t>
    </r>
    <r>
      <rPr>
        <i/>
        <vertAlign val="superscript"/>
        <sz val="11"/>
        <color theme="1"/>
        <rFont val="Calibri"/>
        <family val="2"/>
        <charset val="204"/>
      </rPr>
      <t>3</t>
    </r>
  </si>
  <si>
    <r>
      <t>W</t>
    </r>
    <r>
      <rPr>
        <i/>
        <vertAlign val="subscript"/>
        <sz val="11"/>
        <color theme="1"/>
        <rFont val="Calibri"/>
        <family val="2"/>
        <charset val="204"/>
      </rPr>
      <t>D_min</t>
    </r>
    <r>
      <rPr>
        <i/>
        <sz val="11"/>
        <color theme="1"/>
        <rFont val="Calibri"/>
        <family val="2"/>
        <charset val="204"/>
      </rPr>
      <t>, см</t>
    </r>
    <r>
      <rPr>
        <i/>
        <vertAlign val="superscript"/>
        <sz val="11"/>
        <color theme="1"/>
        <rFont val="Calibri"/>
        <family val="2"/>
        <charset val="204"/>
      </rPr>
      <t>3</t>
    </r>
  </si>
  <si>
    <r>
      <t>W</t>
    </r>
    <r>
      <rPr>
        <i/>
        <vertAlign val="subscript"/>
        <sz val="11"/>
        <color theme="1"/>
        <rFont val="Calibri"/>
        <family val="2"/>
        <charset val="204"/>
      </rPr>
      <t>B_min</t>
    </r>
    <r>
      <rPr>
        <i/>
        <sz val="11"/>
        <color theme="1"/>
        <rFont val="Calibri"/>
        <family val="2"/>
        <charset val="204"/>
      </rPr>
      <t>, см</t>
    </r>
    <r>
      <rPr>
        <i/>
        <vertAlign val="superscript"/>
        <sz val="11"/>
        <color theme="1"/>
        <rFont val="Calibri"/>
        <family val="2"/>
        <charset val="204"/>
      </rPr>
      <t>3</t>
    </r>
  </si>
  <si>
    <t>Минимальный момент инерции сечения</t>
  </si>
  <si>
    <t>корпуса судна (эквивалентного бруса)</t>
  </si>
  <si>
    <r>
      <t>I</t>
    </r>
    <r>
      <rPr>
        <i/>
        <vertAlign val="subscript"/>
        <sz val="11"/>
        <color theme="1"/>
        <rFont val="Calibri"/>
        <family val="2"/>
        <charset val="204"/>
        <scheme val="minor"/>
      </rPr>
      <t>min</t>
    </r>
    <r>
      <rPr>
        <i/>
        <sz val="11"/>
        <color theme="1"/>
        <rFont val="Calibri"/>
        <family val="2"/>
        <charset val="204"/>
        <scheme val="minor"/>
      </rPr>
      <t>, см</t>
    </r>
    <r>
      <rPr>
        <i/>
        <vertAlign val="superscript"/>
        <sz val="11"/>
        <color theme="1"/>
        <rFont val="Calibri"/>
        <family val="2"/>
        <charset val="204"/>
        <scheme val="minor"/>
      </rPr>
      <t>4</t>
    </r>
  </si>
  <si>
    <t>РАСЧЕТ ФАКТИЧЕСКИХ ХАРАКТЕРИСТИК ЭКВИВАЛЕНТНОГО БРУСА (HULL GIRDER SECTION MODULUS CALCULATION)</t>
  </si>
  <si>
    <t xml:space="preserve"> ВАРИАНТ СУХОГРУЗНОГО СУДНА С ПРОДОЛЬНОЙ СИСТЕМОЙ НАБОРА ВЕРХНЕЙ ПАЛУБЫ И ДНИЩА!</t>
  </si>
  <si>
    <t>No.</t>
  </si>
  <si>
    <t>Наименование продольной конструкции</t>
  </si>
  <si>
    <t>Размеры</t>
  </si>
  <si>
    <t>Размер</t>
  </si>
  <si>
    <t>b, мм</t>
  </si>
  <si>
    <t>h, мм</t>
  </si>
  <si>
    <t>Горизонтальный киль</t>
  </si>
  <si>
    <t>625х12</t>
  </si>
  <si>
    <t>Площадь 1 элемента</t>
  </si>
  <si>
    <r>
      <t>A</t>
    </r>
    <r>
      <rPr>
        <i/>
        <vertAlign val="subscript"/>
        <sz val="11"/>
        <color theme="1"/>
        <rFont val="Calibri"/>
        <family val="2"/>
        <charset val="204"/>
        <scheme val="minor"/>
      </rPr>
      <t>i</t>
    </r>
    <r>
      <rPr>
        <i/>
        <sz val="11"/>
        <color theme="1"/>
        <rFont val="Calibri"/>
        <family val="2"/>
        <charset val="204"/>
        <scheme val="minor"/>
      </rPr>
      <t>, см</t>
    </r>
    <r>
      <rPr>
        <i/>
        <vertAlign val="superscript"/>
        <sz val="11"/>
        <color theme="1"/>
        <rFont val="Calibri"/>
        <family val="2"/>
        <charset val="204"/>
        <scheme val="minor"/>
      </rPr>
      <t>2</t>
    </r>
  </si>
  <si>
    <t>Количество</t>
  </si>
  <si>
    <t>n</t>
  </si>
  <si>
    <t>Обшивка плоского днища</t>
  </si>
  <si>
    <t>5815х10</t>
  </si>
  <si>
    <t>Скуловой пояс</t>
  </si>
  <si>
    <t>1979х10</t>
  </si>
  <si>
    <t>Площадь общая</t>
  </si>
  <si>
    <r>
      <t>nA</t>
    </r>
    <r>
      <rPr>
        <i/>
        <vertAlign val="subscript"/>
        <sz val="11"/>
        <color theme="1"/>
        <rFont val="Calibri"/>
        <family val="2"/>
        <charset val="204"/>
        <scheme val="minor"/>
      </rPr>
      <t>i</t>
    </r>
    <r>
      <rPr>
        <i/>
        <sz val="11"/>
        <color theme="1"/>
        <rFont val="Calibri"/>
        <family val="2"/>
        <charset val="204"/>
        <scheme val="minor"/>
      </rPr>
      <t>, см</t>
    </r>
    <r>
      <rPr>
        <i/>
        <vertAlign val="superscript"/>
        <sz val="11"/>
        <color theme="1"/>
        <rFont val="Calibri"/>
        <family val="2"/>
        <charset val="204"/>
        <scheme val="minor"/>
      </rPr>
      <t>2</t>
    </r>
  </si>
  <si>
    <t>Аппликата ц.т.</t>
  </si>
  <si>
    <r>
      <t>от ОП z</t>
    </r>
    <r>
      <rPr>
        <i/>
        <vertAlign val="subscript"/>
        <sz val="11"/>
        <color theme="1"/>
        <rFont val="Calibri"/>
        <family val="2"/>
        <charset val="204"/>
        <scheme val="minor"/>
      </rPr>
      <t>i</t>
    </r>
    <r>
      <rPr>
        <i/>
        <sz val="11"/>
        <color theme="1"/>
        <rFont val="Calibri"/>
        <family val="2"/>
        <charset val="204"/>
        <scheme val="minor"/>
      </rPr>
      <t>, см</t>
    </r>
  </si>
  <si>
    <t>2000х10</t>
  </si>
  <si>
    <t>Лист борта нижний (надскуловой) E</t>
  </si>
  <si>
    <t>Лист борта F</t>
  </si>
  <si>
    <t>Лист борта G</t>
  </si>
  <si>
    <t>Ширстрек H</t>
  </si>
  <si>
    <t>1250х10</t>
  </si>
  <si>
    <t>990х10</t>
  </si>
  <si>
    <t>3500х9</t>
  </si>
  <si>
    <t>3500х8</t>
  </si>
  <si>
    <t>Настил второго дна (без междудонного листа)</t>
  </si>
  <si>
    <t>Крайний междудонный лист (горизонтальный)</t>
  </si>
  <si>
    <t>6625х9</t>
  </si>
  <si>
    <t>1065х9</t>
  </si>
  <si>
    <t>1100х11</t>
  </si>
  <si>
    <t>Днищевой стрингер</t>
  </si>
  <si>
    <t>1100х10</t>
  </si>
  <si>
    <t>HP 180x8</t>
  </si>
  <si>
    <t>Продольные балки верхней палубы</t>
  </si>
  <si>
    <t>Стенка карлингса верхней палубы</t>
  </si>
  <si>
    <t>Поясок карлингса верхней палубы</t>
  </si>
  <si>
    <t>Стенка карлингса нижней палубы</t>
  </si>
  <si>
    <t>Поясок карлингса нижней палубы</t>
  </si>
  <si>
    <t>500х10</t>
  </si>
  <si>
    <t>250х25</t>
  </si>
  <si>
    <t>550х12</t>
  </si>
  <si>
    <t>770х25</t>
  </si>
  <si>
    <t>Статический момент</t>
  </si>
  <si>
    <r>
      <rPr>
        <sz val="11"/>
        <color theme="1"/>
        <rFont val="Calibri"/>
        <family val="2"/>
        <charset val="204"/>
        <scheme val="minor"/>
      </rPr>
      <t>площади</t>
    </r>
    <r>
      <rPr>
        <i/>
        <sz val="11"/>
        <color theme="1"/>
        <rFont val="Calibri"/>
        <family val="2"/>
        <charset val="204"/>
        <scheme val="minor"/>
      </rPr>
      <t xml:space="preserve"> nA</t>
    </r>
    <r>
      <rPr>
        <i/>
        <vertAlign val="subscript"/>
        <sz val="11"/>
        <color theme="1"/>
        <rFont val="Calibri"/>
        <family val="2"/>
        <charset val="204"/>
        <scheme val="minor"/>
      </rPr>
      <t>i</t>
    </r>
    <r>
      <rPr>
        <i/>
        <sz val="11"/>
        <color theme="1"/>
        <rFont val="Calibri"/>
        <family val="2"/>
        <charset val="204"/>
        <scheme val="minor"/>
      </rPr>
      <t>z</t>
    </r>
    <r>
      <rPr>
        <i/>
        <vertAlign val="subscript"/>
        <sz val="11"/>
        <color theme="1"/>
        <rFont val="Calibri"/>
        <family val="2"/>
        <charset val="204"/>
        <scheme val="minor"/>
      </rPr>
      <t>i</t>
    </r>
    <r>
      <rPr>
        <i/>
        <sz val="11"/>
        <color theme="1"/>
        <rFont val="Calibri"/>
        <family val="2"/>
        <charset val="204"/>
        <scheme val="minor"/>
      </rPr>
      <t>, см</t>
    </r>
    <r>
      <rPr>
        <i/>
        <vertAlign val="superscript"/>
        <sz val="11"/>
        <color theme="1"/>
        <rFont val="Calibri"/>
        <family val="2"/>
        <charset val="204"/>
        <scheme val="minor"/>
      </rPr>
      <t>3</t>
    </r>
  </si>
  <si>
    <t>Переносный момент инерции</t>
  </si>
  <si>
    <r>
      <t xml:space="preserve"> nA</t>
    </r>
    <r>
      <rPr>
        <i/>
        <vertAlign val="subscript"/>
        <sz val="11"/>
        <color theme="1"/>
        <rFont val="Calibri"/>
        <family val="2"/>
        <charset val="204"/>
        <scheme val="minor"/>
      </rPr>
      <t>i</t>
    </r>
    <r>
      <rPr>
        <i/>
        <sz val="11"/>
        <color theme="1"/>
        <rFont val="Calibri"/>
        <family val="2"/>
        <charset val="204"/>
        <scheme val="minor"/>
      </rPr>
      <t>z</t>
    </r>
    <r>
      <rPr>
        <i/>
        <vertAlign val="subscript"/>
        <sz val="11"/>
        <color theme="1"/>
        <rFont val="Calibri"/>
        <family val="2"/>
        <charset val="204"/>
        <scheme val="minor"/>
      </rPr>
      <t>i</t>
    </r>
    <r>
      <rPr>
        <i/>
        <vertAlign val="superscript"/>
        <sz val="11"/>
        <color theme="1"/>
        <rFont val="Calibri"/>
        <family val="2"/>
        <charset val="204"/>
        <scheme val="minor"/>
      </rPr>
      <t>2</t>
    </r>
    <r>
      <rPr>
        <i/>
        <sz val="11"/>
        <color theme="1"/>
        <rFont val="Calibri"/>
        <family val="2"/>
        <charset val="204"/>
        <scheme val="minor"/>
      </rPr>
      <t>, см</t>
    </r>
    <r>
      <rPr>
        <i/>
        <vertAlign val="superscript"/>
        <sz val="11"/>
        <color theme="1"/>
        <rFont val="Calibri"/>
        <family val="2"/>
        <charset val="204"/>
        <scheme val="minor"/>
      </rPr>
      <t>4</t>
    </r>
  </si>
  <si>
    <t>Собственный момент инерции</t>
  </si>
  <si>
    <r>
      <t>i</t>
    </r>
    <r>
      <rPr>
        <i/>
        <vertAlign val="subscript"/>
        <sz val="11"/>
        <color theme="1"/>
        <rFont val="Calibri"/>
        <family val="2"/>
        <charset val="204"/>
        <scheme val="minor"/>
      </rPr>
      <t>0i</t>
    </r>
    <r>
      <rPr>
        <i/>
        <sz val="11"/>
        <color theme="1"/>
        <rFont val="Calibri"/>
        <family val="2"/>
        <charset val="204"/>
        <scheme val="minor"/>
      </rPr>
      <t>, см</t>
    </r>
    <r>
      <rPr>
        <i/>
        <vertAlign val="superscript"/>
        <sz val="11"/>
        <color theme="1"/>
        <rFont val="Calibri"/>
        <family val="2"/>
        <charset val="204"/>
        <scheme val="minor"/>
      </rPr>
      <t>4</t>
    </r>
  </si>
  <si>
    <t>СУММЫ</t>
  </si>
  <si>
    <t>Отстояние нейтральной оси от ОП</t>
  </si>
  <si>
    <t>e, м</t>
  </si>
  <si>
    <t>=</t>
  </si>
  <si>
    <t>D</t>
  </si>
  <si>
    <t>Момент инерции корпуса судна</t>
  </si>
  <si>
    <r>
      <t>I, см</t>
    </r>
    <r>
      <rPr>
        <i/>
        <vertAlign val="superscript"/>
        <sz val="11"/>
        <color theme="1"/>
        <rFont val="Calibri"/>
        <family val="2"/>
        <charset val="204"/>
        <scheme val="minor"/>
      </rPr>
      <t>4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</si>
  <si>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min</t>
    </r>
  </si>
  <si>
    <t>Момент сопротивления корпуса на уровне:</t>
  </si>
  <si>
    <t>- днища</t>
  </si>
  <si>
    <r>
      <t>W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sz val="11"/>
        <color theme="1"/>
        <rFont val="Calibri"/>
        <family val="2"/>
        <charset val="204"/>
        <scheme val="minor"/>
      </rPr>
      <t>, см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</si>
  <si>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W</t>
    </r>
    <r>
      <rPr>
        <vertAlign val="subscript"/>
        <sz val="11"/>
        <color theme="1"/>
        <rFont val="Calibri"/>
        <family val="2"/>
        <charset val="204"/>
        <scheme val="minor"/>
      </rPr>
      <t>B_треб</t>
    </r>
  </si>
  <si>
    <t>- палубы</t>
  </si>
  <si>
    <r>
      <t>W</t>
    </r>
    <r>
      <rPr>
        <vertAlign val="subscript"/>
        <sz val="11"/>
        <color theme="1"/>
        <rFont val="Calibri"/>
        <family val="2"/>
        <charset val="204"/>
        <scheme val="minor"/>
      </rPr>
      <t>D</t>
    </r>
    <r>
      <rPr>
        <sz val="11"/>
        <color theme="1"/>
        <rFont val="Calibri"/>
        <family val="2"/>
        <charset val="204"/>
        <scheme val="minor"/>
      </rPr>
      <t>, см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</si>
  <si>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W</t>
    </r>
    <r>
      <rPr>
        <vertAlign val="subscript"/>
        <sz val="11"/>
        <color theme="1"/>
        <rFont val="Calibri"/>
        <family val="2"/>
        <charset val="204"/>
        <scheme val="minor"/>
      </rPr>
      <t>D_треб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</si>
</sst>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vertAlign val="subscript"/>
      <sz val="11"/>
      <color theme="1"/>
      <name val="Calibri"/>
      <family val="2"/>
      <charset val="204"/>
      <scheme val="minor"/>
    </font>
    <font>
      <i/>
      <vertAlign val="superscript"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i/>
      <vertAlign val="subscript"/>
      <sz val="11"/>
      <color theme="1"/>
      <name val="Calibri"/>
      <family val="2"/>
      <charset val="204"/>
    </font>
    <font>
      <i/>
      <vertAlign val="super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Font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quotePrefix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0" fontId="0" fillId="0" borderId="0" xfId="0" applyBorder="1"/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4" xfId="0" applyBorder="1"/>
    <xf numFmtId="164" fontId="0" fillId="0" borderId="4" xfId="0" applyNumberFormat="1" applyBorder="1" applyAlignment="1">
      <alignment horizontal="center"/>
    </xf>
    <xf numFmtId="2" fontId="0" fillId="0" borderId="4" xfId="0" applyNumberFormat="1" applyBorder="1"/>
    <xf numFmtId="2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0" fontId="0" fillId="0" borderId="0" xfId="0" quotePrefix="1" applyAlignment="1">
      <alignment horizontal="right"/>
    </xf>
  </cellXfs>
  <cellStyles count="2">
    <cellStyle name="Обычный" xfId="0" builtinId="0"/>
    <cellStyle name="Обычный 2" xfId="1" xr:uid="{20011BF8-0C75-43DD-A10C-05FDCF4086FB}"/>
  </cellStyles>
  <dxfs count="3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547919</xdr:colOff>
      <xdr:row>6</xdr:row>
      <xdr:rowOff>122729</xdr:rowOff>
    </xdr:from>
    <xdr:to>
      <xdr:col>11</xdr:col>
      <xdr:colOff>174488</xdr:colOff>
      <xdr:row>8</xdr:row>
      <xdr:rowOff>126257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E909565-D026-4C7D-80D0-3EE66431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6261" y="1225624"/>
          <a:ext cx="1653053" cy="39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</xdr:colOff>
      <xdr:row>17</xdr:row>
      <xdr:rowOff>10886</xdr:rowOff>
    </xdr:from>
    <xdr:to>
      <xdr:col>11</xdr:col>
      <xdr:colOff>730226</xdr:colOff>
      <xdr:row>21</xdr:row>
      <xdr:rowOff>118496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0087941-41E3-45EB-936F-09CD3514A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5305" y="3258457"/>
          <a:ext cx="2755901" cy="873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944563</xdr:colOff>
      <xdr:row>36</xdr:row>
      <xdr:rowOff>18269</xdr:rowOff>
    </xdr:from>
    <xdr:to>
      <xdr:col>6</xdr:col>
      <xdr:colOff>85560</xdr:colOff>
      <xdr:row>37</xdr:row>
      <xdr:rowOff>793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955A9DF-02B3-401B-906C-AB4845A66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1938" y="5689613"/>
          <a:ext cx="928688" cy="192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575897</xdr:colOff>
      <xdr:row>23</xdr:row>
      <xdr:rowOff>39077</xdr:rowOff>
    </xdr:from>
    <xdr:to>
      <xdr:col>11</xdr:col>
      <xdr:colOff>558963</xdr:colOff>
      <xdr:row>29</xdr:row>
      <xdr:rowOff>137983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488C433-799E-4B45-8748-5B43DCBAF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1743" y="4454769"/>
          <a:ext cx="2015881" cy="121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265044</xdr:colOff>
      <xdr:row>39</xdr:row>
      <xdr:rowOff>66261</xdr:rowOff>
    </xdr:from>
    <xdr:to>
      <xdr:col>8</xdr:col>
      <xdr:colOff>25045</xdr:colOff>
      <xdr:row>41</xdr:row>
      <xdr:rowOff>53009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A9BA96F-652A-4B64-84D4-741093E61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6696" y="6692348"/>
          <a:ext cx="1665633" cy="389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496957</xdr:colOff>
      <xdr:row>41</xdr:row>
      <xdr:rowOff>71783</xdr:rowOff>
    </xdr:from>
    <xdr:to>
      <xdr:col>7</xdr:col>
      <xdr:colOff>1131956</xdr:colOff>
      <xdr:row>42</xdr:row>
      <xdr:rowOff>179733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1CDA4A6-C12D-482C-B4C8-6CE1C1EA9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8609" y="7100957"/>
          <a:ext cx="1240183" cy="290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16565</xdr:colOff>
      <xdr:row>41</xdr:row>
      <xdr:rowOff>27608</xdr:rowOff>
    </xdr:from>
    <xdr:to>
      <xdr:col>10</xdr:col>
      <xdr:colOff>188637</xdr:colOff>
      <xdr:row>42</xdr:row>
      <xdr:rowOff>167308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F4635E91-F506-4EF9-B068-F5B43C96D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0391" y="7056782"/>
          <a:ext cx="1233833" cy="321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399584</xdr:colOff>
      <xdr:row>44</xdr:row>
      <xdr:rowOff>179658</xdr:rowOff>
    </xdr:from>
    <xdr:to>
      <xdr:col>7</xdr:col>
      <xdr:colOff>220808</xdr:colOff>
      <xdr:row>50</xdr:row>
      <xdr:rowOff>149611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11C9B9A5-E30E-4D8D-9F07-A5F705412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925" y="7781073"/>
          <a:ext cx="1271239" cy="113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476583</xdr:colOff>
      <xdr:row>85</xdr:row>
      <xdr:rowOff>13519</xdr:rowOff>
    </xdr:from>
    <xdr:to>
      <xdr:col>11</xdr:col>
      <xdr:colOff>29565</xdr:colOff>
      <xdr:row>89</xdr:row>
      <xdr:rowOff>120864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19F8220-EA7A-48F8-B7D4-0D4C85126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1824" y="15476864"/>
          <a:ext cx="2407289" cy="961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39036</xdr:colOff>
      <xdr:row>194</xdr:row>
      <xdr:rowOff>97094</xdr:rowOff>
    </xdr:from>
    <xdr:to>
      <xdr:col>25</xdr:col>
      <xdr:colOff>371168</xdr:colOff>
      <xdr:row>211</xdr:row>
      <xdr:rowOff>54136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E3B4F56A-EB1A-4664-87A4-8009C7E7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8693" y="32195437"/>
          <a:ext cx="6079789" cy="3128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305394</xdr:colOff>
      <xdr:row>206</xdr:row>
      <xdr:rowOff>129295</xdr:rowOff>
    </xdr:from>
    <xdr:to>
      <xdr:col>29</xdr:col>
      <xdr:colOff>380625</xdr:colOff>
      <xdr:row>224</xdr:row>
      <xdr:rowOff>113978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B4A91F40-5795-48AE-968A-47870D35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8944" y="38851595"/>
          <a:ext cx="5561632" cy="3359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598596</xdr:colOff>
      <xdr:row>197</xdr:row>
      <xdr:rowOff>159657</xdr:rowOff>
    </xdr:from>
    <xdr:to>
      <xdr:col>35</xdr:col>
      <xdr:colOff>169772</xdr:colOff>
      <xdr:row>201</xdr:row>
      <xdr:rowOff>79419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635B4D7D-2988-4BFC-8840-0D8C19F64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24960" y="33468293"/>
          <a:ext cx="5078355" cy="68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535165</xdr:colOff>
      <xdr:row>202</xdr:row>
      <xdr:rowOff>175219</xdr:rowOff>
    </xdr:from>
    <xdr:to>
      <xdr:col>35</xdr:col>
      <xdr:colOff>240758</xdr:colOff>
      <xdr:row>210</xdr:row>
      <xdr:rowOff>114394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59BDFE3F-9E1A-4146-BB8B-EEAAEF7E6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1529" y="34430583"/>
          <a:ext cx="5212772" cy="1416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522654</xdr:colOff>
      <xdr:row>381</xdr:row>
      <xdr:rowOff>39960</xdr:rowOff>
    </xdr:from>
    <xdr:to>
      <xdr:col>9</xdr:col>
      <xdr:colOff>648258</xdr:colOff>
      <xdr:row>383</xdr:row>
      <xdr:rowOff>159726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69C8F80-FC52-4A5D-B617-F206AA8B1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6346" y="72737691"/>
          <a:ext cx="2866292" cy="56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81641</xdr:colOff>
      <xdr:row>393</xdr:row>
      <xdr:rowOff>219533</xdr:rowOff>
    </xdr:from>
    <xdr:to>
      <xdr:col>8</xdr:col>
      <xdr:colOff>725714</xdr:colOff>
      <xdr:row>395</xdr:row>
      <xdr:rowOff>121550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F6B86A90-FD51-40BA-82CE-7990CEA81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8355" y="75178562"/>
          <a:ext cx="2556330" cy="308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851646</xdr:colOff>
      <xdr:row>389</xdr:row>
      <xdr:rowOff>83207</xdr:rowOff>
    </xdr:from>
    <xdr:to>
      <xdr:col>12</xdr:col>
      <xdr:colOff>887717</xdr:colOff>
      <xdr:row>399</xdr:row>
      <xdr:rowOff>112803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23658CCD-62DD-433D-A6CE-5A9ADD559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6352" y="74781619"/>
          <a:ext cx="2333439" cy="2046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B7F0-C832-48B4-81D8-CFCE04EE8E9C}">
  <dimension ref="A2:H26"/>
  <sheetViews>
    <sheetView workbookViewId="0">
      <selection activeCell="P21" sqref="M13:P21"/>
    </sheetView>
  </sheetViews>
  <sheetFormatPr defaultRowHeight="14.5" x14ac:dyDescent="0.35"/>
  <cols>
    <col min="1" max="1" width="13.90625" customWidth="1"/>
  </cols>
  <sheetData>
    <row r="2" spans="1:8" x14ac:dyDescent="0.35">
      <c r="C2" t="s">
        <v>0</v>
      </c>
      <c r="D2" t="s">
        <v>1</v>
      </c>
      <c r="E2" t="s">
        <v>2</v>
      </c>
      <c r="F2" t="s">
        <v>3</v>
      </c>
      <c r="G2" t="s">
        <v>7</v>
      </c>
      <c r="H2" t="s">
        <v>4</v>
      </c>
    </row>
    <row r="3" spans="1:8" x14ac:dyDescent="0.35">
      <c r="A3" t="s">
        <v>8</v>
      </c>
      <c r="B3" t="s">
        <v>5</v>
      </c>
      <c r="C3" s="1">
        <v>84.763800083591207</v>
      </c>
      <c r="D3" s="5">
        <v>14.304113911744565</v>
      </c>
      <c r="E3" s="5">
        <v>7.3303552268461205</v>
      </c>
      <c r="F3" s="5">
        <v>5.516528644413615</v>
      </c>
      <c r="G3" s="5">
        <v>0.72100072139580218</v>
      </c>
      <c r="H3" s="4">
        <v>14</v>
      </c>
    </row>
    <row r="4" spans="1:8" x14ac:dyDescent="0.35">
      <c r="A4" t="s">
        <v>9</v>
      </c>
      <c r="B4" t="s">
        <v>6</v>
      </c>
      <c r="C4" s="1">
        <v>132.2996542905114</v>
      </c>
      <c r="D4" s="5">
        <v>23.860219293413802</v>
      </c>
      <c r="E4" s="5">
        <v>14.053832619808503</v>
      </c>
      <c r="F4" s="5">
        <v>8.495053094806007</v>
      </c>
      <c r="G4" s="5">
        <v>0.79158966733919434</v>
      </c>
      <c r="H4" s="4">
        <v>15</v>
      </c>
    </row>
    <row r="5" spans="1:8" x14ac:dyDescent="0.35">
      <c r="A5" t="s">
        <v>10</v>
      </c>
      <c r="B5" t="s">
        <v>5</v>
      </c>
      <c r="C5" s="1">
        <v>109.3703132363886</v>
      </c>
      <c r="D5" s="5">
        <v>17.761329009712597</v>
      </c>
      <c r="E5" s="5">
        <v>9.345628654060226</v>
      </c>
      <c r="F5" s="5">
        <v>6.815752538881318</v>
      </c>
      <c r="G5" s="5">
        <v>0.68075551161190073</v>
      </c>
      <c r="H5" s="4">
        <v>15</v>
      </c>
    </row>
    <row r="6" spans="1:8" x14ac:dyDescent="0.35">
      <c r="A6" t="s">
        <v>11</v>
      </c>
      <c r="B6" t="s">
        <v>6</v>
      </c>
      <c r="C6" s="1">
        <v>124.52510861094169</v>
      </c>
      <c r="D6" s="5">
        <v>22.495009072081359</v>
      </c>
      <c r="E6" s="5">
        <v>13.438088601986582</v>
      </c>
      <c r="F6" s="5">
        <v>8.114877811075047</v>
      </c>
      <c r="G6" s="5">
        <v>0.82760285730305638</v>
      </c>
      <c r="H6" s="4">
        <v>15</v>
      </c>
    </row>
    <row r="7" spans="1:8" x14ac:dyDescent="0.35">
      <c r="A7" t="s">
        <v>12</v>
      </c>
      <c r="B7" t="s">
        <v>5</v>
      </c>
      <c r="C7" s="1">
        <v>91.70159936182921</v>
      </c>
      <c r="D7" s="5">
        <v>15.278874710337005</v>
      </c>
      <c r="E7" s="5">
        <v>7.8985609877338128</v>
      </c>
      <c r="F7" s="5">
        <v>5.882844446304583</v>
      </c>
      <c r="G7" s="5">
        <v>0.69697473955227351</v>
      </c>
      <c r="H7" s="4">
        <v>14</v>
      </c>
    </row>
    <row r="8" spans="1:8" x14ac:dyDescent="0.35">
      <c r="A8" t="s">
        <v>13</v>
      </c>
      <c r="B8" t="s">
        <v>6</v>
      </c>
      <c r="C8" s="1">
        <v>150.44962522192654</v>
      </c>
      <c r="D8" s="5">
        <v>27.047354188970299</v>
      </c>
      <c r="E8" s="5">
        <v>15.491310317576582</v>
      </c>
      <c r="F8" s="5">
        <v>9.3825866733522076</v>
      </c>
      <c r="G8" s="5">
        <v>0.81339522846063605</v>
      </c>
      <c r="H8" s="4">
        <v>15.5</v>
      </c>
    </row>
    <row r="9" spans="1:8" x14ac:dyDescent="0.35">
      <c r="A9" t="s">
        <v>14</v>
      </c>
      <c r="B9" t="s">
        <v>5</v>
      </c>
      <c r="C9" s="1">
        <v>123.17268447477034</v>
      </c>
      <c r="D9" s="5">
        <v>19.700562168705233</v>
      </c>
      <c r="E9" s="5">
        <v>10.476042858483689</v>
      </c>
      <c r="F9" s="5">
        <v>7.5445177402678745</v>
      </c>
      <c r="G9" s="5">
        <v>0.74396786344220445</v>
      </c>
      <c r="H9" s="4">
        <v>16</v>
      </c>
    </row>
    <row r="10" spans="1:8" x14ac:dyDescent="0.35">
      <c r="A10" t="s">
        <v>15</v>
      </c>
      <c r="B10" t="s">
        <v>5</v>
      </c>
      <c r="C10" s="1">
        <v>98</v>
      </c>
      <c r="D10" s="5">
        <v>16.007940128069112</v>
      </c>
      <c r="E10" s="5">
        <v>8.3235464518780091</v>
      </c>
      <c r="F10" s="5">
        <v>6.1568277491960792</v>
      </c>
      <c r="G10" s="5">
        <v>0.68295041079810404</v>
      </c>
      <c r="H10" s="4">
        <v>14.5</v>
      </c>
    </row>
    <row r="11" spans="1:8" x14ac:dyDescent="0.35">
      <c r="A11" t="s">
        <v>16</v>
      </c>
      <c r="B11" t="s">
        <v>6</v>
      </c>
      <c r="C11" s="1">
        <v>160.49533586391195</v>
      </c>
      <c r="D11" s="5">
        <v>28.811380977702939</v>
      </c>
      <c r="E11" s="5">
        <v>16.286930600421826</v>
      </c>
      <c r="F11" s="5">
        <v>9.8738219237452931</v>
      </c>
      <c r="G11" s="5">
        <v>0.81230308022842601</v>
      </c>
      <c r="H11" s="4">
        <v>15.5</v>
      </c>
    </row>
    <row r="12" spans="1:8" x14ac:dyDescent="0.35">
      <c r="A12" t="s">
        <v>17</v>
      </c>
      <c r="B12" t="s">
        <v>6</v>
      </c>
      <c r="C12" s="1">
        <v>141.19072784840455</v>
      </c>
      <c r="D12" s="5">
        <v>25.421491810179838</v>
      </c>
      <c r="E12" s="5">
        <v>14.758005645593641</v>
      </c>
      <c r="F12" s="5">
        <v>8.9298265917869823</v>
      </c>
      <c r="G12" s="5">
        <v>0.77737019411861097</v>
      </c>
      <c r="H12" s="4">
        <v>15</v>
      </c>
    </row>
    <row r="13" spans="1:8" x14ac:dyDescent="0.35">
      <c r="A13" t="s">
        <v>18</v>
      </c>
      <c r="B13" t="s">
        <v>5</v>
      </c>
      <c r="C13" s="1">
        <v>80</v>
      </c>
      <c r="D13" s="5">
        <v>13.434084464786192</v>
      </c>
      <c r="E13" s="5">
        <v>6.823199271644051</v>
      </c>
      <c r="F13" s="5">
        <v>5.1895709590086181</v>
      </c>
      <c r="G13" s="5">
        <v>0.7429692382304629</v>
      </c>
      <c r="H13" s="4">
        <v>14.5</v>
      </c>
    </row>
    <row r="14" spans="1:8" x14ac:dyDescent="0.35">
      <c r="A14" t="s">
        <v>19</v>
      </c>
      <c r="B14" t="s">
        <v>6</v>
      </c>
      <c r="C14" s="1">
        <v>168.51724824145865</v>
      </c>
      <c r="D14" s="5">
        <v>30.220028791200139</v>
      </c>
      <c r="E14" s="5">
        <v>16.922266060723526</v>
      </c>
      <c r="F14" s="5">
        <v>10.266093439007328</v>
      </c>
      <c r="G14" s="5">
        <v>0.80084760086629769</v>
      </c>
      <c r="H14" s="4">
        <v>15</v>
      </c>
    </row>
    <row r="15" spans="1:8" x14ac:dyDescent="0.35">
      <c r="A15" t="s">
        <v>20</v>
      </c>
      <c r="B15" t="s">
        <v>5</v>
      </c>
      <c r="C15" s="1">
        <v>116.09673265917007</v>
      </c>
      <c r="D15" s="5">
        <v>18.706390938613396</v>
      </c>
      <c r="E15" s="5">
        <v>9.8965224047860278</v>
      </c>
      <c r="F15" s="5">
        <v>7.1709074844041805</v>
      </c>
      <c r="G15" s="5">
        <v>0.73227294920089603</v>
      </c>
      <c r="H15" s="4">
        <v>15</v>
      </c>
    </row>
    <row r="16" spans="1:8" x14ac:dyDescent="0.35">
      <c r="A16" t="s">
        <v>21</v>
      </c>
      <c r="B16" t="s">
        <v>5</v>
      </c>
      <c r="C16" s="1">
        <v>101.7308081561614</v>
      </c>
      <c r="D16" s="5">
        <v>16.68797854594068</v>
      </c>
      <c r="E16" s="5">
        <v>8.7199531879896188</v>
      </c>
      <c r="F16" s="5">
        <v>6.4123866706453221</v>
      </c>
      <c r="G16" s="5">
        <v>0.71027825517435816</v>
      </c>
      <c r="H16" s="4">
        <v>14.5</v>
      </c>
    </row>
    <row r="17" spans="1:8" x14ac:dyDescent="0.35">
      <c r="A17" t="s">
        <v>22</v>
      </c>
      <c r="B17" t="s">
        <v>6</v>
      </c>
      <c r="C17" s="4">
        <v>136</v>
      </c>
      <c r="D17" s="2">
        <f>IF(B17="С",0.1405*C17 + 24148,0.1756*C17 + 0.6284)</f>
        <v>24.51</v>
      </c>
      <c r="E17" s="2">
        <f t="shared" ref="E17" si="0">IF(B17="С",0.0819*C17 + 0.3882,0.0792*C17 + 3.5757)</f>
        <v>14.3469</v>
      </c>
      <c r="F17" s="2">
        <f t="shared" ref="F17" si="1">IF(B17="С",0.0528*C17+ 1.041,0.0489*C17+ 2.0256)</f>
        <v>8.6759999999999984</v>
      </c>
      <c r="G17" s="4">
        <v>0.78</v>
      </c>
      <c r="H17" s="4">
        <v>15</v>
      </c>
    </row>
    <row r="18" spans="1:8" x14ac:dyDescent="0.35">
      <c r="A18" t="s">
        <v>23</v>
      </c>
      <c r="B18" t="s">
        <v>5</v>
      </c>
      <c r="C18" s="4">
        <v>97</v>
      </c>
      <c r="D18" s="4">
        <v>17.700000000000003</v>
      </c>
      <c r="E18" s="2">
        <v>8.8181818181818183</v>
      </c>
      <c r="F18" s="2">
        <f t="shared" ref="F18:F24" si="2">E18/1.42</f>
        <v>6.2099871959026895</v>
      </c>
      <c r="G18" s="4">
        <v>0.7</v>
      </c>
      <c r="H18" s="4">
        <v>15</v>
      </c>
    </row>
    <row r="19" spans="1:8" x14ac:dyDescent="0.35">
      <c r="A19" t="s">
        <v>24</v>
      </c>
      <c r="B19" t="s">
        <v>6</v>
      </c>
      <c r="C19" s="4">
        <v>143</v>
      </c>
      <c r="D19" s="2">
        <f t="shared" ref="D19" si="3">IF(B19="С",0.1405*C19 + 2.3948,0.1756*C19 + 0.6284)</f>
        <v>25.7392</v>
      </c>
      <c r="E19" s="2">
        <f t="shared" ref="E19" si="4">IF(B19="С",0.0819*C19 + 0.3882,0.0792*C19 + 3.5757)</f>
        <v>14.901300000000001</v>
      </c>
      <c r="F19" s="2">
        <f t="shared" ref="F19" si="5">IF(B19="С",0.0528*C19+ 1.041,0.0489*C19+ 2.0256)</f>
        <v>9.0183</v>
      </c>
      <c r="G19" s="4">
        <v>0.84</v>
      </c>
      <c r="H19" s="4">
        <v>15</v>
      </c>
    </row>
    <row r="20" spans="1:8" x14ac:dyDescent="0.35">
      <c r="A20" t="s">
        <v>25</v>
      </c>
      <c r="B20" t="s">
        <v>5</v>
      </c>
      <c r="C20" s="4">
        <v>94</v>
      </c>
      <c r="D20" s="4">
        <v>18.399999999999999</v>
      </c>
      <c r="E20" s="2">
        <v>8.545454545454545</v>
      </c>
      <c r="F20" s="2">
        <f t="shared" si="2"/>
        <v>6.0179257362355951</v>
      </c>
      <c r="G20" s="4">
        <v>0.68</v>
      </c>
      <c r="H20" s="4">
        <v>14</v>
      </c>
    </row>
    <row r="21" spans="1:8" x14ac:dyDescent="0.35">
      <c r="A21" t="s">
        <v>26</v>
      </c>
      <c r="B21" t="s">
        <v>6</v>
      </c>
      <c r="C21" s="4">
        <v>139</v>
      </c>
      <c r="D21" s="2">
        <f t="shared" ref="D21" si="6">IF(B21="С",0.1405*C21 + 2.3948,0.1756*C21 + 0.6284)</f>
        <v>25.036799999999999</v>
      </c>
      <c r="E21" s="2">
        <f t="shared" ref="E21" si="7">IF(B21="С",0.0819*C21 + 0.3882,0.0792*C21 + 3.5757)</f>
        <v>14.5845</v>
      </c>
      <c r="F21" s="2">
        <f t="shared" ref="F21" si="8">IF(B21="С",0.0528*C21+ 1.041,0.0489*C21+ 2.0256)</f>
        <v>8.8226999999999993</v>
      </c>
      <c r="G21" s="4">
        <v>0.81</v>
      </c>
      <c r="H21" s="4">
        <v>15.5</v>
      </c>
    </row>
    <row r="22" spans="1:8" x14ac:dyDescent="0.35">
      <c r="A22" t="s">
        <v>27</v>
      </c>
      <c r="B22" t="s">
        <v>5</v>
      </c>
      <c r="C22" s="4">
        <v>86</v>
      </c>
      <c r="D22" s="4">
        <v>14.6</v>
      </c>
      <c r="E22" s="2">
        <v>7.8181818181818183</v>
      </c>
      <c r="F22" s="2">
        <f t="shared" si="2"/>
        <v>5.5057618437900135</v>
      </c>
      <c r="G22" s="4">
        <v>0.69</v>
      </c>
      <c r="H22" s="4">
        <v>16</v>
      </c>
    </row>
    <row r="23" spans="1:8" x14ac:dyDescent="0.35">
      <c r="A23" t="s">
        <v>28</v>
      </c>
      <c r="B23" t="s">
        <v>6</v>
      </c>
      <c r="C23" s="4">
        <v>163</v>
      </c>
      <c r="D23" s="2">
        <f>IF(B23="С",0.1405*C23 + 24148,0.1756*C23 + 0.6284)</f>
        <v>29.251200000000001</v>
      </c>
      <c r="E23" s="2">
        <f t="shared" ref="E23" si="9">IF(B23="С",0.0819*C23 + 0.3882,0.0792*C23 + 3.5757)</f>
        <v>16.485300000000002</v>
      </c>
      <c r="F23" s="2">
        <f t="shared" ref="F23" si="10">IF(B23="С",0.0528*C23+ 1.041,0.0489*C23+ 2.0256)</f>
        <v>9.9962999999999997</v>
      </c>
      <c r="G23" s="4">
        <v>0.82</v>
      </c>
      <c r="H23" s="4">
        <v>14.5</v>
      </c>
    </row>
    <row r="24" spans="1:8" x14ac:dyDescent="0.35">
      <c r="A24" t="s">
        <v>29</v>
      </c>
      <c r="B24" t="s">
        <v>5</v>
      </c>
      <c r="C24" s="4">
        <v>83</v>
      </c>
      <c r="D24" s="4">
        <v>16.3</v>
      </c>
      <c r="E24" s="2">
        <v>7.5454545454545459</v>
      </c>
      <c r="F24" s="2">
        <f t="shared" si="2"/>
        <v>5.31370038412292</v>
      </c>
      <c r="G24" s="4">
        <v>0.68</v>
      </c>
      <c r="H24" s="4">
        <v>15</v>
      </c>
    </row>
    <row r="25" spans="1:8" x14ac:dyDescent="0.35">
      <c r="C25" s="4"/>
      <c r="D25" s="2"/>
      <c r="E25" s="2"/>
      <c r="F25" s="2"/>
      <c r="G25" s="4"/>
      <c r="H25" s="4"/>
    </row>
    <row r="26" spans="1:8" x14ac:dyDescent="0.35">
      <c r="C26" s="4"/>
      <c r="D26" s="4"/>
      <c r="E26" s="2"/>
      <c r="F26" s="2"/>
      <c r="G26" s="4"/>
      <c r="H26" s="4"/>
    </row>
  </sheetData>
  <conditionalFormatting sqref="F25">
    <cfRule type="cellIs" dxfId="29" priority="1" operator="equal">
      <formula>"+"</formula>
    </cfRule>
  </conditionalFormatting>
  <conditionalFormatting sqref="D19">
    <cfRule type="cellIs" dxfId="28" priority="44" operator="equal">
      <formula>"-"</formula>
    </cfRule>
  </conditionalFormatting>
  <conditionalFormatting sqref="D19">
    <cfRule type="cellIs" dxfId="27" priority="43" operator="equal">
      <formula>"+"</formula>
    </cfRule>
  </conditionalFormatting>
  <conditionalFormatting sqref="E19">
    <cfRule type="cellIs" dxfId="26" priority="42" operator="equal">
      <formula>"-"</formula>
    </cfRule>
  </conditionalFormatting>
  <conditionalFormatting sqref="E19">
    <cfRule type="cellIs" dxfId="25" priority="41" operator="equal">
      <formula>"+"</formula>
    </cfRule>
  </conditionalFormatting>
  <conditionalFormatting sqref="F19">
    <cfRule type="cellIs" dxfId="24" priority="40" operator="equal">
      <formula>"-"</formula>
    </cfRule>
  </conditionalFormatting>
  <conditionalFormatting sqref="F19">
    <cfRule type="cellIs" dxfId="23" priority="39" operator="equal">
      <formula>"+"</formula>
    </cfRule>
  </conditionalFormatting>
  <conditionalFormatting sqref="D21">
    <cfRule type="cellIs" dxfId="22" priority="38" operator="equal">
      <formula>"-"</formula>
    </cfRule>
  </conditionalFormatting>
  <conditionalFormatting sqref="D21">
    <cfRule type="cellIs" dxfId="21" priority="37" operator="equal">
      <formula>"+"</formula>
    </cfRule>
  </conditionalFormatting>
  <conditionalFormatting sqref="E21">
    <cfRule type="cellIs" dxfId="20" priority="36" operator="equal">
      <formula>"-"</formula>
    </cfRule>
  </conditionalFormatting>
  <conditionalFormatting sqref="E21">
    <cfRule type="cellIs" dxfId="19" priority="35" operator="equal">
      <formula>"+"</formula>
    </cfRule>
  </conditionalFormatting>
  <conditionalFormatting sqref="F21">
    <cfRule type="cellIs" dxfId="18" priority="34" operator="equal">
      <formula>"-"</formula>
    </cfRule>
  </conditionalFormatting>
  <conditionalFormatting sqref="F21">
    <cfRule type="cellIs" dxfId="17" priority="33" operator="equal">
      <formula>"+"</formula>
    </cfRule>
  </conditionalFormatting>
  <conditionalFormatting sqref="D17">
    <cfRule type="cellIs" dxfId="16" priority="18" operator="equal">
      <formula>"-"</formula>
    </cfRule>
  </conditionalFormatting>
  <conditionalFormatting sqref="D17">
    <cfRule type="cellIs" dxfId="15" priority="17" operator="equal">
      <formula>"+"</formula>
    </cfRule>
  </conditionalFormatting>
  <conditionalFormatting sqref="E17">
    <cfRule type="cellIs" dxfId="14" priority="16" operator="equal">
      <formula>"-"</formula>
    </cfRule>
  </conditionalFormatting>
  <conditionalFormatting sqref="E17">
    <cfRule type="cellIs" dxfId="13" priority="15" operator="equal">
      <formula>"+"</formula>
    </cfRule>
  </conditionalFormatting>
  <conditionalFormatting sqref="F23">
    <cfRule type="cellIs" dxfId="12" priority="8" operator="equal">
      <formula>"-"</formula>
    </cfRule>
  </conditionalFormatting>
  <conditionalFormatting sqref="F23">
    <cfRule type="cellIs" dxfId="11" priority="7" operator="equal">
      <formula>"+"</formula>
    </cfRule>
  </conditionalFormatting>
  <conditionalFormatting sqref="D25">
    <cfRule type="cellIs" dxfId="10" priority="6" operator="equal">
      <formula>"-"</formula>
    </cfRule>
  </conditionalFormatting>
  <conditionalFormatting sqref="D25">
    <cfRule type="cellIs" dxfId="9" priority="5" operator="equal">
      <formula>"+"</formula>
    </cfRule>
  </conditionalFormatting>
  <conditionalFormatting sqref="F17">
    <cfRule type="cellIs" dxfId="8" priority="14" operator="equal">
      <formula>"-"</formula>
    </cfRule>
  </conditionalFormatting>
  <conditionalFormatting sqref="F17">
    <cfRule type="cellIs" dxfId="7" priority="13" operator="equal">
      <formula>"+"</formula>
    </cfRule>
  </conditionalFormatting>
  <conditionalFormatting sqref="D23">
    <cfRule type="cellIs" dxfId="6" priority="12" operator="equal">
      <formula>"-"</formula>
    </cfRule>
  </conditionalFormatting>
  <conditionalFormatting sqref="D23">
    <cfRule type="cellIs" dxfId="5" priority="11" operator="equal">
      <formula>"+"</formula>
    </cfRule>
  </conditionalFormatting>
  <conditionalFormatting sqref="E23">
    <cfRule type="cellIs" dxfId="4" priority="10" operator="equal">
      <formula>"-"</formula>
    </cfRule>
  </conditionalFormatting>
  <conditionalFormatting sqref="E23">
    <cfRule type="cellIs" dxfId="3" priority="9" operator="equal">
      <formula>"+"</formula>
    </cfRule>
  </conditionalFormatting>
  <conditionalFormatting sqref="E25">
    <cfRule type="cellIs" dxfId="2" priority="4" operator="equal">
      <formula>"-"</formula>
    </cfRule>
  </conditionalFormatting>
  <conditionalFormatting sqref="E25">
    <cfRule type="cellIs" dxfId="1" priority="3" operator="equal">
      <formula>"+"</formula>
    </cfRule>
  </conditionalFormatting>
  <conditionalFormatting sqref="F25">
    <cfRule type="cellIs" dxfId="0" priority="2" operator="equal">
      <formula>"-"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06E6-DE09-4086-B62D-863BD6743E36}">
  <dimension ref="A2:X431"/>
  <sheetViews>
    <sheetView tabSelected="1" topLeftCell="A400" zoomScale="115" zoomScaleNormal="115" workbookViewId="0">
      <selection activeCell="D435" sqref="D435"/>
    </sheetView>
  </sheetViews>
  <sheetFormatPr defaultRowHeight="14.5" x14ac:dyDescent="0.35"/>
  <cols>
    <col min="3" max="3" width="41.6328125" customWidth="1"/>
    <col min="4" max="4" width="12.26953125" customWidth="1"/>
    <col min="5" max="5" width="9.90625" customWidth="1"/>
    <col min="6" max="6" width="12" customWidth="1"/>
    <col min="8" max="8" width="18.6328125" customWidth="1"/>
    <col min="9" max="9" width="11.81640625" customWidth="1"/>
    <col min="10" max="10" width="15.26953125" customWidth="1"/>
    <col min="11" max="11" width="13.81640625" customWidth="1"/>
    <col min="12" max="12" width="19" customWidth="1"/>
    <col min="13" max="13" width="26.26953125" customWidth="1"/>
    <col min="14" max="14" width="27.36328125" customWidth="1"/>
    <col min="18" max="18" width="12.453125" customWidth="1"/>
  </cols>
  <sheetData>
    <row r="2" spans="1:8" x14ac:dyDescent="0.35">
      <c r="B2" t="s">
        <v>0</v>
      </c>
      <c r="C2">
        <v>90</v>
      </c>
    </row>
    <row r="3" spans="1:8" x14ac:dyDescent="0.35">
      <c r="B3" t="s">
        <v>1</v>
      </c>
      <c r="C3">
        <v>15.4</v>
      </c>
    </row>
    <row r="4" spans="1:8" x14ac:dyDescent="0.35">
      <c r="B4" t="s">
        <v>2</v>
      </c>
      <c r="C4">
        <v>7.5</v>
      </c>
    </row>
    <row r="5" spans="1:8" x14ac:dyDescent="0.35">
      <c r="B5" t="s">
        <v>3</v>
      </c>
      <c r="C5">
        <v>4.95</v>
      </c>
    </row>
    <row r="6" spans="1:8" x14ac:dyDescent="0.35">
      <c r="B6" t="s">
        <v>30</v>
      </c>
      <c r="C6">
        <v>0.7</v>
      </c>
      <c r="F6" t="s">
        <v>43</v>
      </c>
      <c r="H6" t="s">
        <v>44</v>
      </c>
    </row>
    <row r="8" spans="1:8" ht="16.5" x14ac:dyDescent="0.45">
      <c r="A8" t="s">
        <v>32</v>
      </c>
      <c r="E8" t="s">
        <v>31</v>
      </c>
      <c r="F8" s="3">
        <f>(C2-40)/570+0.04*C3+3.5*C5/C2</f>
        <v>0.89621929824561397</v>
      </c>
      <c r="H8" s="3">
        <f>(C2-40)/570+0.04*C3+3.5*C5/C2</f>
        <v>0.89621929824561397</v>
      </c>
    </row>
    <row r="9" spans="1:8" ht="16.5" x14ac:dyDescent="0.45">
      <c r="A9" t="s">
        <v>33</v>
      </c>
      <c r="E9" t="s">
        <v>34</v>
      </c>
      <c r="H9" s="3">
        <f>MAX(C3/15,F8,1)</f>
        <v>1.0266666666666666</v>
      </c>
    </row>
    <row r="10" spans="1:8" ht="16.5" x14ac:dyDescent="0.45">
      <c r="A10" t="s">
        <v>35</v>
      </c>
      <c r="E10" t="s">
        <v>36</v>
      </c>
      <c r="F10" s="3">
        <f>MAX(F8,1.1)</f>
        <v>1.1000000000000001</v>
      </c>
      <c r="H10" s="3">
        <f>MAX(H8,J9,1.1)</f>
        <v>1.1000000000000001</v>
      </c>
    </row>
    <row r="11" spans="1:8" x14ac:dyDescent="0.35">
      <c r="A11" t="s">
        <v>40</v>
      </c>
      <c r="E11" t="s">
        <v>39</v>
      </c>
      <c r="F11">
        <v>0.99099999999999999</v>
      </c>
      <c r="H11">
        <v>0.996</v>
      </c>
    </row>
    <row r="12" spans="1:8" x14ac:dyDescent="0.35">
      <c r="A12" t="s">
        <v>37</v>
      </c>
      <c r="E12" t="s">
        <v>38</v>
      </c>
      <c r="F12" s="3">
        <f>1.527*(C3*C5*(1-F11))^0.5</f>
        <v>1.2648040619123584</v>
      </c>
      <c r="H12" s="3">
        <f>1.527*(C3*C5*(1-H11))^0.5</f>
        <v>0.84320270794157237</v>
      </c>
    </row>
    <row r="13" spans="1:8" x14ac:dyDescent="0.35">
      <c r="A13" t="s">
        <v>41</v>
      </c>
      <c r="E13" t="s">
        <v>42</v>
      </c>
      <c r="F13">
        <f>0.02*C3</f>
        <v>0.308</v>
      </c>
      <c r="H13">
        <f>0.02*C3</f>
        <v>0.308</v>
      </c>
    </row>
    <row r="14" spans="1:8" x14ac:dyDescent="0.35">
      <c r="A14" t="s">
        <v>45</v>
      </c>
      <c r="E14" s="7" t="s">
        <v>46</v>
      </c>
      <c r="F14" s="6">
        <f>1.025*C2*C3*C5*C6</f>
        <v>4922.5522499999997</v>
      </c>
      <c r="G14" s="6"/>
      <c r="H14" s="6">
        <f>1.025*C2*C3*C5*C6</f>
        <v>4922.5522499999997</v>
      </c>
    </row>
    <row r="15" spans="1:8" x14ac:dyDescent="0.35">
      <c r="A15" t="s">
        <v>47</v>
      </c>
      <c r="E15" s="7" t="s">
        <v>48</v>
      </c>
      <c r="H15">
        <f>6.05*C2^-0.66</f>
        <v>0.31042401977376882</v>
      </c>
    </row>
    <row r="16" spans="1:8" x14ac:dyDescent="0.35">
      <c r="A16" t="s">
        <v>50</v>
      </c>
      <c r="E16" s="7" t="s">
        <v>49</v>
      </c>
      <c r="H16">
        <f>H14*(1-H15)</f>
        <v>3394.4737930085894</v>
      </c>
    </row>
    <row r="17" spans="1:8" ht="16.5" x14ac:dyDescent="0.45">
      <c r="A17" t="s">
        <v>51</v>
      </c>
      <c r="E17" s="7" t="s">
        <v>52</v>
      </c>
      <c r="H17">
        <f>MAX(1,0.5+H16/20000)</f>
        <v>1</v>
      </c>
    </row>
    <row r="19" spans="1:8" x14ac:dyDescent="0.35">
      <c r="A19" s="8" t="s">
        <v>53</v>
      </c>
    </row>
    <row r="20" spans="1:8" ht="16.5" x14ac:dyDescent="0.45">
      <c r="A20" s="11" t="s">
        <v>65</v>
      </c>
      <c r="D20" s="10" t="s">
        <v>66</v>
      </c>
      <c r="E20">
        <f>IF(C2&lt;=90,0.0856*C2,10.75-((300-C2)/100)^1.5)</f>
        <v>7.7039999999999997</v>
      </c>
    </row>
    <row r="21" spans="1:8" x14ac:dyDescent="0.35">
      <c r="A21" s="8"/>
    </row>
    <row r="22" spans="1:8" ht="16.5" x14ac:dyDescent="0.45">
      <c r="D22" s="10" t="s">
        <v>55</v>
      </c>
      <c r="E22" t="s">
        <v>62</v>
      </c>
      <c r="F22" s="10" t="s">
        <v>61</v>
      </c>
      <c r="G22" s="9" t="s">
        <v>75</v>
      </c>
      <c r="H22" s="9" t="s">
        <v>76</v>
      </c>
    </row>
    <row r="23" spans="1:8" x14ac:dyDescent="0.35">
      <c r="A23">
        <v>1</v>
      </c>
      <c r="B23" t="s">
        <v>54</v>
      </c>
      <c r="D23">
        <v>4.95</v>
      </c>
      <c r="E23" t="s">
        <v>63</v>
      </c>
      <c r="F23">
        <f>IF(E23="ниже ВЛ",D23*10,0)</f>
        <v>49.5</v>
      </c>
      <c r="G23" s="5">
        <f t="shared" ref="G23:G30" si="0">IF(E23="выше ВЛ",$E$37-7.5*$E$35*D23,$E$37-1.5*$E$20*D23/$C$5)</f>
        <v>11.555999999999999</v>
      </c>
      <c r="H23" s="5">
        <f>F23+G23</f>
        <v>61.055999999999997</v>
      </c>
    </row>
    <row r="24" spans="1:8" x14ac:dyDescent="0.35">
      <c r="A24">
        <v>2</v>
      </c>
      <c r="B24" t="s">
        <v>56</v>
      </c>
      <c r="D24">
        <v>3.69</v>
      </c>
      <c r="E24" t="s">
        <v>63</v>
      </c>
      <c r="F24">
        <f t="shared" ref="F24:F28" si="1">IF(E24="ниже ВЛ",D24*10,0)</f>
        <v>36.9</v>
      </c>
      <c r="G24" s="5">
        <f t="shared" si="0"/>
        <v>14.497527272727272</v>
      </c>
      <c r="H24" s="5">
        <f t="shared" ref="H24:H28" si="2">F24+G24</f>
        <v>51.397527272727274</v>
      </c>
    </row>
    <row r="25" spans="1:8" x14ac:dyDescent="0.35">
      <c r="A25">
        <v>3</v>
      </c>
      <c r="B25" t="s">
        <v>57</v>
      </c>
      <c r="D25">
        <v>1.69</v>
      </c>
      <c r="E25" t="s">
        <v>63</v>
      </c>
      <c r="F25">
        <f t="shared" si="1"/>
        <v>16.899999999999999</v>
      </c>
      <c r="G25" s="5">
        <f t="shared" si="0"/>
        <v>19.16661818181818</v>
      </c>
      <c r="H25" s="5">
        <f t="shared" si="2"/>
        <v>36.066618181818178</v>
      </c>
    </row>
    <row r="26" spans="1:8" x14ac:dyDescent="0.35">
      <c r="A26">
        <v>4</v>
      </c>
      <c r="B26" t="s">
        <v>58</v>
      </c>
      <c r="D26">
        <v>0.31</v>
      </c>
      <c r="E26" t="s">
        <v>64</v>
      </c>
      <c r="F26">
        <f t="shared" si="1"/>
        <v>0</v>
      </c>
      <c r="G26" s="5">
        <f t="shared" si="0"/>
        <v>22.491225</v>
      </c>
      <c r="H26" s="5">
        <f t="shared" si="2"/>
        <v>22.491225</v>
      </c>
    </row>
    <row r="27" spans="1:8" x14ac:dyDescent="0.35">
      <c r="A27">
        <v>5</v>
      </c>
      <c r="B27" t="s">
        <v>59</v>
      </c>
      <c r="D27">
        <v>1.3</v>
      </c>
      <c r="E27" t="s">
        <v>64</v>
      </c>
      <c r="F27">
        <f t="shared" si="1"/>
        <v>0</v>
      </c>
      <c r="G27" s="5">
        <f t="shared" si="0"/>
        <v>20.508749999999999</v>
      </c>
      <c r="H27" s="5">
        <f t="shared" si="2"/>
        <v>20.508749999999999</v>
      </c>
    </row>
    <row r="28" spans="1:8" x14ac:dyDescent="0.35">
      <c r="A28">
        <v>6</v>
      </c>
      <c r="B28" t="s">
        <v>60</v>
      </c>
      <c r="D28">
        <v>2.5499999999999998</v>
      </c>
      <c r="E28" t="s">
        <v>64</v>
      </c>
      <c r="F28">
        <f t="shared" si="1"/>
        <v>0</v>
      </c>
      <c r="G28" s="5">
        <f t="shared" si="0"/>
        <v>18.005624999999998</v>
      </c>
      <c r="H28" s="5">
        <f t="shared" si="2"/>
        <v>18.005624999999998</v>
      </c>
    </row>
    <row r="29" spans="1:8" x14ac:dyDescent="0.35">
      <c r="A29">
        <v>7</v>
      </c>
      <c r="B29" t="s">
        <v>235</v>
      </c>
      <c r="D29">
        <v>2.1</v>
      </c>
      <c r="E29" t="s">
        <v>63</v>
      </c>
      <c r="F29">
        <f t="shared" ref="F29" si="3">IF(E29="ниже ВЛ",D29*10,0)</f>
        <v>21</v>
      </c>
      <c r="G29" s="5">
        <f t="shared" si="0"/>
        <v>18.209454545454545</v>
      </c>
      <c r="H29" s="5">
        <f t="shared" ref="H29" si="4">F29+G29</f>
        <v>39.209454545454548</v>
      </c>
    </row>
    <row r="30" spans="1:8" x14ac:dyDescent="0.35">
      <c r="A30">
        <v>8</v>
      </c>
      <c r="B30" t="s">
        <v>239</v>
      </c>
      <c r="D30">
        <v>1.1200000000000001</v>
      </c>
      <c r="E30" t="s">
        <v>64</v>
      </c>
      <c r="F30">
        <f t="shared" ref="F30" si="5">IF(E30="ниже ВЛ",D30*10,0)</f>
        <v>0</v>
      </c>
      <c r="G30" s="5">
        <f t="shared" si="0"/>
        <v>20.869199999999999</v>
      </c>
      <c r="H30" s="5">
        <f t="shared" ref="H30" si="6">F30+G30</f>
        <v>20.869199999999999</v>
      </c>
    </row>
    <row r="31" spans="1:8" x14ac:dyDescent="0.35">
      <c r="A31">
        <v>9</v>
      </c>
      <c r="B31" t="s">
        <v>250</v>
      </c>
      <c r="D31">
        <v>2.3580000000000001</v>
      </c>
      <c r="E31" t="s">
        <v>63</v>
      </c>
      <c r="F31">
        <f t="shared" ref="F31:F32" si="7">IF(E31="ниже ВЛ",D31*10,0)</f>
        <v>23.580000000000002</v>
      </c>
      <c r="G31" s="5">
        <f t="shared" ref="G31:G32" si="8">IF(E31="выше ВЛ",$E$37-7.5*$E$35*D31,$E$37-1.5*$E$20*D31/$C$5)</f>
        <v>17.607141818181816</v>
      </c>
      <c r="H31" s="5">
        <f t="shared" ref="H31:H32" si="9">F31+G31</f>
        <v>41.187141818181814</v>
      </c>
    </row>
    <row r="32" spans="1:8" x14ac:dyDescent="0.35">
      <c r="A32">
        <v>10</v>
      </c>
      <c r="B32" t="s">
        <v>251</v>
      </c>
      <c r="D32">
        <v>0.83699999999999997</v>
      </c>
      <c r="E32" t="s">
        <v>64</v>
      </c>
      <c r="F32">
        <f t="shared" si="7"/>
        <v>0</v>
      </c>
      <c r="G32" s="5">
        <f t="shared" si="8"/>
        <v>21.435907499999999</v>
      </c>
      <c r="H32" s="5">
        <f t="shared" si="9"/>
        <v>21.435907499999999</v>
      </c>
    </row>
    <row r="34" spans="1:6" x14ac:dyDescent="0.35">
      <c r="A34" t="s">
        <v>72</v>
      </c>
    </row>
    <row r="35" spans="1:6" ht="16.5" x14ac:dyDescent="0.45">
      <c r="A35" t="s">
        <v>73</v>
      </c>
      <c r="D35" s="10" t="s">
        <v>74</v>
      </c>
      <c r="E35" s="4">
        <v>0.26700000000000002</v>
      </c>
      <c r="F35" t="s">
        <v>69</v>
      </c>
    </row>
    <row r="36" spans="1:6" ht="16.5" x14ac:dyDescent="0.45">
      <c r="A36" t="s">
        <v>67</v>
      </c>
      <c r="D36" s="10" t="s">
        <v>68</v>
      </c>
      <c r="E36" s="4">
        <v>0.6</v>
      </c>
      <c r="F36" t="s">
        <v>69</v>
      </c>
    </row>
    <row r="37" spans="1:6" ht="16.5" x14ac:dyDescent="0.45">
      <c r="A37" t="s">
        <v>70</v>
      </c>
      <c r="D37" s="9" t="s">
        <v>71</v>
      </c>
      <c r="E37" s="2">
        <f>5*E20*E36</f>
        <v>23.111999999999998</v>
      </c>
    </row>
    <row r="39" spans="1:6" x14ac:dyDescent="0.35">
      <c r="A39" s="8" t="s">
        <v>77</v>
      </c>
    </row>
    <row r="41" spans="1:6" ht="17.5" x14ac:dyDescent="0.45">
      <c r="A41" t="s">
        <v>78</v>
      </c>
      <c r="D41" s="10" t="s">
        <v>79</v>
      </c>
      <c r="E41" s="12">
        <f>9.81*0.9/C2^0.333</f>
        <v>1.97309847618767</v>
      </c>
    </row>
    <row r="42" spans="1:6" x14ac:dyDescent="0.35">
      <c r="A42" t="s">
        <v>80</v>
      </c>
      <c r="D42" s="13" t="s">
        <v>82</v>
      </c>
      <c r="E42" s="15">
        <f>0.6/(1+0.5*C2*10^-2)</f>
        <v>0.41379310344827586</v>
      </c>
    </row>
    <row r="43" spans="1:6" x14ac:dyDescent="0.35">
      <c r="A43" t="s">
        <v>81</v>
      </c>
      <c r="D43" s="14" t="s">
        <v>83</v>
      </c>
      <c r="E43" s="15">
        <f>0.23/(1+C2*10^-2)</f>
        <v>0.12105263157894738</v>
      </c>
    </row>
    <row r="45" spans="1:6" x14ac:dyDescent="0.35">
      <c r="A45" t="s">
        <v>88</v>
      </c>
      <c r="D45" s="10" t="s">
        <v>89</v>
      </c>
      <c r="E45" s="4">
        <v>7.69</v>
      </c>
    </row>
    <row r="46" spans="1:6" x14ac:dyDescent="0.35">
      <c r="A46" t="s">
        <v>90</v>
      </c>
      <c r="D46" s="10" t="s">
        <v>91</v>
      </c>
      <c r="E46" s="4">
        <f>21</f>
        <v>21</v>
      </c>
    </row>
    <row r="47" spans="1:6" x14ac:dyDescent="0.35">
      <c r="A47" t="s">
        <v>92</v>
      </c>
      <c r="D47" s="13" t="s">
        <v>93</v>
      </c>
      <c r="E47" s="12">
        <f>C4-F10+0.76</f>
        <v>7.16</v>
      </c>
    </row>
    <row r="48" spans="1:6" x14ac:dyDescent="0.35">
      <c r="A48" t="s">
        <v>94</v>
      </c>
    </row>
    <row r="49" spans="1:10" ht="16.5" x14ac:dyDescent="0.45">
      <c r="A49" t="s">
        <v>95</v>
      </c>
      <c r="D49" s="10" t="s">
        <v>96</v>
      </c>
      <c r="E49" s="4">
        <v>25</v>
      </c>
    </row>
    <row r="50" spans="1:10" ht="17.5" x14ac:dyDescent="0.45">
      <c r="A50" t="s">
        <v>97</v>
      </c>
      <c r="D50" s="10" t="s">
        <v>98</v>
      </c>
      <c r="E50" s="4">
        <v>1.0249999999999999</v>
      </c>
    </row>
    <row r="52" spans="1:10" x14ac:dyDescent="0.35">
      <c r="A52" t="s">
        <v>84</v>
      </c>
    </row>
    <row r="53" spans="1:10" ht="16.5" x14ac:dyDescent="0.45">
      <c r="D53" s="10" t="s">
        <v>55</v>
      </c>
      <c r="E53" s="10" t="s">
        <v>99</v>
      </c>
      <c r="F53" s="10" t="s">
        <v>100</v>
      </c>
      <c r="G53" s="10" t="s">
        <v>101</v>
      </c>
      <c r="H53" s="10" t="s">
        <v>102</v>
      </c>
      <c r="I53" s="10" t="s">
        <v>103</v>
      </c>
      <c r="J53" s="10" t="s">
        <v>104</v>
      </c>
    </row>
    <row r="54" spans="1:10" x14ac:dyDescent="0.35">
      <c r="A54" s="16" t="s">
        <v>85</v>
      </c>
      <c r="D54" s="4">
        <v>0</v>
      </c>
      <c r="E54" s="2">
        <f>$E$50*9.81*(1+$E$41/9.81)*D54</f>
        <v>0</v>
      </c>
      <c r="F54" s="2">
        <f>$E$50*9.81*(D54+$E$45*$E$42)</f>
        <v>31.99649896551724</v>
      </c>
      <c r="G54" s="2">
        <f>$E$50*9.81*(D54+$E$46*$E$43)</f>
        <v>25.561503947368418</v>
      </c>
      <c r="H54" s="2">
        <f>0.75*$E$50*9.81*(D54+$E$47)</f>
        <v>53.996692500000002</v>
      </c>
      <c r="I54" s="2">
        <f>$E$50*9.81*D54+$E$49</f>
        <v>25</v>
      </c>
      <c r="J54" s="2">
        <f>MAX(D54:I54)</f>
        <v>53.996692500000002</v>
      </c>
    </row>
    <row r="55" spans="1:10" x14ac:dyDescent="0.35">
      <c r="A55" s="16" t="s">
        <v>86</v>
      </c>
      <c r="D55" s="12">
        <f>F10*0.5</f>
        <v>0.55000000000000004</v>
      </c>
      <c r="E55" s="2">
        <f t="shared" ref="E55:E56" si="10">$E$50*9.81*(1+$E$41/9.81)*D55</f>
        <v>6.6427217659507987</v>
      </c>
      <c r="F55" s="2">
        <f t="shared" ref="F55:F56" si="11">$E$50*9.81*(D55+$E$45*$E$42)</f>
        <v>37.526886465517237</v>
      </c>
      <c r="G55" s="2">
        <f t="shared" ref="G55:G56" si="12">$E$50*9.81*(D55+$E$46*$E$43)</f>
        <v>31.091891447368418</v>
      </c>
      <c r="H55" s="2">
        <f t="shared" ref="H55:H56" si="13">0.75*$E$50*9.81*(D55+$E$47)</f>
        <v>58.144483125000001</v>
      </c>
      <c r="I55" s="2">
        <f t="shared" ref="I55:I56" si="14">$E$50*9.81*D55+$E$49</f>
        <v>30.5303875</v>
      </c>
      <c r="J55" s="2">
        <f t="shared" ref="J55:J56" si="15">MAX(D55:I55)</f>
        <v>58.144483125000001</v>
      </c>
    </row>
    <row r="56" spans="1:10" x14ac:dyDescent="0.35">
      <c r="A56" s="16" t="s">
        <v>87</v>
      </c>
      <c r="D56" s="12">
        <f>F10</f>
        <v>1.1000000000000001</v>
      </c>
      <c r="E56" s="2">
        <f t="shared" si="10"/>
        <v>13.285443531901597</v>
      </c>
      <c r="F56" s="2">
        <f t="shared" si="11"/>
        <v>43.05727396551724</v>
      </c>
      <c r="G56" s="2">
        <f t="shared" si="12"/>
        <v>36.622278947368422</v>
      </c>
      <c r="H56" s="2">
        <f t="shared" si="13"/>
        <v>62.29227375</v>
      </c>
      <c r="I56" s="2">
        <f t="shared" si="14"/>
        <v>36.060775</v>
      </c>
      <c r="J56" s="2">
        <f t="shared" si="15"/>
        <v>62.29227375</v>
      </c>
    </row>
    <row r="58" spans="1:10" x14ac:dyDescent="0.35">
      <c r="A58" t="s">
        <v>105</v>
      </c>
    </row>
    <row r="60" spans="1:10" x14ac:dyDescent="0.35">
      <c r="A60" t="s">
        <v>114</v>
      </c>
      <c r="D60" s="10" t="s">
        <v>89</v>
      </c>
      <c r="E60" s="4">
        <v>7.7</v>
      </c>
    </row>
    <row r="61" spans="1:10" x14ac:dyDescent="0.35">
      <c r="A61" t="s">
        <v>115</v>
      </c>
      <c r="D61" s="10" t="s">
        <v>91</v>
      </c>
      <c r="E61" s="4">
        <v>9.1</v>
      </c>
    </row>
    <row r="62" spans="1:10" x14ac:dyDescent="0.35">
      <c r="A62" t="s">
        <v>118</v>
      </c>
      <c r="D62" s="13" t="s">
        <v>93</v>
      </c>
      <c r="E62" s="4">
        <f>2.5</f>
        <v>2.5</v>
      </c>
    </row>
    <row r="63" spans="1:10" x14ac:dyDescent="0.35">
      <c r="D63" s="10"/>
      <c r="E63" s="4"/>
    </row>
    <row r="64" spans="1:10" ht="16.5" x14ac:dyDescent="0.45">
      <c r="A64" t="s">
        <v>106</v>
      </c>
      <c r="D64" s="10" t="s">
        <v>55</v>
      </c>
      <c r="E64" s="10" t="s">
        <v>99</v>
      </c>
      <c r="F64" s="10" t="s">
        <v>100</v>
      </c>
      <c r="G64" s="10" t="s">
        <v>101</v>
      </c>
      <c r="H64" s="10" t="s">
        <v>102</v>
      </c>
      <c r="I64" s="10" t="s">
        <v>103</v>
      </c>
      <c r="J64" s="10" t="s">
        <v>104</v>
      </c>
    </row>
    <row r="65" spans="1:10" x14ac:dyDescent="0.35">
      <c r="A65" s="16" t="s">
        <v>107</v>
      </c>
      <c r="D65" s="4">
        <v>0</v>
      </c>
      <c r="E65" s="2">
        <f>$E$50*9.81*(1+$E$41/9.81)*D65</f>
        <v>0</v>
      </c>
      <c r="F65" s="2">
        <f>$E$50*9.81*(D65+$E$60*$E$42)</f>
        <v>32.038106896551724</v>
      </c>
      <c r="G65" s="2">
        <f>$E$50*9.81*(D65+$E$61*$E$43)</f>
        <v>11.076651710526317</v>
      </c>
      <c r="H65" s="2">
        <f>0.75*$E$50*9.81*(D65+$E$62)</f>
        <v>18.853593749999998</v>
      </c>
      <c r="I65" s="2">
        <f>$E$50*9.81*D65+$E$49</f>
        <v>25</v>
      </c>
      <c r="J65" s="2">
        <f>MAX(D65:I65)</f>
        <v>32.038106896551724</v>
      </c>
    </row>
    <row r="66" spans="1:10" x14ac:dyDescent="0.35">
      <c r="A66" s="16" t="s">
        <v>108</v>
      </c>
      <c r="D66" s="4">
        <v>1.34</v>
      </c>
      <c r="E66" s="2">
        <f t="shared" ref="E66:E74" si="16">$E$50*9.81*(1+$E$41/9.81)*D66</f>
        <v>16.184085757043764</v>
      </c>
      <c r="F66" s="2">
        <f t="shared" ref="F66:F74" si="17">$E$50*9.81*(D66+$E$60*$E$42)</f>
        <v>45.512141896551725</v>
      </c>
      <c r="G66" s="2">
        <f t="shared" ref="G66:G74" si="18">$E$50*9.81*(D66+$E$61*$E$43)</f>
        <v>24.550686710526318</v>
      </c>
      <c r="H66" s="2">
        <f t="shared" ref="H66:H74" si="19">0.75*$E$50*9.81*(D66+$E$62)</f>
        <v>28.959119999999999</v>
      </c>
      <c r="I66" s="2">
        <f t="shared" ref="I66:I74" si="20">$E$50*9.81*D66+$E$49</f>
        <v>38.474035000000001</v>
      </c>
      <c r="J66" s="2">
        <f t="shared" ref="J66:J74" si="21">MAX(D66:I66)</f>
        <v>45.512141896551725</v>
      </c>
    </row>
    <row r="67" spans="1:10" x14ac:dyDescent="0.35">
      <c r="A67" s="16" t="s">
        <v>109</v>
      </c>
      <c r="D67" s="4">
        <v>2.34</v>
      </c>
      <c r="E67" s="2">
        <f t="shared" si="16"/>
        <v>28.261761695136123</v>
      </c>
      <c r="F67" s="2">
        <f t="shared" si="17"/>
        <v>55.567391896551712</v>
      </c>
      <c r="G67" s="2">
        <f t="shared" si="18"/>
        <v>34.605936710526308</v>
      </c>
      <c r="H67" s="2">
        <f t="shared" si="19"/>
        <v>36.500557499999999</v>
      </c>
      <c r="I67" s="2">
        <f t="shared" si="20"/>
        <v>48.529285000000002</v>
      </c>
      <c r="J67" s="2">
        <f t="shared" si="21"/>
        <v>55.567391896551712</v>
      </c>
    </row>
    <row r="68" spans="1:10" x14ac:dyDescent="0.35">
      <c r="A68" s="16" t="s">
        <v>110</v>
      </c>
      <c r="D68" s="4">
        <v>4.34</v>
      </c>
      <c r="E68" s="2">
        <f t="shared" si="16"/>
        <v>52.41711357132084</v>
      </c>
      <c r="F68" s="2">
        <f t="shared" si="17"/>
        <v>75.677891896551714</v>
      </c>
      <c r="G68" s="2">
        <f t="shared" si="18"/>
        <v>54.71643671052631</v>
      </c>
      <c r="H68" s="2">
        <f t="shared" si="19"/>
        <v>51.583432500000001</v>
      </c>
      <c r="I68" s="2">
        <f t="shared" si="20"/>
        <v>68.639784999999989</v>
      </c>
      <c r="J68" s="2">
        <f t="shared" si="21"/>
        <v>75.677891896551714</v>
      </c>
    </row>
    <row r="69" spans="1:10" x14ac:dyDescent="0.35">
      <c r="A69" s="16" t="s">
        <v>111</v>
      </c>
      <c r="D69" s="4">
        <v>5.67</v>
      </c>
      <c r="E69" s="2">
        <f t="shared" si="16"/>
        <v>68.480422568983684</v>
      </c>
      <c r="F69" s="2">
        <f t="shared" si="17"/>
        <v>89.051374396551708</v>
      </c>
      <c r="G69" s="2">
        <f t="shared" si="18"/>
        <v>68.089919210526304</v>
      </c>
      <c r="H69" s="2">
        <f t="shared" si="19"/>
        <v>61.613544374999996</v>
      </c>
      <c r="I69" s="2">
        <f t="shared" si="20"/>
        <v>82.013267499999998</v>
      </c>
      <c r="J69" s="2">
        <f t="shared" si="21"/>
        <v>89.051374396551708</v>
      </c>
    </row>
    <row r="70" spans="1:10" x14ac:dyDescent="0.35">
      <c r="A70" s="16" t="s">
        <v>85</v>
      </c>
      <c r="D70" s="4">
        <v>6.44</v>
      </c>
      <c r="E70" s="2">
        <f t="shared" si="16"/>
        <v>77.780233041314801</v>
      </c>
      <c r="F70" s="2">
        <f t="shared" si="17"/>
        <v>96.793916896551721</v>
      </c>
      <c r="G70" s="2">
        <f t="shared" si="18"/>
        <v>75.832461710526317</v>
      </c>
      <c r="H70" s="2">
        <f t="shared" si="19"/>
        <v>67.420451250000013</v>
      </c>
      <c r="I70" s="2">
        <f t="shared" si="20"/>
        <v>89.755809999999997</v>
      </c>
      <c r="J70" s="2">
        <f t="shared" si="21"/>
        <v>96.793916896551721</v>
      </c>
    </row>
    <row r="71" spans="1:10" x14ac:dyDescent="0.35">
      <c r="A71" s="16" t="s">
        <v>112</v>
      </c>
      <c r="D71" s="4">
        <f>D70+0.55</f>
        <v>6.99</v>
      </c>
      <c r="E71" s="2">
        <f t="shared" si="16"/>
        <v>84.422954807265597</v>
      </c>
      <c r="F71" s="2">
        <f t="shared" si="17"/>
        <v>102.32430439655171</v>
      </c>
      <c r="G71" s="2">
        <f t="shared" si="18"/>
        <v>81.362849210526321</v>
      </c>
      <c r="H71" s="2">
        <f t="shared" si="19"/>
        <v>71.568241874999998</v>
      </c>
      <c r="I71" s="2">
        <f t="shared" si="20"/>
        <v>95.2861975</v>
      </c>
      <c r="J71" s="2">
        <f t="shared" si="21"/>
        <v>102.32430439655171</v>
      </c>
    </row>
    <row r="72" spans="1:10" x14ac:dyDescent="0.35">
      <c r="A72" s="16" t="s">
        <v>113</v>
      </c>
      <c r="D72" s="4">
        <f>D70+1.1</f>
        <v>7.5400000000000009</v>
      </c>
      <c r="E72" s="2">
        <f t="shared" si="16"/>
        <v>91.065676573216408</v>
      </c>
      <c r="F72" s="2">
        <f t="shared" si="17"/>
        <v>107.85469189655173</v>
      </c>
      <c r="G72" s="2">
        <f t="shared" si="18"/>
        <v>86.893236710526324</v>
      </c>
      <c r="H72" s="2">
        <f t="shared" si="19"/>
        <v>75.716032500000011</v>
      </c>
      <c r="I72" s="2">
        <f t="shared" si="20"/>
        <v>100.816585</v>
      </c>
      <c r="J72" s="2">
        <f t="shared" si="21"/>
        <v>107.85469189655173</v>
      </c>
    </row>
    <row r="73" spans="1:10" x14ac:dyDescent="0.35">
      <c r="A73" s="16" t="s">
        <v>116</v>
      </c>
      <c r="D73" s="4">
        <v>1.68</v>
      </c>
      <c r="E73" s="2">
        <f t="shared" si="16"/>
        <v>20.290495575995166</v>
      </c>
      <c r="F73" s="2">
        <f t="shared" si="17"/>
        <v>48.930926896551725</v>
      </c>
      <c r="G73" s="2">
        <f t="shared" si="18"/>
        <v>27.969471710526314</v>
      </c>
      <c r="H73" s="2">
        <f t="shared" si="19"/>
        <v>31.523208749999998</v>
      </c>
      <c r="I73" s="2">
        <f t="shared" si="20"/>
        <v>41.89282</v>
      </c>
      <c r="J73" s="2">
        <f t="shared" si="21"/>
        <v>48.930926896551725</v>
      </c>
    </row>
    <row r="74" spans="1:10" x14ac:dyDescent="0.35">
      <c r="A74" s="16" t="s">
        <v>117</v>
      </c>
      <c r="D74" s="4">
        <v>4.9000000000000004</v>
      </c>
      <c r="E74" s="2">
        <f t="shared" si="16"/>
        <v>59.180612096652567</v>
      </c>
      <c r="F74" s="2">
        <f t="shared" si="17"/>
        <v>81.308831896551723</v>
      </c>
      <c r="G74" s="2">
        <f t="shared" si="18"/>
        <v>60.347376710526312</v>
      </c>
      <c r="H74" s="2">
        <f t="shared" si="19"/>
        <v>55.806637500000001</v>
      </c>
      <c r="I74" s="2">
        <f t="shared" si="20"/>
        <v>74.270724999999999</v>
      </c>
      <c r="J74" s="2">
        <f t="shared" si="21"/>
        <v>81.308831896551723</v>
      </c>
    </row>
    <row r="76" spans="1:10" x14ac:dyDescent="0.35">
      <c r="A76" t="s">
        <v>129</v>
      </c>
    </row>
    <row r="77" spans="1:10" ht="17.5" x14ac:dyDescent="0.45">
      <c r="A77" t="s">
        <v>119</v>
      </c>
      <c r="D77" s="17" t="s">
        <v>120</v>
      </c>
      <c r="E77">
        <f>0.6</f>
        <v>0.6</v>
      </c>
    </row>
    <row r="78" spans="1:10" ht="16.5" x14ac:dyDescent="0.45">
      <c r="A78" t="s">
        <v>121</v>
      </c>
      <c r="D78" s="10" t="s">
        <v>123</v>
      </c>
      <c r="E78">
        <v>3.5</v>
      </c>
    </row>
    <row r="79" spans="1:10" ht="16.5" x14ac:dyDescent="0.45">
      <c r="A79" t="s">
        <v>122</v>
      </c>
      <c r="D79" s="10" t="s">
        <v>124</v>
      </c>
      <c r="E79">
        <v>3</v>
      </c>
    </row>
    <row r="81" spans="1:20" ht="16.5" x14ac:dyDescent="0.45">
      <c r="A81" t="s">
        <v>125</v>
      </c>
      <c r="D81" s="10" t="s">
        <v>127</v>
      </c>
      <c r="E81" s="5">
        <f>E77*9.81*E79*(1+E41/9.81)</f>
        <v>21.209577257137809</v>
      </c>
    </row>
    <row r="82" spans="1:20" ht="16.5" x14ac:dyDescent="0.45">
      <c r="A82" t="s">
        <v>126</v>
      </c>
      <c r="D82" s="10" t="s">
        <v>128</v>
      </c>
      <c r="E82" s="5">
        <f>E77*9.81*E78*(1+E41/9.81)</f>
        <v>24.744506799994106</v>
      </c>
    </row>
    <row r="84" spans="1:20" x14ac:dyDescent="0.35">
      <c r="A84" s="8" t="s">
        <v>130</v>
      </c>
    </row>
    <row r="85" spans="1:20" ht="16.5" x14ac:dyDescent="0.45">
      <c r="A85" t="s">
        <v>132</v>
      </c>
      <c r="D85" s="10" t="s">
        <v>134</v>
      </c>
      <c r="E85" s="4">
        <v>60</v>
      </c>
      <c r="F85" s="16" t="s">
        <v>133</v>
      </c>
    </row>
    <row r="86" spans="1:20" ht="17.5" x14ac:dyDescent="0.45">
      <c r="A86" t="s">
        <v>131</v>
      </c>
      <c r="D86" s="10" t="s">
        <v>141</v>
      </c>
      <c r="E86" s="1">
        <f>9.81*C2*F14/E85</f>
        <v>72435.35635875001</v>
      </c>
      <c r="F86" t="s">
        <v>140</v>
      </c>
    </row>
    <row r="87" spans="1:20" ht="17.5" x14ac:dyDescent="0.45">
      <c r="D87" s="10" t="s">
        <v>142</v>
      </c>
      <c r="E87" s="1">
        <f>E86*0.75*-1</f>
        <v>-54326.517269062504</v>
      </c>
      <c r="F87" t="s">
        <v>143</v>
      </c>
    </row>
    <row r="88" spans="1:20" x14ac:dyDescent="0.35">
      <c r="A88" t="s">
        <v>135</v>
      </c>
    </row>
    <row r="89" spans="1:20" ht="17.5" x14ac:dyDescent="0.45">
      <c r="C89" s="16" t="s">
        <v>136</v>
      </c>
      <c r="D89" s="10" t="s">
        <v>138</v>
      </c>
      <c r="E89" s="6">
        <f>190*E20*C3*C2^2*C6*10^-3</f>
        <v>127812.59567999998</v>
      </c>
    </row>
    <row r="90" spans="1:20" ht="17.5" x14ac:dyDescent="0.45">
      <c r="C90" s="16" t="s">
        <v>137</v>
      </c>
      <c r="D90" s="10" t="s">
        <v>139</v>
      </c>
      <c r="E90" s="6">
        <f>-110*E20*C3*C2^2*(C6+0.7)*10^-3</f>
        <v>-147993.53183999998</v>
      </c>
    </row>
    <row r="91" spans="1:20" x14ac:dyDescent="0.35">
      <c r="A91" t="s">
        <v>144</v>
      </c>
      <c r="T91">
        <v>235</v>
      </c>
    </row>
    <row r="92" spans="1:20" ht="17.5" x14ac:dyDescent="0.45">
      <c r="C92" s="16" t="s">
        <v>136</v>
      </c>
      <c r="D92" s="10" t="s">
        <v>145</v>
      </c>
      <c r="E92" s="6">
        <f>E86+E89</f>
        <v>200247.95203874999</v>
      </c>
      <c r="T92">
        <v>315</v>
      </c>
    </row>
    <row r="93" spans="1:20" ht="17.5" x14ac:dyDescent="0.45">
      <c r="C93" s="16" t="s">
        <v>137</v>
      </c>
      <c r="D93" s="10" t="s">
        <v>146</v>
      </c>
      <c r="E93" s="6">
        <f>E87+E90</f>
        <v>-202320.04910906247</v>
      </c>
      <c r="T93">
        <v>355</v>
      </c>
    </row>
    <row r="94" spans="1:20" x14ac:dyDescent="0.35">
      <c r="T94">
        <v>390</v>
      </c>
    </row>
    <row r="95" spans="1:20" x14ac:dyDescent="0.35">
      <c r="A95" s="8" t="s">
        <v>147</v>
      </c>
    </row>
    <row r="96" spans="1:20" x14ac:dyDescent="0.35">
      <c r="A96" t="s">
        <v>148</v>
      </c>
    </row>
    <row r="97" spans="1:18" ht="16.5" x14ac:dyDescent="0.45">
      <c r="A97" t="s">
        <v>149</v>
      </c>
      <c r="D97" s="10" t="s">
        <v>150</v>
      </c>
      <c r="E97">
        <v>235</v>
      </c>
    </row>
    <row r="98" spans="1:18" x14ac:dyDescent="0.35">
      <c r="A98" t="s">
        <v>151</v>
      </c>
    </row>
    <row r="99" spans="1:18" x14ac:dyDescent="0.35">
      <c r="A99" t="s">
        <v>152</v>
      </c>
      <c r="D99" s="13" t="s">
        <v>48</v>
      </c>
      <c r="E99">
        <f>IF(E97=235,1,IF(E97=315,0.78,IF(E97=355,0.72,IF(E97=390,0.68))))</f>
        <v>1</v>
      </c>
    </row>
    <row r="100" spans="1:18" x14ac:dyDescent="0.35">
      <c r="A100" t="s">
        <v>153</v>
      </c>
    </row>
    <row r="101" spans="1:18" ht="16.5" x14ac:dyDescent="0.45">
      <c r="A101" t="s">
        <v>154</v>
      </c>
      <c r="D101" s="17" t="s">
        <v>155</v>
      </c>
      <c r="E101" s="6">
        <f>235/E99</f>
        <v>235</v>
      </c>
    </row>
    <row r="103" spans="1:18" x14ac:dyDescent="0.35">
      <c r="A103" s="8" t="s">
        <v>156</v>
      </c>
    </row>
    <row r="104" spans="1:18" x14ac:dyDescent="0.35">
      <c r="C104" t="s">
        <v>160</v>
      </c>
    </row>
    <row r="105" spans="1:18" ht="16.5" x14ac:dyDescent="0.45">
      <c r="B105" s="39" t="s">
        <v>157</v>
      </c>
      <c r="C105" s="39"/>
      <c r="D105" s="10" t="s">
        <v>161</v>
      </c>
      <c r="E105" s="10" t="s">
        <v>89</v>
      </c>
      <c r="F105" s="10" t="s">
        <v>162</v>
      </c>
      <c r="G105" s="10" t="s">
        <v>163</v>
      </c>
      <c r="H105" s="10" t="s">
        <v>150</v>
      </c>
      <c r="I105" s="10" t="s">
        <v>48</v>
      </c>
      <c r="J105" s="10" t="s">
        <v>164</v>
      </c>
      <c r="K105" s="10" t="s">
        <v>165</v>
      </c>
      <c r="L105" s="10" t="s">
        <v>166</v>
      </c>
      <c r="M105" s="10" t="s">
        <v>167</v>
      </c>
      <c r="N105" s="10" t="s">
        <v>168</v>
      </c>
      <c r="O105" s="10" t="s">
        <v>169</v>
      </c>
      <c r="P105" s="10" t="s">
        <v>170</v>
      </c>
      <c r="Q105" s="10" t="s">
        <v>172</v>
      </c>
      <c r="R105" s="10" t="s">
        <v>171</v>
      </c>
    </row>
    <row r="106" spans="1:18" x14ac:dyDescent="0.35">
      <c r="A106">
        <v>1</v>
      </c>
      <c r="B106" s="39" t="s">
        <v>159</v>
      </c>
      <c r="C106" s="39"/>
      <c r="D106">
        <v>0.7</v>
      </c>
      <c r="E106">
        <v>2.1</v>
      </c>
      <c r="F106" s="4">
        <f>MIN(1.2-0.5*D106/E106,1)</f>
        <v>1</v>
      </c>
      <c r="G106" s="2">
        <f>H23</f>
        <v>61.055999999999997</v>
      </c>
      <c r="H106" s="4">
        <f>$E$97</f>
        <v>235</v>
      </c>
      <c r="I106" s="4">
        <f>$E$99</f>
        <v>1</v>
      </c>
      <c r="J106" s="4">
        <f>235/I106</f>
        <v>235</v>
      </c>
      <c r="K106" s="4">
        <v>0.6</v>
      </c>
      <c r="L106">
        <v>0.2</v>
      </c>
      <c r="M106" s="4">
        <f>L106*(25-12)</f>
        <v>2.6</v>
      </c>
      <c r="N106" s="2">
        <f>15.8*D106*F106*(G106/(K106*J106))^0.5</f>
        <v>7.2779613512155477</v>
      </c>
      <c r="O106" s="2">
        <f>N106+M106</f>
        <v>9.8779613512155482</v>
      </c>
      <c r="P106" s="4">
        <f>5.5+0.04*$C$2</f>
        <v>9.1</v>
      </c>
      <c r="Q106" s="4">
        <f t="shared" ref="Q106:Q111" si="22">CEILING(MAX(O106,P106),0.5)</f>
        <v>10</v>
      </c>
      <c r="R106" s="4">
        <f>Q106+2</f>
        <v>12</v>
      </c>
    </row>
    <row r="107" spans="1:18" x14ac:dyDescent="0.35">
      <c r="A107">
        <v>2</v>
      </c>
      <c r="B107" s="39" t="s">
        <v>158</v>
      </c>
      <c r="C107" s="39"/>
      <c r="D107">
        <v>0.7</v>
      </c>
      <c r="E107">
        <v>2.1</v>
      </c>
      <c r="F107" s="4">
        <f t="shared" ref="F107:F111" si="23">MIN(1.2-0.5*D107/E107,1)</f>
        <v>1</v>
      </c>
      <c r="G107" s="2">
        <f>H23</f>
        <v>61.055999999999997</v>
      </c>
      <c r="H107" s="4">
        <f t="shared" ref="H107:H111" si="24">$E$97</f>
        <v>235</v>
      </c>
      <c r="I107" s="4">
        <f t="shared" ref="I107:I111" si="25">$E$99</f>
        <v>1</v>
      </c>
      <c r="J107" s="4">
        <f t="shared" ref="J107:J111" si="26">235/I107</f>
        <v>235</v>
      </c>
      <c r="K107" s="4">
        <v>0.6</v>
      </c>
      <c r="L107">
        <v>0.2</v>
      </c>
      <c r="M107" s="4">
        <f t="shared" ref="M107:M111" si="27">L107*(25-12)</f>
        <v>2.6</v>
      </c>
      <c r="N107" s="2">
        <f t="shared" ref="N107:N111" si="28">15.8*D107*F107*(G107/(K107*J107))^0.5</f>
        <v>7.2779613512155477</v>
      </c>
      <c r="O107" s="2">
        <f t="shared" ref="O107:O111" si="29">N107+M107</f>
        <v>9.8779613512155482</v>
      </c>
      <c r="P107" s="4">
        <f t="shared" ref="P107:P111" si="30">5.5+0.04*$C$2</f>
        <v>9.1</v>
      </c>
      <c r="Q107" s="4">
        <f t="shared" si="22"/>
        <v>10</v>
      </c>
      <c r="R107" s="4">
        <v>10</v>
      </c>
    </row>
    <row r="108" spans="1:18" x14ac:dyDescent="0.35">
      <c r="A108">
        <v>3</v>
      </c>
      <c r="B108" s="39" t="s">
        <v>56</v>
      </c>
      <c r="C108" s="39"/>
      <c r="D108">
        <v>0.7</v>
      </c>
      <c r="E108">
        <v>3.5</v>
      </c>
      <c r="F108" s="4">
        <f t="shared" si="23"/>
        <v>1</v>
      </c>
      <c r="G108" s="2">
        <f>H24</f>
        <v>51.397527272727274</v>
      </c>
      <c r="H108" s="4">
        <f t="shared" si="24"/>
        <v>235</v>
      </c>
      <c r="I108" s="4">
        <f t="shared" si="25"/>
        <v>1</v>
      </c>
      <c r="J108" s="4">
        <f t="shared" si="26"/>
        <v>235</v>
      </c>
      <c r="K108" s="4">
        <v>0.6</v>
      </c>
      <c r="L108">
        <v>0.17</v>
      </c>
      <c r="M108" s="4">
        <f t="shared" si="27"/>
        <v>2.21</v>
      </c>
      <c r="N108" s="2">
        <f t="shared" si="28"/>
        <v>6.677542848238267</v>
      </c>
      <c r="O108" s="2">
        <f t="shared" si="29"/>
        <v>8.887542848238267</v>
      </c>
      <c r="P108" s="4">
        <f t="shared" si="30"/>
        <v>9.1</v>
      </c>
      <c r="Q108" s="4">
        <f t="shared" si="22"/>
        <v>9.5</v>
      </c>
      <c r="R108" s="4">
        <v>10</v>
      </c>
    </row>
    <row r="109" spans="1:18" x14ac:dyDescent="0.35">
      <c r="A109">
        <v>4</v>
      </c>
      <c r="B109" s="39" t="s">
        <v>57</v>
      </c>
      <c r="C109" s="39"/>
      <c r="D109">
        <v>0.7</v>
      </c>
      <c r="E109">
        <v>3.5</v>
      </c>
      <c r="F109" s="4">
        <f t="shared" si="23"/>
        <v>1</v>
      </c>
      <c r="G109" s="2">
        <f>H25</f>
        <v>36.066618181818178</v>
      </c>
      <c r="H109" s="4">
        <f t="shared" si="24"/>
        <v>235</v>
      </c>
      <c r="I109" s="4">
        <f t="shared" si="25"/>
        <v>1</v>
      </c>
      <c r="J109" s="4">
        <f t="shared" si="26"/>
        <v>235</v>
      </c>
      <c r="K109" s="4">
        <v>0.6</v>
      </c>
      <c r="L109">
        <v>0.17</v>
      </c>
      <c r="M109" s="4">
        <f t="shared" si="27"/>
        <v>2.21</v>
      </c>
      <c r="N109" s="2">
        <f t="shared" si="28"/>
        <v>5.5936885506433915</v>
      </c>
      <c r="O109" s="2">
        <f t="shared" si="29"/>
        <v>7.8036885506433915</v>
      </c>
      <c r="P109" s="4">
        <f t="shared" si="30"/>
        <v>9.1</v>
      </c>
      <c r="Q109" s="4">
        <f t="shared" si="22"/>
        <v>9.5</v>
      </c>
      <c r="R109" s="4">
        <v>10</v>
      </c>
    </row>
    <row r="110" spans="1:18" x14ac:dyDescent="0.35">
      <c r="A110">
        <v>5</v>
      </c>
      <c r="B110" s="39" t="s">
        <v>58</v>
      </c>
      <c r="C110" s="39"/>
      <c r="D110">
        <v>0.7</v>
      </c>
      <c r="E110">
        <v>2.9</v>
      </c>
      <c r="F110" s="4">
        <f t="shared" si="23"/>
        <v>1</v>
      </c>
      <c r="G110" s="2">
        <f>H26</f>
        <v>22.491225</v>
      </c>
      <c r="H110" s="4">
        <f t="shared" si="24"/>
        <v>235</v>
      </c>
      <c r="I110" s="4">
        <f t="shared" si="25"/>
        <v>1</v>
      </c>
      <c r="J110" s="4">
        <f t="shared" si="26"/>
        <v>235</v>
      </c>
      <c r="K110" s="4">
        <v>0.6</v>
      </c>
      <c r="L110">
        <v>0.1</v>
      </c>
      <c r="M110" s="4">
        <f t="shared" si="27"/>
        <v>1.3</v>
      </c>
      <c r="N110" s="2">
        <f t="shared" si="28"/>
        <v>4.4172514884402565</v>
      </c>
      <c r="O110" s="2">
        <f t="shared" si="29"/>
        <v>5.7172514884402563</v>
      </c>
      <c r="P110" s="4">
        <f t="shared" si="30"/>
        <v>9.1</v>
      </c>
      <c r="Q110" s="4">
        <f t="shared" si="22"/>
        <v>9.5</v>
      </c>
      <c r="R110" s="4">
        <v>10</v>
      </c>
    </row>
    <row r="111" spans="1:18" x14ac:dyDescent="0.35">
      <c r="A111">
        <v>6</v>
      </c>
      <c r="B111" s="39" t="s">
        <v>59</v>
      </c>
      <c r="C111" s="39"/>
      <c r="D111">
        <v>0.7</v>
      </c>
      <c r="E111">
        <v>2.9</v>
      </c>
      <c r="F111" s="4">
        <f t="shared" si="23"/>
        <v>1</v>
      </c>
      <c r="G111" s="2">
        <f>H27</f>
        <v>20.508749999999999</v>
      </c>
      <c r="H111" s="4">
        <f t="shared" si="24"/>
        <v>235</v>
      </c>
      <c r="I111" s="4">
        <f t="shared" si="25"/>
        <v>1</v>
      </c>
      <c r="J111" s="4">
        <f t="shared" si="26"/>
        <v>235</v>
      </c>
      <c r="K111" s="4">
        <v>0.6</v>
      </c>
      <c r="L111">
        <v>0.1</v>
      </c>
      <c r="M111" s="4">
        <f t="shared" si="27"/>
        <v>1.3</v>
      </c>
      <c r="N111" s="2">
        <f t="shared" si="28"/>
        <v>4.218083437176027</v>
      </c>
      <c r="O111" s="2">
        <f t="shared" si="29"/>
        <v>5.5180834371760268</v>
      </c>
      <c r="P111" s="4">
        <f t="shared" si="30"/>
        <v>9.1</v>
      </c>
      <c r="Q111" s="4">
        <f t="shared" si="22"/>
        <v>9.5</v>
      </c>
      <c r="R111" s="4">
        <v>10</v>
      </c>
    </row>
    <row r="113" spans="1:18" x14ac:dyDescent="0.35">
      <c r="C113" t="s">
        <v>173</v>
      </c>
    </row>
    <row r="114" spans="1:18" ht="16.5" x14ac:dyDescent="0.45">
      <c r="B114" s="39" t="s">
        <v>157</v>
      </c>
      <c r="C114" s="39"/>
      <c r="D114" s="10" t="s">
        <v>161</v>
      </c>
      <c r="E114" s="10" t="s">
        <v>89</v>
      </c>
      <c r="F114" s="10" t="s">
        <v>162</v>
      </c>
      <c r="G114" s="10" t="s">
        <v>163</v>
      </c>
      <c r="H114" s="10" t="s">
        <v>150</v>
      </c>
      <c r="I114" s="10" t="s">
        <v>48</v>
      </c>
      <c r="J114" s="10" t="s">
        <v>164</v>
      </c>
      <c r="K114" s="10" t="s">
        <v>165</v>
      </c>
      <c r="L114" s="10" t="s">
        <v>166</v>
      </c>
      <c r="M114" s="10" t="s">
        <v>167</v>
      </c>
      <c r="N114" s="10" t="s">
        <v>168</v>
      </c>
      <c r="O114" s="10" t="s">
        <v>169</v>
      </c>
      <c r="P114" s="10" t="s">
        <v>170</v>
      </c>
      <c r="Q114" s="10" t="s">
        <v>172</v>
      </c>
      <c r="R114" s="10" t="s">
        <v>171</v>
      </c>
    </row>
    <row r="115" spans="1:18" x14ac:dyDescent="0.35">
      <c r="A115">
        <v>1</v>
      </c>
      <c r="B115" s="39" t="s">
        <v>159</v>
      </c>
      <c r="C115" s="39"/>
      <c r="D115" s="19">
        <v>0.7</v>
      </c>
      <c r="E115" s="19">
        <v>4.2</v>
      </c>
      <c r="F115" s="4">
        <f>MIN(1.2-0.5*D115/E115,1)</f>
        <v>1</v>
      </c>
      <c r="G115" s="5">
        <f>H23</f>
        <v>61.055999999999997</v>
      </c>
      <c r="H115" s="4">
        <f>$E$97</f>
        <v>235</v>
      </c>
      <c r="I115" s="4">
        <f>$E$99</f>
        <v>1</v>
      </c>
      <c r="J115" s="4">
        <f>235/I115</f>
        <v>235</v>
      </c>
      <c r="K115">
        <v>0.33</v>
      </c>
      <c r="L115">
        <v>0.2</v>
      </c>
      <c r="M115" s="4">
        <f>L115*(25-12)</f>
        <v>2.6</v>
      </c>
      <c r="N115" s="2">
        <f>15.8*D115*F115*(G115/(K115*J115))^0.5</f>
        <v>9.8136010840046275</v>
      </c>
      <c r="O115" s="2">
        <f>N115+M115</f>
        <v>12.413601084004627</v>
      </c>
      <c r="P115" s="4">
        <f>5.5+0.04*$C$2</f>
        <v>9.1</v>
      </c>
      <c r="Q115" s="4">
        <f>CEILING(MAX(O115,P115),0.5)</f>
        <v>12.5</v>
      </c>
      <c r="R115" s="4">
        <f>Q115+2</f>
        <v>14.5</v>
      </c>
    </row>
    <row r="116" spans="1:18" x14ac:dyDescent="0.35">
      <c r="A116">
        <v>2</v>
      </c>
      <c r="B116" s="39" t="s">
        <v>158</v>
      </c>
      <c r="C116" s="39"/>
      <c r="D116" s="19">
        <v>0.7</v>
      </c>
      <c r="E116" s="19">
        <v>4.2</v>
      </c>
      <c r="F116" s="4">
        <f t="shared" ref="F116:F120" si="31">MIN(1.2-0.5*D116/E116,1)</f>
        <v>1</v>
      </c>
      <c r="G116" s="5">
        <f>H23</f>
        <v>61.055999999999997</v>
      </c>
      <c r="H116" s="4">
        <f t="shared" ref="H116:H120" si="32">$E$97</f>
        <v>235</v>
      </c>
      <c r="I116" s="4">
        <f t="shared" ref="I116:I120" si="33">$E$99</f>
        <v>1</v>
      </c>
      <c r="J116" s="4">
        <f t="shared" ref="J116:J120" si="34">235/I116</f>
        <v>235</v>
      </c>
      <c r="K116">
        <v>0.33</v>
      </c>
      <c r="L116">
        <v>0.2</v>
      </c>
      <c r="M116" s="4">
        <f t="shared" ref="M116:M120" si="35">L116*(25-12)</f>
        <v>2.6</v>
      </c>
      <c r="N116" s="2">
        <f t="shared" ref="N116:N120" si="36">15.8*D116*F116*(G116/(K116*J116))^0.5</f>
        <v>9.8136010840046275</v>
      </c>
      <c r="O116" s="2">
        <f t="shared" ref="O116:O120" si="37">N116+M116</f>
        <v>12.413601084004627</v>
      </c>
      <c r="P116" s="4">
        <f t="shared" ref="P116:P120" si="38">5.5+0.04*$C$2</f>
        <v>9.1</v>
      </c>
      <c r="Q116" s="4">
        <f>CEILING(MAX(O116,P116),0.5)</f>
        <v>12.5</v>
      </c>
      <c r="R116" s="4">
        <v>12.5</v>
      </c>
    </row>
    <row r="117" spans="1:18" x14ac:dyDescent="0.35">
      <c r="A117">
        <v>3</v>
      </c>
      <c r="B117" s="39" t="s">
        <v>56</v>
      </c>
      <c r="C117" s="39"/>
      <c r="D117" s="19">
        <v>0.7</v>
      </c>
      <c r="E117" s="19">
        <v>3.5</v>
      </c>
      <c r="F117" s="4">
        <f t="shared" si="31"/>
        <v>1</v>
      </c>
      <c r="G117" s="5">
        <f>H24</f>
        <v>51.397527272727274</v>
      </c>
      <c r="H117" s="4">
        <f t="shared" si="32"/>
        <v>235</v>
      </c>
      <c r="I117" s="4">
        <f t="shared" si="33"/>
        <v>1</v>
      </c>
      <c r="J117" s="4">
        <f t="shared" si="34"/>
        <v>235</v>
      </c>
      <c r="K117">
        <v>0.44</v>
      </c>
      <c r="L117">
        <v>0.17</v>
      </c>
      <c r="M117" s="4">
        <f t="shared" si="35"/>
        <v>2.21</v>
      </c>
      <c r="N117" s="2">
        <f t="shared" si="36"/>
        <v>7.7976900854202293</v>
      </c>
      <c r="O117" s="2">
        <f t="shared" si="37"/>
        <v>10.007690085420229</v>
      </c>
      <c r="P117" s="4">
        <f t="shared" si="38"/>
        <v>9.1</v>
      </c>
      <c r="Q117" s="4">
        <v>10</v>
      </c>
      <c r="R117" s="4">
        <v>10</v>
      </c>
    </row>
    <row r="118" spans="1:18" x14ac:dyDescent="0.35">
      <c r="A118">
        <v>4</v>
      </c>
      <c r="B118" s="39" t="s">
        <v>57</v>
      </c>
      <c r="C118" s="39"/>
      <c r="D118" s="19">
        <v>0.7</v>
      </c>
      <c r="E118" s="19">
        <v>3.5</v>
      </c>
      <c r="F118" s="4">
        <f t="shared" si="31"/>
        <v>1</v>
      </c>
      <c r="G118" s="5">
        <f>H25</f>
        <v>36.066618181818178</v>
      </c>
      <c r="H118" s="4">
        <f t="shared" si="32"/>
        <v>235</v>
      </c>
      <c r="I118" s="4">
        <f t="shared" si="33"/>
        <v>1</v>
      </c>
      <c r="J118" s="4">
        <f t="shared" si="34"/>
        <v>235</v>
      </c>
      <c r="K118">
        <v>0.6</v>
      </c>
      <c r="L118">
        <v>0.17</v>
      </c>
      <c r="M118" s="4">
        <f t="shared" si="35"/>
        <v>2.21</v>
      </c>
      <c r="N118" s="2">
        <f t="shared" si="36"/>
        <v>5.5936885506433915</v>
      </c>
      <c r="O118" s="2">
        <f t="shared" si="37"/>
        <v>7.8036885506433915</v>
      </c>
      <c r="P118" s="4">
        <f t="shared" si="38"/>
        <v>9.1</v>
      </c>
      <c r="Q118" s="4">
        <f>CEILING(MAX(O118,P118),0.5)</f>
        <v>9.5</v>
      </c>
      <c r="R118" s="4">
        <v>10</v>
      </c>
    </row>
    <row r="119" spans="1:18" x14ac:dyDescent="0.35">
      <c r="A119">
        <v>5</v>
      </c>
      <c r="B119" s="39" t="s">
        <v>58</v>
      </c>
      <c r="C119" s="39"/>
      <c r="D119" s="19">
        <v>0.7</v>
      </c>
      <c r="E119" s="19">
        <v>2.9</v>
      </c>
      <c r="F119" s="4">
        <f t="shared" si="31"/>
        <v>1</v>
      </c>
      <c r="G119" s="5">
        <f>H26</f>
        <v>22.491225</v>
      </c>
      <c r="H119" s="4">
        <f t="shared" si="32"/>
        <v>235</v>
      </c>
      <c r="I119" s="4">
        <f t="shared" si="33"/>
        <v>1</v>
      </c>
      <c r="J119" s="4">
        <f t="shared" si="34"/>
        <v>235</v>
      </c>
      <c r="K119">
        <v>0.48</v>
      </c>
      <c r="L119">
        <v>0.1</v>
      </c>
      <c r="M119" s="4">
        <f t="shared" si="35"/>
        <v>1.3</v>
      </c>
      <c r="N119" s="2">
        <f t="shared" si="36"/>
        <v>4.9386373009322702</v>
      </c>
      <c r="O119" s="2">
        <f t="shared" si="37"/>
        <v>6.23863730093227</v>
      </c>
      <c r="P119" s="4">
        <f t="shared" si="38"/>
        <v>9.1</v>
      </c>
      <c r="Q119" s="4">
        <f>CEILING(MAX(O119,P119),0.5)</f>
        <v>9.5</v>
      </c>
      <c r="R119" s="4">
        <v>10</v>
      </c>
    </row>
    <row r="120" spans="1:18" x14ac:dyDescent="0.35">
      <c r="A120">
        <v>6</v>
      </c>
      <c r="B120" s="39" t="s">
        <v>59</v>
      </c>
      <c r="C120" s="39"/>
      <c r="D120" s="19">
        <v>0.7</v>
      </c>
      <c r="E120" s="19">
        <v>2.9</v>
      </c>
      <c r="F120" s="4">
        <f t="shared" si="31"/>
        <v>1</v>
      </c>
      <c r="G120" s="5">
        <f>H27</f>
        <v>20.508749999999999</v>
      </c>
      <c r="H120" s="4">
        <f t="shared" si="32"/>
        <v>235</v>
      </c>
      <c r="I120" s="4">
        <f t="shared" si="33"/>
        <v>1</v>
      </c>
      <c r="J120" s="4">
        <f t="shared" si="34"/>
        <v>235</v>
      </c>
      <c r="K120">
        <v>0.4</v>
      </c>
      <c r="L120">
        <v>0.1</v>
      </c>
      <c r="M120" s="4">
        <f t="shared" si="35"/>
        <v>1.3</v>
      </c>
      <c r="N120" s="2">
        <f t="shared" si="36"/>
        <v>5.1660760567831447</v>
      </c>
      <c r="O120" s="2">
        <f t="shared" si="37"/>
        <v>6.4660760567831446</v>
      </c>
      <c r="P120" s="4">
        <f t="shared" si="38"/>
        <v>9.1</v>
      </c>
      <c r="Q120" s="4">
        <f>CEILING(MAX(O120,P120),0.5)</f>
        <v>9.5</v>
      </c>
      <c r="R120" s="4">
        <v>10</v>
      </c>
    </row>
    <row r="121" spans="1:18" x14ac:dyDescent="0.35">
      <c r="B121" s="19"/>
      <c r="C121" s="19"/>
      <c r="F121" s="19"/>
      <c r="G121" s="5"/>
      <c r="H121" s="19"/>
      <c r="I121" s="19"/>
      <c r="J121" s="19"/>
      <c r="M121" s="19"/>
      <c r="N121" s="2"/>
      <c r="O121" s="2"/>
      <c r="P121" s="19"/>
      <c r="Q121" s="19"/>
      <c r="R121" s="19"/>
    </row>
    <row r="122" spans="1:18" x14ac:dyDescent="0.35">
      <c r="B122" s="19"/>
      <c r="C122" s="19" t="s">
        <v>242</v>
      </c>
      <c r="F122" s="19"/>
      <c r="G122" s="5"/>
      <c r="H122" s="19"/>
      <c r="I122" s="19"/>
      <c r="J122" s="19"/>
      <c r="M122" s="19"/>
      <c r="N122" s="2"/>
      <c r="O122" s="2"/>
      <c r="P122" s="19"/>
      <c r="Q122" s="19"/>
      <c r="R122" s="19"/>
    </row>
    <row r="123" spans="1:18" ht="16.5" x14ac:dyDescent="0.45">
      <c r="B123" s="39" t="s">
        <v>157</v>
      </c>
      <c r="C123" s="39"/>
      <c r="D123" s="10" t="s">
        <v>161</v>
      </c>
      <c r="E123" s="10" t="s">
        <v>89</v>
      </c>
      <c r="F123" s="10" t="s">
        <v>162</v>
      </c>
      <c r="G123" s="10" t="s">
        <v>163</v>
      </c>
      <c r="H123" s="10" t="s">
        <v>150</v>
      </c>
      <c r="I123" s="10" t="s">
        <v>48</v>
      </c>
      <c r="J123" s="10" t="s">
        <v>164</v>
      </c>
      <c r="K123" s="10" t="s">
        <v>165</v>
      </c>
      <c r="L123" s="10" t="s">
        <v>166</v>
      </c>
      <c r="M123" s="10" t="s">
        <v>167</v>
      </c>
      <c r="N123" s="10" t="s">
        <v>168</v>
      </c>
      <c r="O123" s="10" t="s">
        <v>169</v>
      </c>
      <c r="P123" s="10" t="s">
        <v>170</v>
      </c>
      <c r="Q123" s="10" t="s">
        <v>172</v>
      </c>
      <c r="R123" s="10" t="s">
        <v>171</v>
      </c>
    </row>
    <row r="124" spans="1:18" x14ac:dyDescent="0.35">
      <c r="A124">
        <v>1</v>
      </c>
      <c r="B124" s="39" t="s">
        <v>159</v>
      </c>
      <c r="C124" s="39"/>
      <c r="D124">
        <v>0.75</v>
      </c>
      <c r="E124">
        <v>2.1</v>
      </c>
      <c r="F124" s="19">
        <f>MIN(1.2-0.5*D124/E124,1)</f>
        <v>1</v>
      </c>
      <c r="G124" s="5">
        <f>G115</f>
        <v>61.055999999999997</v>
      </c>
      <c r="H124" s="19">
        <f>$E$97</f>
        <v>235</v>
      </c>
      <c r="I124" s="19">
        <f>$E$99</f>
        <v>1</v>
      </c>
      <c r="J124" s="19">
        <f>235/I124</f>
        <v>235</v>
      </c>
      <c r="K124" s="19">
        <v>0.6</v>
      </c>
      <c r="L124">
        <v>0.2</v>
      </c>
      <c r="M124" s="19">
        <f>L124*(25-12)</f>
        <v>2.6</v>
      </c>
      <c r="N124" s="2">
        <f>15.8*D124*F124*(G124/(K124*J124))^0.5</f>
        <v>7.7978157334452307</v>
      </c>
      <c r="O124" s="2">
        <f>N124+M124</f>
        <v>10.397815733445231</v>
      </c>
      <c r="P124" s="19">
        <f>5.5+0.04*$C$2</f>
        <v>9.1</v>
      </c>
      <c r="Q124" s="19">
        <f t="shared" ref="Q124" si="39">CEILING(MAX(O124,P124),0.5)</f>
        <v>10.5</v>
      </c>
      <c r="R124" s="19">
        <f>Q124+2</f>
        <v>12.5</v>
      </c>
    </row>
    <row r="125" spans="1:18" x14ac:dyDescent="0.35">
      <c r="A125">
        <v>2</v>
      </c>
      <c r="B125" s="39" t="s">
        <v>158</v>
      </c>
      <c r="C125" s="39"/>
      <c r="D125">
        <v>0.75</v>
      </c>
      <c r="E125">
        <v>2.1</v>
      </c>
      <c r="F125" s="19">
        <f t="shared" ref="F125:F129" si="40">MIN(1.2-0.5*D125/E125,1)</f>
        <v>1</v>
      </c>
      <c r="G125" s="5">
        <f t="shared" ref="G125:G129" si="41">G116</f>
        <v>61.055999999999997</v>
      </c>
      <c r="H125" s="19">
        <f t="shared" ref="H125:H129" si="42">$E$97</f>
        <v>235</v>
      </c>
      <c r="I125" s="19">
        <f t="shared" ref="I125:I129" si="43">$E$99</f>
        <v>1</v>
      </c>
      <c r="J125" s="19">
        <f t="shared" ref="J125:J129" si="44">235/I125</f>
        <v>235</v>
      </c>
      <c r="K125" s="19">
        <v>0.6</v>
      </c>
      <c r="L125">
        <v>0.2</v>
      </c>
      <c r="M125" s="19">
        <f t="shared" ref="M125:M129" si="45">L125*(25-12)</f>
        <v>2.6</v>
      </c>
      <c r="N125" s="2">
        <f t="shared" ref="N125:N129" si="46">15.8*D125*F125*(G125/(K125*J125))^0.5</f>
        <v>7.7978157334452307</v>
      </c>
      <c r="O125" s="2">
        <f t="shared" ref="O125:O129" si="47">N125+M125</f>
        <v>10.397815733445231</v>
      </c>
      <c r="P125" s="19">
        <f t="shared" ref="P125:P129" si="48">5.5+0.04*$C$2</f>
        <v>9.1</v>
      </c>
      <c r="Q125" s="19">
        <f t="shared" ref="Q125:Q129" si="49">CEILING(MAX(O125,P125),0.5)</f>
        <v>10.5</v>
      </c>
      <c r="R125" s="19">
        <v>11</v>
      </c>
    </row>
    <row r="126" spans="1:18" x14ac:dyDescent="0.35">
      <c r="A126">
        <v>3</v>
      </c>
      <c r="B126" s="39" t="s">
        <v>56</v>
      </c>
      <c r="C126" s="39"/>
      <c r="D126">
        <v>0.7</v>
      </c>
      <c r="E126">
        <v>3.07</v>
      </c>
      <c r="F126" s="19">
        <f t="shared" si="40"/>
        <v>1</v>
      </c>
      <c r="G126" s="5">
        <f t="shared" si="41"/>
        <v>51.397527272727274</v>
      </c>
      <c r="H126" s="19">
        <f t="shared" si="42"/>
        <v>235</v>
      </c>
      <c r="I126" s="19">
        <f t="shared" si="43"/>
        <v>1</v>
      </c>
      <c r="J126" s="19">
        <f t="shared" si="44"/>
        <v>235</v>
      </c>
      <c r="K126" s="19">
        <v>0.6</v>
      </c>
      <c r="L126">
        <v>0.18</v>
      </c>
      <c r="M126" s="19">
        <f t="shared" si="45"/>
        <v>2.34</v>
      </c>
      <c r="N126" s="2">
        <f t="shared" si="46"/>
        <v>6.677542848238267</v>
      </c>
      <c r="O126" s="2">
        <f t="shared" si="47"/>
        <v>9.0175428482382678</v>
      </c>
      <c r="P126" s="19">
        <f t="shared" si="48"/>
        <v>9.1</v>
      </c>
      <c r="Q126" s="19">
        <f t="shared" si="49"/>
        <v>9.5</v>
      </c>
      <c r="R126" s="19">
        <v>10</v>
      </c>
    </row>
    <row r="127" spans="1:18" x14ac:dyDescent="0.35">
      <c r="A127">
        <v>4</v>
      </c>
      <c r="B127" s="39" t="s">
        <v>57</v>
      </c>
      <c r="C127" s="39"/>
      <c r="D127">
        <v>0.7</v>
      </c>
      <c r="E127">
        <v>3.07</v>
      </c>
      <c r="F127" s="19">
        <f t="shared" si="40"/>
        <v>1</v>
      </c>
      <c r="G127" s="5">
        <f t="shared" si="41"/>
        <v>36.066618181818178</v>
      </c>
      <c r="H127" s="19">
        <f t="shared" si="42"/>
        <v>235</v>
      </c>
      <c r="I127" s="19">
        <f t="shared" si="43"/>
        <v>1</v>
      </c>
      <c r="J127" s="19">
        <f t="shared" si="44"/>
        <v>235</v>
      </c>
      <c r="K127" s="19">
        <v>0.6</v>
      </c>
      <c r="L127">
        <v>0.21</v>
      </c>
      <c r="M127" s="19">
        <f t="shared" si="45"/>
        <v>2.73</v>
      </c>
      <c r="N127" s="2">
        <f t="shared" si="46"/>
        <v>5.5936885506433915</v>
      </c>
      <c r="O127" s="2">
        <f t="shared" si="47"/>
        <v>8.3236885506433911</v>
      </c>
      <c r="P127" s="19">
        <f t="shared" si="48"/>
        <v>9.1</v>
      </c>
      <c r="Q127" s="19">
        <f t="shared" si="49"/>
        <v>9.5</v>
      </c>
      <c r="R127" s="19">
        <v>10</v>
      </c>
    </row>
    <row r="128" spans="1:18" x14ac:dyDescent="0.35">
      <c r="A128">
        <v>5</v>
      </c>
      <c r="B128" s="39" t="s">
        <v>58</v>
      </c>
      <c r="C128" s="39"/>
      <c r="D128">
        <v>0.7</v>
      </c>
      <c r="E128">
        <v>3.3</v>
      </c>
      <c r="F128" s="19">
        <f t="shared" si="40"/>
        <v>1</v>
      </c>
      <c r="G128" s="5">
        <f t="shared" si="41"/>
        <v>22.491225</v>
      </c>
      <c r="H128" s="19">
        <f t="shared" si="42"/>
        <v>235</v>
      </c>
      <c r="I128" s="19">
        <f t="shared" si="43"/>
        <v>1</v>
      </c>
      <c r="J128" s="19">
        <f t="shared" si="44"/>
        <v>235</v>
      </c>
      <c r="K128" s="19">
        <v>0.6</v>
      </c>
      <c r="L128">
        <v>0.21</v>
      </c>
      <c r="M128" s="19">
        <f t="shared" si="45"/>
        <v>2.73</v>
      </c>
      <c r="N128" s="2">
        <f t="shared" si="46"/>
        <v>4.4172514884402565</v>
      </c>
      <c r="O128" s="2">
        <f t="shared" si="47"/>
        <v>7.147251488440256</v>
      </c>
      <c r="P128" s="19">
        <f t="shared" si="48"/>
        <v>9.1</v>
      </c>
      <c r="Q128" s="19">
        <f t="shared" si="49"/>
        <v>9.5</v>
      </c>
      <c r="R128" s="19">
        <v>10</v>
      </c>
    </row>
    <row r="129" spans="1:18" x14ac:dyDescent="0.35">
      <c r="A129">
        <v>6</v>
      </c>
      <c r="B129" s="39" t="s">
        <v>59</v>
      </c>
      <c r="C129" s="39"/>
      <c r="D129">
        <v>0.7</v>
      </c>
      <c r="E129">
        <v>3.3</v>
      </c>
      <c r="F129" s="19">
        <f t="shared" si="40"/>
        <v>1</v>
      </c>
      <c r="G129" s="5">
        <f t="shared" si="41"/>
        <v>20.508749999999999</v>
      </c>
      <c r="H129" s="19">
        <f t="shared" si="42"/>
        <v>235</v>
      </c>
      <c r="I129" s="19">
        <f t="shared" si="43"/>
        <v>1</v>
      </c>
      <c r="J129" s="19">
        <f t="shared" si="44"/>
        <v>235</v>
      </c>
      <c r="K129" s="19">
        <v>0.6</v>
      </c>
      <c r="L129">
        <v>0.21</v>
      </c>
      <c r="M129" s="19">
        <f t="shared" si="45"/>
        <v>2.73</v>
      </c>
      <c r="N129" s="2">
        <f t="shared" si="46"/>
        <v>4.218083437176027</v>
      </c>
      <c r="O129" s="2">
        <f t="shared" si="47"/>
        <v>6.9480834371760274</v>
      </c>
      <c r="P129" s="19">
        <f t="shared" si="48"/>
        <v>9.1</v>
      </c>
      <c r="Q129" s="19">
        <f t="shared" si="49"/>
        <v>9.5</v>
      </c>
      <c r="R129" s="19">
        <v>10</v>
      </c>
    </row>
    <row r="130" spans="1:18" x14ac:dyDescent="0.35">
      <c r="B130" s="19"/>
      <c r="C130" s="19"/>
      <c r="F130" s="19"/>
      <c r="G130" s="5"/>
      <c r="H130" s="19"/>
      <c r="I130" s="19"/>
      <c r="J130" s="19"/>
      <c r="K130" s="19"/>
      <c r="M130" s="19"/>
      <c r="N130" s="2"/>
      <c r="O130" s="2"/>
      <c r="P130" s="19"/>
      <c r="Q130" s="19"/>
      <c r="R130" s="19"/>
    </row>
    <row r="131" spans="1:18" x14ac:dyDescent="0.35">
      <c r="A131" s="8" t="s">
        <v>174</v>
      </c>
    </row>
    <row r="133" spans="1:18" x14ac:dyDescent="0.35">
      <c r="B133" t="s">
        <v>175</v>
      </c>
    </row>
    <row r="135" spans="1:18" ht="16.5" x14ac:dyDescent="0.45">
      <c r="B135" s="39" t="s">
        <v>157</v>
      </c>
      <c r="C135" s="39"/>
      <c r="D135" s="10" t="s">
        <v>161</v>
      </c>
      <c r="E135" s="10" t="s">
        <v>89</v>
      </c>
      <c r="F135" s="10" t="s">
        <v>162</v>
      </c>
      <c r="G135" s="10" t="s">
        <v>163</v>
      </c>
      <c r="H135" s="10" t="s">
        <v>150</v>
      </c>
      <c r="I135" s="10" t="s">
        <v>48</v>
      </c>
      <c r="J135" s="10" t="s">
        <v>164</v>
      </c>
      <c r="K135" s="10" t="s">
        <v>165</v>
      </c>
      <c r="L135" s="10" t="s">
        <v>166</v>
      </c>
      <c r="M135" s="10" t="s">
        <v>167</v>
      </c>
      <c r="N135" s="10" t="s">
        <v>168</v>
      </c>
      <c r="O135" s="10" t="s">
        <v>169</v>
      </c>
      <c r="P135" s="10" t="s">
        <v>170</v>
      </c>
      <c r="Q135" s="10" t="s">
        <v>172</v>
      </c>
      <c r="R135" s="10" t="s">
        <v>171</v>
      </c>
    </row>
    <row r="136" spans="1:18" x14ac:dyDescent="0.35">
      <c r="B136" s="39" t="s">
        <v>176</v>
      </c>
      <c r="C136" s="39"/>
      <c r="D136" s="18">
        <v>0.7</v>
      </c>
      <c r="E136" s="18">
        <v>4.2</v>
      </c>
      <c r="F136" s="18">
        <f>MIN(1.2-0.5*D136/E136,1)</f>
        <v>1</v>
      </c>
      <c r="G136" s="5">
        <f>J54</f>
        <v>53.996692500000002</v>
      </c>
      <c r="H136">
        <f>E97</f>
        <v>235</v>
      </c>
      <c r="I136">
        <f>$E$99</f>
        <v>1</v>
      </c>
      <c r="J136">
        <f>235/I136</f>
        <v>235</v>
      </c>
      <c r="K136">
        <v>0.66</v>
      </c>
      <c r="L136">
        <v>0.15</v>
      </c>
      <c r="M136">
        <f>L136*(25-12)</f>
        <v>1.95</v>
      </c>
      <c r="N136" s="2">
        <f>15.8*D136*F136*(G136/(K136*J136))^0.5</f>
        <v>6.5257856908276741</v>
      </c>
      <c r="O136" s="5">
        <f>N136+M136</f>
        <v>8.4757856908276743</v>
      </c>
      <c r="P136">
        <f>(5+0.035*$C$2)*I136^0.5</f>
        <v>8.15</v>
      </c>
      <c r="Q136" s="18">
        <f>CEILING(MAX(O136,P136),0.5)</f>
        <v>8.5</v>
      </c>
      <c r="R136" s="18">
        <v>9</v>
      </c>
    </row>
    <row r="137" spans="1:18" x14ac:dyDescent="0.35">
      <c r="B137" s="39" t="s">
        <v>177</v>
      </c>
      <c r="C137" s="39"/>
      <c r="D137" s="18">
        <v>0.7</v>
      </c>
      <c r="E137" s="18">
        <v>3.5</v>
      </c>
      <c r="F137" s="18">
        <f>MIN(1.2-0.5*D137/E137,1)</f>
        <v>1</v>
      </c>
      <c r="G137" s="5">
        <f>J54</f>
        <v>53.996692500000002</v>
      </c>
      <c r="H137">
        <f>$E$97</f>
        <v>235</v>
      </c>
      <c r="I137">
        <f>$E$99</f>
        <v>1</v>
      </c>
      <c r="J137">
        <f>235/I137</f>
        <v>235</v>
      </c>
      <c r="K137">
        <v>0.66</v>
      </c>
      <c r="L137">
        <v>0.2</v>
      </c>
      <c r="M137">
        <f>L137*(25-12)</f>
        <v>2.6</v>
      </c>
      <c r="N137" s="2">
        <f>15.8*D137*F137*(G137/(K137*J137))^0.5</f>
        <v>6.5257856908276741</v>
      </c>
      <c r="O137" s="5">
        <f>N137+M137</f>
        <v>9.1257856908276747</v>
      </c>
      <c r="P137">
        <f>(5+0.035*$C$2)*I137^0.5</f>
        <v>8.15</v>
      </c>
      <c r="Q137" s="18">
        <v>9</v>
      </c>
      <c r="R137" s="18">
        <v>9</v>
      </c>
    </row>
    <row r="138" spans="1:18" x14ac:dyDescent="0.35">
      <c r="B138" s="39" t="s">
        <v>178</v>
      </c>
      <c r="C138" s="39"/>
      <c r="D138" s="18">
        <v>0.7</v>
      </c>
      <c r="E138" s="18">
        <v>4.2</v>
      </c>
      <c r="F138" s="18">
        <f>MIN(1.2-0.5*D138/E138,1)</f>
        <v>1</v>
      </c>
      <c r="G138" s="5">
        <f>0.7*H28</f>
        <v>12.603937499999999</v>
      </c>
      <c r="H138">
        <f>$E$97</f>
        <v>235</v>
      </c>
      <c r="I138">
        <f>$E$99</f>
        <v>1</v>
      </c>
      <c r="J138">
        <f>235/I138</f>
        <v>235</v>
      </c>
      <c r="K138">
        <v>0.3</v>
      </c>
      <c r="L138">
        <v>0.1</v>
      </c>
      <c r="M138">
        <f>L138*(25-12)</f>
        <v>1.3</v>
      </c>
      <c r="N138" s="2">
        <f>15.8*D138*F138*(G138/(K138*J138))^0.5</f>
        <v>4.6764219351933427</v>
      </c>
      <c r="O138" s="5">
        <f>N138+M138</f>
        <v>5.9764219351933425</v>
      </c>
      <c r="P138">
        <f>(4+0.05*C2)*I138^0.5</f>
        <v>8.5</v>
      </c>
      <c r="Q138" s="18">
        <v>8.5</v>
      </c>
      <c r="R138" s="18">
        <v>9</v>
      </c>
    </row>
    <row r="139" spans="1:18" x14ac:dyDescent="0.35">
      <c r="B139" s="39" t="s">
        <v>179</v>
      </c>
      <c r="C139" s="39"/>
      <c r="D139" s="18">
        <v>0.7</v>
      </c>
      <c r="E139" s="18">
        <v>4.2</v>
      </c>
      <c r="F139" s="18">
        <f>MIN(1.2-0.5*D139/E139,1)</f>
        <v>1</v>
      </c>
      <c r="G139" s="5">
        <f>E81</f>
        <v>21.209577257137809</v>
      </c>
      <c r="H139">
        <f>$E$97</f>
        <v>235</v>
      </c>
      <c r="I139">
        <f>$E$99</f>
        <v>1</v>
      </c>
      <c r="J139">
        <f>235/I139</f>
        <v>235</v>
      </c>
      <c r="K139">
        <v>0.9</v>
      </c>
      <c r="L139">
        <v>0.11</v>
      </c>
      <c r="M139">
        <f>L139*(25-12)</f>
        <v>1.43</v>
      </c>
      <c r="N139" s="2">
        <f>15.8*D139*F139*(G139/(K139*J139))^0.5</f>
        <v>3.5024016377359177</v>
      </c>
      <c r="O139" s="5">
        <f>N139+M139</f>
        <v>4.9324016377359179</v>
      </c>
      <c r="P139" s="5">
        <f>(4+0.04*C2)*I139^0.5</f>
        <v>7.6</v>
      </c>
      <c r="Q139" s="18">
        <v>8</v>
      </c>
      <c r="R139" s="18">
        <v>8</v>
      </c>
    </row>
    <row r="140" spans="1:18" x14ac:dyDescent="0.35">
      <c r="B140" s="39"/>
      <c r="C140" s="39"/>
    </row>
    <row r="141" spans="1:18" x14ac:dyDescent="0.35">
      <c r="B141" t="s">
        <v>180</v>
      </c>
    </row>
    <row r="143" spans="1:18" ht="16.5" x14ac:dyDescent="0.45">
      <c r="B143" s="39" t="s">
        <v>157</v>
      </c>
      <c r="C143" s="39"/>
      <c r="D143" s="10" t="s">
        <v>161</v>
      </c>
      <c r="E143" s="10" t="s">
        <v>89</v>
      </c>
      <c r="F143" s="10" t="s">
        <v>162</v>
      </c>
      <c r="G143" s="10" t="s">
        <v>163</v>
      </c>
      <c r="H143" s="10" t="s">
        <v>150</v>
      </c>
      <c r="I143" s="10" t="s">
        <v>48</v>
      </c>
      <c r="J143" s="10" t="s">
        <v>164</v>
      </c>
      <c r="K143" s="10" t="s">
        <v>165</v>
      </c>
      <c r="L143" s="10" t="s">
        <v>166</v>
      </c>
      <c r="M143" s="10" t="s">
        <v>167</v>
      </c>
      <c r="N143" s="10" t="s">
        <v>168</v>
      </c>
      <c r="O143" s="10" t="s">
        <v>169</v>
      </c>
      <c r="P143" s="10" t="s">
        <v>170</v>
      </c>
      <c r="Q143" s="10" t="s">
        <v>172</v>
      </c>
      <c r="R143" s="10" t="s">
        <v>171</v>
      </c>
    </row>
    <row r="144" spans="1:18" x14ac:dyDescent="0.35">
      <c r="B144" s="39" t="s">
        <v>176</v>
      </c>
      <c r="C144" s="39"/>
      <c r="D144">
        <v>0.8</v>
      </c>
      <c r="E144">
        <v>2.4</v>
      </c>
      <c r="F144" s="18">
        <f>MIN(1.2-0.5*D144/E144,1)</f>
        <v>1</v>
      </c>
      <c r="G144" s="5">
        <v>120</v>
      </c>
      <c r="H144">
        <f>$E$97</f>
        <v>235</v>
      </c>
      <c r="I144">
        <f>$E$99</f>
        <v>1</v>
      </c>
      <c r="J144">
        <f>235/I144</f>
        <v>235</v>
      </c>
      <c r="K144">
        <v>0.8</v>
      </c>
      <c r="L144">
        <v>0.15</v>
      </c>
      <c r="M144">
        <f>L144*(25-12)</f>
        <v>1.95</v>
      </c>
      <c r="N144" s="2">
        <f>15.8*D144*F144*(G144/(K144*J144))^0.5</f>
        <v>10.098544238883189</v>
      </c>
      <c r="O144" s="5">
        <f>N144+M144</f>
        <v>12.048544238883188</v>
      </c>
      <c r="P144">
        <f>(5+0.035*$C$2)*I144^0.5</f>
        <v>8.15</v>
      </c>
      <c r="Q144" s="18">
        <v>8</v>
      </c>
      <c r="R144" s="18">
        <v>9</v>
      </c>
    </row>
    <row r="145" spans="1:18" x14ac:dyDescent="0.35">
      <c r="B145" s="39" t="s">
        <v>177</v>
      </c>
      <c r="C145" s="39"/>
      <c r="D145">
        <v>0.7</v>
      </c>
      <c r="E145">
        <v>2.1</v>
      </c>
      <c r="F145" s="18">
        <f>MIN(1.2-0.5*D145/E145,1)</f>
        <v>1</v>
      </c>
      <c r="G145" s="5">
        <f t="shared" ref="G145:G147" si="50">G137</f>
        <v>53.996692500000002</v>
      </c>
      <c r="H145">
        <f t="shared" ref="H145:H147" si="51">$E$97</f>
        <v>235</v>
      </c>
      <c r="I145">
        <f>$E$99</f>
        <v>1</v>
      </c>
      <c r="J145">
        <f>235/I145</f>
        <v>235</v>
      </c>
      <c r="K145">
        <v>0.8</v>
      </c>
      <c r="L145">
        <v>0.2</v>
      </c>
      <c r="M145">
        <f>L145*(25-12)</f>
        <v>2.6</v>
      </c>
      <c r="N145" s="2">
        <f>15.8*D145*F145*(G145/(K145*J145))^0.5</f>
        <v>5.9273392072796245</v>
      </c>
      <c r="O145" s="5">
        <f>N145+M145</f>
        <v>8.5273392072796241</v>
      </c>
      <c r="P145">
        <f>(5+0.035*$C$2)*I145^0.5</f>
        <v>8.15</v>
      </c>
      <c r="Q145" s="18">
        <v>9</v>
      </c>
      <c r="R145" s="18">
        <v>9</v>
      </c>
    </row>
    <row r="146" spans="1:18" x14ac:dyDescent="0.35">
      <c r="B146" s="39" t="s">
        <v>178</v>
      </c>
      <c r="C146" s="39"/>
      <c r="D146">
        <v>0.7</v>
      </c>
      <c r="E146">
        <v>2.1</v>
      </c>
      <c r="F146" s="18">
        <f>MIN(1.2-0.5*D146/E146,1)</f>
        <v>1</v>
      </c>
      <c r="G146" s="5">
        <f t="shared" si="50"/>
        <v>12.603937499999999</v>
      </c>
      <c r="H146">
        <f t="shared" si="51"/>
        <v>235</v>
      </c>
      <c r="I146">
        <f>$E$99</f>
        <v>1</v>
      </c>
      <c r="J146">
        <f>235/I146</f>
        <v>235</v>
      </c>
      <c r="K146">
        <v>0.6</v>
      </c>
      <c r="L146">
        <v>0.1</v>
      </c>
      <c r="M146">
        <f>L146*(25-12)</f>
        <v>1.3</v>
      </c>
      <c r="N146" s="2">
        <f>15.8*D146*F146*(G146/(K146*J146))^0.5</f>
        <v>3.3067296620647304</v>
      </c>
      <c r="O146" s="5">
        <f>N146+M146</f>
        <v>4.6067296620647307</v>
      </c>
      <c r="P146">
        <f>(4+0.05*C2)*I146^0.5</f>
        <v>8.5</v>
      </c>
      <c r="Q146" s="18">
        <v>8.5</v>
      </c>
      <c r="R146" s="18">
        <v>9</v>
      </c>
    </row>
    <row r="147" spans="1:18" x14ac:dyDescent="0.35">
      <c r="B147" s="39" t="s">
        <v>179</v>
      </c>
      <c r="C147" s="39"/>
      <c r="D147">
        <v>0.7</v>
      </c>
      <c r="E147">
        <v>4.2</v>
      </c>
      <c r="F147" s="18">
        <f>MIN(1.2-0.5*D147/E147,1)</f>
        <v>1</v>
      </c>
      <c r="G147" s="5">
        <f t="shared" si="50"/>
        <v>21.209577257137809</v>
      </c>
      <c r="H147">
        <f t="shared" si="51"/>
        <v>235</v>
      </c>
      <c r="I147">
        <f>$E$99</f>
        <v>1</v>
      </c>
      <c r="J147">
        <f>235/I147</f>
        <v>235</v>
      </c>
      <c r="K147">
        <v>0.9</v>
      </c>
      <c r="L147">
        <v>0.11</v>
      </c>
      <c r="M147">
        <f>L147*(25-12)</f>
        <v>1.43</v>
      </c>
      <c r="N147" s="2">
        <f>15.8*D147*F147*(G147/(K147*J147))^0.5</f>
        <v>3.5024016377359177</v>
      </c>
      <c r="O147" s="5">
        <f>N147+M147</f>
        <v>4.9324016377359179</v>
      </c>
      <c r="P147" s="5">
        <f>(4+0.04*C2)*I147^0.5</f>
        <v>7.6</v>
      </c>
      <c r="Q147" s="18">
        <v>8</v>
      </c>
      <c r="R147" s="18">
        <v>8</v>
      </c>
    </row>
    <row r="148" spans="1:18" x14ac:dyDescent="0.35">
      <c r="B148" s="19"/>
      <c r="C148" s="19"/>
      <c r="F148" s="19"/>
      <c r="G148" s="5"/>
      <c r="N148" s="2"/>
      <c r="O148" s="5"/>
      <c r="P148" s="5"/>
      <c r="Q148" s="19"/>
      <c r="R148" s="19"/>
    </row>
    <row r="149" spans="1:18" x14ac:dyDescent="0.35">
      <c r="B149" s="19" t="s">
        <v>44</v>
      </c>
      <c r="C149" s="19"/>
      <c r="F149" s="19"/>
      <c r="G149" s="5"/>
      <c r="N149" s="2"/>
      <c r="O149" s="5"/>
      <c r="P149" s="5"/>
      <c r="Q149" s="19"/>
      <c r="R149" s="19"/>
    </row>
    <row r="150" spans="1:18" ht="16.5" x14ac:dyDescent="0.45">
      <c r="B150" s="19"/>
      <c r="C150" s="19"/>
      <c r="D150" s="10" t="s">
        <v>161</v>
      </c>
      <c r="E150" s="10" t="s">
        <v>89</v>
      </c>
      <c r="F150" s="10" t="s">
        <v>162</v>
      </c>
      <c r="G150" s="10" t="s">
        <v>163</v>
      </c>
      <c r="H150" s="10" t="s">
        <v>150</v>
      </c>
      <c r="I150" s="10" t="s">
        <v>48</v>
      </c>
      <c r="J150" s="10" t="s">
        <v>164</v>
      </c>
      <c r="K150" s="10" t="s">
        <v>165</v>
      </c>
      <c r="L150" s="10" t="s">
        <v>166</v>
      </c>
      <c r="M150" s="10" t="s">
        <v>167</v>
      </c>
      <c r="N150" s="10" t="s">
        <v>168</v>
      </c>
      <c r="O150" s="10" t="s">
        <v>169</v>
      </c>
      <c r="P150" s="10" t="s">
        <v>170</v>
      </c>
      <c r="Q150" s="10" t="s">
        <v>172</v>
      </c>
      <c r="R150" s="10" t="s">
        <v>171</v>
      </c>
    </row>
    <row r="151" spans="1:18" x14ac:dyDescent="0.35">
      <c r="B151" s="39" t="s">
        <v>176</v>
      </c>
      <c r="C151" s="39"/>
      <c r="D151">
        <v>0.75</v>
      </c>
      <c r="E151">
        <v>2.1</v>
      </c>
      <c r="F151" s="19">
        <f>MIN(1.2-0.5*D151/E151,1)</f>
        <v>1</v>
      </c>
      <c r="G151" s="5">
        <f>J70</f>
        <v>96.793916896551721</v>
      </c>
      <c r="H151">
        <f>$E$97</f>
        <v>235</v>
      </c>
      <c r="I151">
        <f>$E$99</f>
        <v>1</v>
      </c>
      <c r="J151">
        <f>235/I151</f>
        <v>235</v>
      </c>
      <c r="K151">
        <v>0.8</v>
      </c>
      <c r="L151">
        <v>0.2</v>
      </c>
      <c r="M151">
        <f>L151*(25-12)</f>
        <v>2.6</v>
      </c>
      <c r="N151" s="2">
        <f>15.8*D151*F151*(G151/(K151*J151))^0.5</f>
        <v>8.502829252355534</v>
      </c>
      <c r="O151" s="5">
        <f>N151+M151</f>
        <v>11.102829252355534</v>
      </c>
      <c r="P151">
        <f>MAX(6.7+0.02*$C$2,(5+0.035*$C$2)*I136^0.5)</f>
        <v>8.5</v>
      </c>
      <c r="Q151" s="19">
        <v>11</v>
      </c>
      <c r="R151" s="19">
        <v>11</v>
      </c>
    </row>
    <row r="152" spans="1:18" x14ac:dyDescent="0.35">
      <c r="B152" s="39" t="s">
        <v>177</v>
      </c>
      <c r="C152" s="39"/>
      <c r="D152">
        <v>0.75</v>
      </c>
      <c r="E152">
        <v>2.1</v>
      </c>
      <c r="F152" s="19">
        <f t="shared" ref="F152:F157" si="52">MIN(1.2-0.5*D152/E152,1)</f>
        <v>1</v>
      </c>
      <c r="G152" s="5">
        <f>G151</f>
        <v>96.793916896551721</v>
      </c>
      <c r="H152">
        <f t="shared" ref="H152:H157" si="53">$E$97</f>
        <v>235</v>
      </c>
      <c r="I152">
        <f t="shared" ref="I152:I157" si="54">$E$99</f>
        <v>1</v>
      </c>
      <c r="J152">
        <f t="shared" ref="J152:J157" si="55">235/I152</f>
        <v>235</v>
      </c>
      <c r="K152">
        <v>0.8</v>
      </c>
      <c r="L152">
        <v>0.22</v>
      </c>
      <c r="M152">
        <f t="shared" ref="M152:M157" si="56">L152*(25-12)</f>
        <v>2.86</v>
      </c>
      <c r="N152" s="2">
        <f t="shared" ref="N152:N157" si="57">15.8*D152*F152*(G152/(K152*J152))^0.5</f>
        <v>8.502829252355534</v>
      </c>
      <c r="O152" s="5">
        <f t="shared" ref="O152:O157" si="58">N152+M152</f>
        <v>11.362829252355533</v>
      </c>
      <c r="P152">
        <f>MAX(6.7+0.02*$C$2,(5+0.035*$C$2)*I137^0.5)</f>
        <v>8.5</v>
      </c>
      <c r="Q152" s="19">
        <v>11.5</v>
      </c>
      <c r="R152" s="19">
        <v>12</v>
      </c>
    </row>
    <row r="153" spans="1:18" x14ac:dyDescent="0.35">
      <c r="B153" s="39" t="s">
        <v>178</v>
      </c>
      <c r="C153" s="39"/>
      <c r="D153">
        <v>0.75</v>
      </c>
      <c r="E153">
        <v>2.1</v>
      </c>
      <c r="F153" s="19">
        <f t="shared" si="52"/>
        <v>1</v>
      </c>
      <c r="G153" s="5">
        <f>J65</f>
        <v>32.038106896551724</v>
      </c>
      <c r="H153">
        <f t="shared" si="53"/>
        <v>235</v>
      </c>
      <c r="I153">
        <f t="shared" si="54"/>
        <v>1</v>
      </c>
      <c r="J153">
        <f t="shared" si="55"/>
        <v>235</v>
      </c>
      <c r="K153">
        <v>0.6</v>
      </c>
      <c r="L153">
        <v>0.2</v>
      </c>
      <c r="M153">
        <f t="shared" si="56"/>
        <v>2.6</v>
      </c>
      <c r="N153" s="2">
        <f t="shared" si="57"/>
        <v>5.6486181487728162</v>
      </c>
      <c r="O153" s="5">
        <f t="shared" si="58"/>
        <v>8.2486181487728167</v>
      </c>
      <c r="P153">
        <f>MAX(6.7+0.02*$C$2,(4+0.05*C2)*I146^0.5)</f>
        <v>8.5</v>
      </c>
      <c r="Q153" s="19">
        <v>8.5</v>
      </c>
      <c r="R153" s="19">
        <v>9</v>
      </c>
    </row>
    <row r="154" spans="1:18" x14ac:dyDescent="0.35">
      <c r="B154" s="16" t="s">
        <v>108</v>
      </c>
      <c r="D154">
        <v>0.7</v>
      </c>
      <c r="E154">
        <v>3.07</v>
      </c>
      <c r="F154" s="19">
        <f t="shared" si="52"/>
        <v>1</v>
      </c>
      <c r="G154" s="5">
        <f>J66</f>
        <v>45.512141896551725</v>
      </c>
      <c r="H154">
        <f t="shared" si="53"/>
        <v>235</v>
      </c>
      <c r="I154">
        <f t="shared" si="54"/>
        <v>1</v>
      </c>
      <c r="J154">
        <f t="shared" si="55"/>
        <v>235</v>
      </c>
      <c r="K154">
        <v>0.64</v>
      </c>
      <c r="L154">
        <v>0.3</v>
      </c>
      <c r="M154">
        <f t="shared" si="56"/>
        <v>3.9</v>
      </c>
      <c r="N154" s="2">
        <f t="shared" si="57"/>
        <v>6.084079022867491</v>
      </c>
      <c r="O154" s="5">
        <f t="shared" si="58"/>
        <v>9.9840790228674905</v>
      </c>
      <c r="P154">
        <f t="shared" ref="P154:P157" si="59">6.7+0.02*$C$2</f>
        <v>8.5</v>
      </c>
      <c r="Q154" s="19">
        <v>10</v>
      </c>
      <c r="R154" s="19">
        <v>10</v>
      </c>
    </row>
    <row r="155" spans="1:18" x14ac:dyDescent="0.35">
      <c r="B155" s="16" t="s">
        <v>109</v>
      </c>
      <c r="D155">
        <v>0.7</v>
      </c>
      <c r="E155">
        <v>3.07</v>
      </c>
      <c r="F155" s="19">
        <f t="shared" si="52"/>
        <v>1</v>
      </c>
      <c r="G155" s="5">
        <f t="shared" ref="G155:G157" si="60">J67</f>
        <v>55.567391896551712</v>
      </c>
      <c r="H155">
        <f t="shared" si="53"/>
        <v>235</v>
      </c>
      <c r="I155">
        <f t="shared" si="54"/>
        <v>1</v>
      </c>
      <c r="J155">
        <f t="shared" si="55"/>
        <v>235</v>
      </c>
      <c r="K155">
        <v>0.7</v>
      </c>
      <c r="L155">
        <v>0.25</v>
      </c>
      <c r="M155">
        <f t="shared" si="56"/>
        <v>3.25</v>
      </c>
      <c r="N155" s="2">
        <f t="shared" si="57"/>
        <v>6.4280934598253507</v>
      </c>
      <c r="O155" s="5">
        <f t="shared" si="58"/>
        <v>9.6780934598253516</v>
      </c>
      <c r="P155">
        <f t="shared" si="59"/>
        <v>8.5</v>
      </c>
      <c r="Q155" s="19">
        <v>10</v>
      </c>
      <c r="R155" s="19">
        <v>10</v>
      </c>
    </row>
    <row r="156" spans="1:18" x14ac:dyDescent="0.35">
      <c r="B156" s="16" t="s">
        <v>110</v>
      </c>
      <c r="D156">
        <v>0.7</v>
      </c>
      <c r="E156">
        <v>3.3</v>
      </c>
      <c r="F156" s="19">
        <f t="shared" si="52"/>
        <v>1</v>
      </c>
      <c r="G156" s="5">
        <f t="shared" si="60"/>
        <v>75.677891896551714</v>
      </c>
      <c r="H156">
        <f t="shared" si="53"/>
        <v>235</v>
      </c>
      <c r="I156">
        <f t="shared" si="54"/>
        <v>1</v>
      </c>
      <c r="J156">
        <f t="shared" si="55"/>
        <v>235</v>
      </c>
      <c r="K156">
        <v>0.8</v>
      </c>
      <c r="L156">
        <v>0.25</v>
      </c>
      <c r="M156">
        <f t="shared" si="56"/>
        <v>3.25</v>
      </c>
      <c r="N156" s="2">
        <f t="shared" si="57"/>
        <v>7.0171492731208742</v>
      </c>
      <c r="O156" s="5">
        <f t="shared" si="58"/>
        <v>10.267149273120875</v>
      </c>
      <c r="P156">
        <f t="shared" si="59"/>
        <v>8.5</v>
      </c>
      <c r="Q156" s="19">
        <v>10.5</v>
      </c>
      <c r="R156" s="19">
        <v>11</v>
      </c>
    </row>
    <row r="157" spans="1:18" x14ac:dyDescent="0.35">
      <c r="B157" s="16" t="s">
        <v>111</v>
      </c>
      <c r="D157">
        <v>0.7</v>
      </c>
      <c r="E157">
        <v>3.3</v>
      </c>
      <c r="F157" s="19">
        <f t="shared" si="52"/>
        <v>1</v>
      </c>
      <c r="G157" s="5">
        <f t="shared" si="60"/>
        <v>89.051374396551708</v>
      </c>
      <c r="H157">
        <f t="shared" si="53"/>
        <v>235</v>
      </c>
      <c r="I157">
        <f t="shared" si="54"/>
        <v>1</v>
      </c>
      <c r="J157">
        <f t="shared" si="55"/>
        <v>235</v>
      </c>
      <c r="K157">
        <v>0.67</v>
      </c>
      <c r="L157">
        <v>0.2</v>
      </c>
      <c r="M157">
        <f t="shared" si="56"/>
        <v>2.6</v>
      </c>
      <c r="N157" s="2">
        <f t="shared" si="57"/>
        <v>8.3177163843405548</v>
      </c>
      <c r="O157" s="5">
        <f t="shared" si="58"/>
        <v>10.917716384340554</v>
      </c>
      <c r="P157">
        <f t="shared" si="59"/>
        <v>8.5</v>
      </c>
      <c r="Q157" s="19">
        <v>11</v>
      </c>
      <c r="R157" s="19">
        <v>11</v>
      </c>
    </row>
    <row r="158" spans="1:18" x14ac:dyDescent="0.35">
      <c r="B158" s="19"/>
      <c r="C158" s="19"/>
      <c r="F158" s="19"/>
      <c r="G158" s="5"/>
      <c r="N158" s="2"/>
      <c r="O158" s="5"/>
      <c r="P158" s="5"/>
      <c r="Q158" s="19"/>
      <c r="R158" s="19"/>
    </row>
    <row r="160" spans="1:18" x14ac:dyDescent="0.35">
      <c r="A160" s="8" t="s">
        <v>181</v>
      </c>
    </row>
    <row r="162" spans="2:20" x14ac:dyDescent="0.35">
      <c r="B162" t="s">
        <v>182</v>
      </c>
      <c r="D162" t="s">
        <v>244</v>
      </c>
    </row>
    <row r="163" spans="2:20" ht="17.5" x14ac:dyDescent="0.45">
      <c r="D163" s="10" t="s">
        <v>161</v>
      </c>
      <c r="E163" s="10" t="s">
        <v>91</v>
      </c>
      <c r="F163" s="10" t="s">
        <v>163</v>
      </c>
      <c r="G163" s="10" t="s">
        <v>185</v>
      </c>
      <c r="H163" s="10" t="s">
        <v>186</v>
      </c>
      <c r="I163" s="10" t="s">
        <v>150</v>
      </c>
      <c r="J163" s="10" t="s">
        <v>48</v>
      </c>
      <c r="K163" s="10" t="s">
        <v>164</v>
      </c>
      <c r="L163" s="10" t="s">
        <v>166</v>
      </c>
      <c r="M163" s="10" t="s">
        <v>167</v>
      </c>
      <c r="N163" s="10" t="s">
        <v>187</v>
      </c>
      <c r="O163" s="10" t="s">
        <v>188</v>
      </c>
      <c r="P163" s="10" t="s">
        <v>189</v>
      </c>
      <c r="Q163" s="10" t="s">
        <v>191</v>
      </c>
      <c r="R163" s="10" t="s">
        <v>192</v>
      </c>
      <c r="S163" s="10" t="s">
        <v>201</v>
      </c>
      <c r="T163" s="10" t="s">
        <v>202</v>
      </c>
    </row>
    <row r="164" spans="2:20" x14ac:dyDescent="0.35">
      <c r="B164" s="20" t="s">
        <v>183</v>
      </c>
      <c r="C164" s="20"/>
      <c r="D164" s="20">
        <v>0.7</v>
      </c>
      <c r="E164" s="20">
        <v>2.1</v>
      </c>
      <c r="F164" s="23">
        <f>H23</f>
        <v>61.055999999999997</v>
      </c>
      <c r="G164" s="20">
        <v>12</v>
      </c>
      <c r="H164" s="22">
        <v>0.5</v>
      </c>
      <c r="I164" s="22">
        <f>$E$97</f>
        <v>235</v>
      </c>
      <c r="J164" s="22">
        <f>$E$99</f>
        <v>1</v>
      </c>
      <c r="K164" s="22">
        <f>235/J164</f>
        <v>235</v>
      </c>
      <c r="L164" s="20">
        <v>0.2</v>
      </c>
      <c r="M164" s="20">
        <f>L164*(25-12)</f>
        <v>2.6</v>
      </c>
      <c r="N164" s="24">
        <f>1000*F164*D164*E164^2/G164/H164/K164</f>
        <v>133.67366808510639</v>
      </c>
      <c r="O164" s="25">
        <f>IF(N164&lt;200,MIN(0.07+6/N164,0.25),1/0.15*(0.01+1/N164))</f>
        <v>0.11488542946378912</v>
      </c>
      <c r="P164" s="25">
        <f>1+O164*M164</f>
        <v>1.2987021166058517</v>
      </c>
      <c r="Q164" s="23">
        <f>N164*P164</f>
        <v>173.60227567659575</v>
      </c>
      <c r="R164" s="22">
        <f>5.5+0.025*$C$2</f>
        <v>7.75</v>
      </c>
      <c r="S164" s="20">
        <f>R107</f>
        <v>10</v>
      </c>
      <c r="T164" s="20">
        <f>MIN(E164/6,D164)</f>
        <v>0.35000000000000003</v>
      </c>
    </row>
    <row r="165" spans="2:20" x14ac:dyDescent="0.35">
      <c r="B165" s="20" t="s">
        <v>184</v>
      </c>
      <c r="C165" s="20"/>
      <c r="D165" s="20">
        <v>0.7</v>
      </c>
      <c r="E165" s="20">
        <v>2.1</v>
      </c>
      <c r="F165" s="23">
        <f>J54</f>
        <v>53.996692500000002</v>
      </c>
      <c r="G165" s="20">
        <v>12</v>
      </c>
      <c r="H165" s="22">
        <v>0.66</v>
      </c>
      <c r="I165" s="22">
        <f>$E$97</f>
        <v>235</v>
      </c>
      <c r="J165" s="22">
        <f>$E$99</f>
        <v>1</v>
      </c>
      <c r="K165" s="22">
        <f>235/J165</f>
        <v>235</v>
      </c>
      <c r="L165" s="20">
        <v>0.2</v>
      </c>
      <c r="M165" s="20">
        <f>L165*(25-12)</f>
        <v>2.6</v>
      </c>
      <c r="N165" s="24">
        <f>1000*F165*D165*E165^2/G165/H165/K165</f>
        <v>89.559311061411989</v>
      </c>
      <c r="O165" s="25">
        <f>IF(N165&lt;200,MIN(0.07+6/N165,0.25),1/0.15*(0.01+1/N165))</f>
        <v>0.13699470919205398</v>
      </c>
      <c r="P165" s="25">
        <f>1+O165*M165</f>
        <v>1.3561862438993404</v>
      </c>
      <c r="Q165" s="23">
        <f>N165*P165</f>
        <v>121.45910567458897</v>
      </c>
      <c r="R165" s="22">
        <f>5.5+0.025*$C$2</f>
        <v>7.75</v>
      </c>
      <c r="S165" s="20">
        <f>R144</f>
        <v>9</v>
      </c>
      <c r="T165" s="20">
        <f>MIN(E165/6,D165)</f>
        <v>0.35000000000000003</v>
      </c>
    </row>
    <row r="167" spans="2:20" ht="16.5" x14ac:dyDescent="0.35">
      <c r="C167" t="s">
        <v>193</v>
      </c>
      <c r="G167" s="20"/>
      <c r="H167" s="20"/>
      <c r="I167" s="20" t="s">
        <v>203</v>
      </c>
      <c r="J167" s="20" t="s">
        <v>204</v>
      </c>
      <c r="K167" s="20" t="s">
        <v>205</v>
      </c>
      <c r="L167" s="20" t="s">
        <v>206</v>
      </c>
      <c r="M167" s="20" t="s">
        <v>207</v>
      </c>
      <c r="N167" s="20" t="s">
        <v>208</v>
      </c>
      <c r="O167" s="20" t="s">
        <v>209</v>
      </c>
    </row>
    <row r="168" spans="2:20" x14ac:dyDescent="0.35">
      <c r="C168" t="s">
        <v>212</v>
      </c>
      <c r="D168" s="20" t="s">
        <v>194</v>
      </c>
      <c r="E168" s="20">
        <v>200</v>
      </c>
      <c r="G168" s="40" t="s">
        <v>199</v>
      </c>
      <c r="H168" s="41"/>
      <c r="I168" s="20">
        <f>E168/10</f>
        <v>20</v>
      </c>
      <c r="J168" s="20">
        <f>E169/10</f>
        <v>0.9</v>
      </c>
      <c r="K168" s="20">
        <f>E170</f>
        <v>23.6</v>
      </c>
      <c r="L168" s="20">
        <f>E172+0.5*J169</f>
        <v>12.6</v>
      </c>
      <c r="M168" s="20">
        <f>K168*L168</f>
        <v>297.36</v>
      </c>
      <c r="N168" s="20">
        <f>M168*L168</f>
        <v>3746.7359999999999</v>
      </c>
      <c r="O168" s="20">
        <f>E171</f>
        <v>941</v>
      </c>
    </row>
    <row r="169" spans="2:20" x14ac:dyDescent="0.35">
      <c r="D169" s="20" t="s">
        <v>195</v>
      </c>
      <c r="E169" s="20">
        <v>9</v>
      </c>
      <c r="G169" s="40" t="s">
        <v>200</v>
      </c>
      <c r="H169" s="41"/>
      <c r="I169" s="20">
        <f>T164*100</f>
        <v>35</v>
      </c>
      <c r="J169" s="20">
        <f>S164/10</f>
        <v>1</v>
      </c>
      <c r="K169" s="20">
        <f>I169*J169</f>
        <v>35</v>
      </c>
      <c r="L169" s="20">
        <f>0</f>
        <v>0</v>
      </c>
      <c r="M169" s="20">
        <f>K169*L169</f>
        <v>0</v>
      </c>
      <c r="N169" s="20">
        <f>M169*L169</f>
        <v>0</v>
      </c>
      <c r="O169" s="21">
        <f>J169^3*I169/12</f>
        <v>2.9166666666666665</v>
      </c>
    </row>
    <row r="170" spans="2:20" x14ac:dyDescent="0.35">
      <c r="D170" s="20" t="s">
        <v>196</v>
      </c>
      <c r="E170" s="20">
        <v>23.6</v>
      </c>
      <c r="G170" s="40" t="s">
        <v>210</v>
      </c>
      <c r="H170" s="41"/>
      <c r="I170" s="20"/>
      <c r="J170" s="20"/>
      <c r="K170" s="20">
        <f>K168+K169</f>
        <v>58.6</v>
      </c>
      <c r="L170" s="20"/>
      <c r="M170" s="20">
        <f>M168+M169</f>
        <v>297.36</v>
      </c>
      <c r="N170" s="20">
        <f>N168+N169</f>
        <v>3746.7359999999999</v>
      </c>
      <c r="O170" s="21">
        <f>O168+O169</f>
        <v>943.91666666666663</v>
      </c>
    </row>
    <row r="171" spans="2:20" x14ac:dyDescent="0.35">
      <c r="D171" s="20" t="s">
        <v>197</v>
      </c>
      <c r="E171" s="20">
        <v>941</v>
      </c>
    </row>
    <row r="172" spans="2:20" x14ac:dyDescent="0.35">
      <c r="D172" s="20" t="s">
        <v>198</v>
      </c>
      <c r="E172" s="20">
        <v>12.1</v>
      </c>
      <c r="J172" t="s">
        <v>211</v>
      </c>
      <c r="K172" s="3">
        <f>M170/K170</f>
        <v>5.0744027303754269</v>
      </c>
    </row>
    <row r="173" spans="2:20" x14ac:dyDescent="0.35">
      <c r="J173" t="s">
        <v>209</v>
      </c>
      <c r="K173" s="5">
        <f>N170+O170-K172^2*K170</f>
        <v>3181.7282707622298</v>
      </c>
    </row>
    <row r="174" spans="2:20" x14ac:dyDescent="0.35">
      <c r="J174" t="s">
        <v>190</v>
      </c>
      <c r="K174" s="5">
        <f>K173/(I168-K172+0.5*J169)</f>
        <v>206.26288986732158</v>
      </c>
    </row>
    <row r="175" spans="2:20" x14ac:dyDescent="0.35">
      <c r="K175" s="3">
        <f>K174/Q164</f>
        <v>1.1881347123097015</v>
      </c>
    </row>
    <row r="176" spans="2:20" x14ac:dyDescent="0.35">
      <c r="K176" s="3"/>
    </row>
    <row r="177" spans="2:21" ht="16.5" x14ac:dyDescent="0.35">
      <c r="C177" t="s">
        <v>222</v>
      </c>
      <c r="G177" s="20"/>
      <c r="H177" s="20"/>
      <c r="I177" s="20" t="s">
        <v>203</v>
      </c>
      <c r="J177" s="20" t="s">
        <v>204</v>
      </c>
      <c r="K177" s="20" t="s">
        <v>205</v>
      </c>
      <c r="L177" s="20" t="s">
        <v>206</v>
      </c>
      <c r="M177" s="20" t="s">
        <v>207</v>
      </c>
      <c r="N177" s="20" t="s">
        <v>208</v>
      </c>
      <c r="O177" s="20" t="s">
        <v>209</v>
      </c>
    </row>
    <row r="178" spans="2:21" x14ac:dyDescent="0.35">
      <c r="C178" t="s">
        <v>223</v>
      </c>
      <c r="D178" s="20" t="s">
        <v>194</v>
      </c>
      <c r="E178" s="20">
        <v>180</v>
      </c>
      <c r="G178" s="40" t="s">
        <v>199</v>
      </c>
      <c r="H178" s="41"/>
      <c r="I178" s="20">
        <f>E178/10</f>
        <v>18</v>
      </c>
      <c r="J178" s="20">
        <f>E179/10</f>
        <v>0.8</v>
      </c>
      <c r="K178" s="20">
        <f>E180</f>
        <v>18.899999999999999</v>
      </c>
      <c r="L178" s="20">
        <f>E182+0.5*J179</f>
        <v>11.35</v>
      </c>
      <c r="M178" s="20">
        <f>K178*L178</f>
        <v>214.51499999999999</v>
      </c>
      <c r="N178" s="20">
        <f>M178*L178</f>
        <v>2434.7452499999999</v>
      </c>
      <c r="O178" s="20">
        <f>E181</f>
        <v>609</v>
      </c>
    </row>
    <row r="179" spans="2:21" x14ac:dyDescent="0.35">
      <c r="D179" s="20" t="s">
        <v>195</v>
      </c>
      <c r="E179" s="20">
        <v>8</v>
      </c>
      <c r="G179" s="40" t="s">
        <v>200</v>
      </c>
      <c r="H179" s="41"/>
      <c r="I179" s="20">
        <f>T165*100</f>
        <v>35</v>
      </c>
      <c r="J179" s="20">
        <f>S165/10</f>
        <v>0.9</v>
      </c>
      <c r="K179" s="20">
        <f>I179*J179</f>
        <v>31.5</v>
      </c>
      <c r="L179" s="20">
        <f>0</f>
        <v>0</v>
      </c>
      <c r="M179" s="20">
        <f>K179*L179</f>
        <v>0</v>
      </c>
      <c r="N179" s="20">
        <f>M179*L179</f>
        <v>0</v>
      </c>
      <c r="O179" s="21">
        <f>J179^3*I179/12</f>
        <v>2.1262500000000002</v>
      </c>
    </row>
    <row r="180" spans="2:21" x14ac:dyDescent="0.35">
      <c r="D180" s="20" t="s">
        <v>196</v>
      </c>
      <c r="E180" s="20">
        <v>18.899999999999999</v>
      </c>
      <c r="G180" s="40" t="s">
        <v>210</v>
      </c>
      <c r="H180" s="41"/>
      <c r="I180" s="20"/>
      <c r="J180" s="20"/>
      <c r="K180" s="20">
        <f>K178+K179</f>
        <v>50.4</v>
      </c>
      <c r="L180" s="20"/>
      <c r="M180" s="20">
        <f>M178+M179</f>
        <v>214.51499999999999</v>
      </c>
      <c r="N180" s="20">
        <f>N178+N179</f>
        <v>2434.7452499999999</v>
      </c>
      <c r="O180" s="21">
        <f>O178+O179</f>
        <v>611.12625000000003</v>
      </c>
    </row>
    <row r="181" spans="2:21" x14ac:dyDescent="0.35">
      <c r="D181" s="20" t="s">
        <v>197</v>
      </c>
      <c r="E181" s="20">
        <v>609</v>
      </c>
    </row>
    <row r="182" spans="2:21" x14ac:dyDescent="0.35">
      <c r="D182" s="20" t="s">
        <v>198</v>
      </c>
      <c r="E182" s="20">
        <v>10.9</v>
      </c>
      <c r="J182" t="s">
        <v>211</v>
      </c>
      <c r="K182" s="3">
        <f>M180/K180</f>
        <v>4.2562499999999996</v>
      </c>
    </row>
    <row r="183" spans="2:21" x14ac:dyDescent="0.35">
      <c r="J183" t="s">
        <v>209</v>
      </c>
      <c r="K183" s="5">
        <f>N180+O180-K182^2*K180</f>
        <v>2132.8420312500002</v>
      </c>
    </row>
    <row r="184" spans="2:21" x14ac:dyDescent="0.35">
      <c r="J184" t="s">
        <v>190</v>
      </c>
      <c r="K184" s="5">
        <f>K183/(I178-K182+0.5*J179)</f>
        <v>150.26628137384415</v>
      </c>
    </row>
    <row r="185" spans="2:21" x14ac:dyDescent="0.35">
      <c r="K185" s="3">
        <f>K184/Q165</f>
        <v>1.237175924680648</v>
      </c>
    </row>
    <row r="186" spans="2:21" x14ac:dyDescent="0.35">
      <c r="B186" t="s">
        <v>213</v>
      </c>
    </row>
    <row r="187" spans="2:21" ht="17.5" x14ac:dyDescent="0.45">
      <c r="D187" s="10" t="s">
        <v>161</v>
      </c>
      <c r="E187" s="10" t="s">
        <v>91</v>
      </c>
      <c r="F187" s="10" t="s">
        <v>163</v>
      </c>
      <c r="G187" s="10" t="s">
        <v>185</v>
      </c>
      <c r="H187" s="10" t="s">
        <v>186</v>
      </c>
      <c r="I187" s="10" t="s">
        <v>150</v>
      </c>
      <c r="J187" s="10" t="s">
        <v>48</v>
      </c>
      <c r="K187" s="10" t="s">
        <v>164</v>
      </c>
      <c r="L187" s="10" t="s">
        <v>166</v>
      </c>
      <c r="M187" s="10" t="s">
        <v>167</v>
      </c>
      <c r="N187" s="10" t="s">
        <v>187</v>
      </c>
      <c r="O187" s="10" t="s">
        <v>188</v>
      </c>
      <c r="P187" s="10" t="s">
        <v>189</v>
      </c>
      <c r="Q187" s="10" t="s">
        <v>191</v>
      </c>
      <c r="R187" s="10" t="s">
        <v>192</v>
      </c>
      <c r="S187" s="10" t="s">
        <v>201</v>
      </c>
      <c r="T187" s="10" t="s">
        <v>202</v>
      </c>
    </row>
    <row r="188" spans="2:21" x14ac:dyDescent="0.35">
      <c r="B188" s="20" t="s">
        <v>214</v>
      </c>
      <c r="C188" s="20"/>
      <c r="D188" s="22">
        <v>0.7</v>
      </c>
      <c r="E188" s="22">
        <v>3.1949999999999998</v>
      </c>
      <c r="F188" s="23">
        <f>F165</f>
        <v>53.996692500000002</v>
      </c>
      <c r="G188" s="22">
        <v>12</v>
      </c>
      <c r="H188" s="22">
        <v>0.75</v>
      </c>
      <c r="I188" s="22">
        <f>$E$97</f>
        <v>235</v>
      </c>
      <c r="J188" s="22">
        <f>$E$99</f>
        <v>1</v>
      </c>
      <c r="K188" s="22">
        <f>235/J188</f>
        <v>235</v>
      </c>
      <c r="L188" s="20">
        <v>0.2</v>
      </c>
      <c r="M188" s="20">
        <f>L188*(25-12)</f>
        <v>2.6</v>
      </c>
      <c r="N188" s="24">
        <f>1000*F188*D188*E188^2/G188/H188/K188</f>
        <v>182.43012334284577</v>
      </c>
      <c r="O188" s="25">
        <f>IF(N188&lt;200,MIN(0.07+6/N188,0.25),1/0.15*(0.01+1/N188))</f>
        <v>0.10288930517644854</v>
      </c>
      <c r="P188" s="25">
        <f>1+O188*M188</f>
        <v>1.2675121934587663</v>
      </c>
      <c r="Q188" s="23">
        <f>N188*P188</f>
        <v>231.23240579124374</v>
      </c>
      <c r="R188" s="22">
        <f>5.5+0.025*$C$2</f>
        <v>7.75</v>
      </c>
      <c r="S188" s="22">
        <f>R136</f>
        <v>9</v>
      </c>
      <c r="T188" s="22">
        <f>MIN(E188/6,D188)</f>
        <v>0.53249999999999997</v>
      </c>
      <c r="U188" t="s">
        <v>220</v>
      </c>
    </row>
    <row r="189" spans="2:21" x14ac:dyDescent="0.35">
      <c r="B189" s="20" t="s">
        <v>215</v>
      </c>
      <c r="C189" s="20"/>
      <c r="D189" s="22">
        <v>0.7</v>
      </c>
      <c r="E189" s="22">
        <v>3.1949999999999998</v>
      </c>
      <c r="F189" s="23">
        <f>F164</f>
        <v>61.055999999999997</v>
      </c>
      <c r="G189" s="22">
        <v>12</v>
      </c>
      <c r="H189" s="22">
        <v>0.65</v>
      </c>
      <c r="I189" s="22">
        <f>$E$97</f>
        <v>235</v>
      </c>
      <c r="J189" s="22">
        <f>$E$99</f>
        <v>1</v>
      </c>
      <c r="K189" s="22">
        <f>235/J189</f>
        <v>235</v>
      </c>
      <c r="L189" s="20">
        <v>0.2</v>
      </c>
      <c r="M189" s="20">
        <f>L189*(25-12)</f>
        <v>2.6</v>
      </c>
      <c r="N189" s="24">
        <f>1000*F189*D189*E189^2/G189/H189/K189</f>
        <v>238.01572399345332</v>
      </c>
      <c r="O189" s="25">
        <f>IF(N189&lt;200,MIN(0.07+6/N189,0.25),1/0.15*(0.01+1/N189))</f>
        <v>9.4676020648885237E-2</v>
      </c>
      <c r="P189" s="25">
        <f>1+O189*M189</f>
        <v>1.2461576536871015</v>
      </c>
      <c r="Q189" s="23">
        <f>N189*P189</f>
        <v>296.60511615231854</v>
      </c>
      <c r="R189" s="22">
        <f>5.5+0.025*$C$2</f>
        <v>7.75</v>
      </c>
      <c r="S189" s="22">
        <f>R116</f>
        <v>12.5</v>
      </c>
      <c r="T189" s="22">
        <f>MIN(E189/6,D189)</f>
        <v>0.53249999999999997</v>
      </c>
      <c r="U189" t="s">
        <v>221</v>
      </c>
    </row>
    <row r="191" spans="2:21" ht="16.5" x14ac:dyDescent="0.35">
      <c r="C191" t="s">
        <v>216</v>
      </c>
      <c r="G191" s="20"/>
      <c r="H191" s="20"/>
      <c r="I191" s="20" t="s">
        <v>203</v>
      </c>
      <c r="J191" s="20" t="s">
        <v>204</v>
      </c>
      <c r="K191" s="20" t="s">
        <v>205</v>
      </c>
      <c r="L191" s="20" t="s">
        <v>206</v>
      </c>
      <c r="M191" s="20" t="s">
        <v>207</v>
      </c>
      <c r="N191" s="20" t="s">
        <v>208</v>
      </c>
      <c r="O191" s="20" t="s">
        <v>209</v>
      </c>
    </row>
    <row r="192" spans="2:21" x14ac:dyDescent="0.35">
      <c r="C192" t="s">
        <v>217</v>
      </c>
      <c r="D192" s="20" t="s">
        <v>194</v>
      </c>
      <c r="E192" s="20">
        <v>220</v>
      </c>
      <c r="G192" s="40" t="s">
        <v>199</v>
      </c>
      <c r="H192" s="41"/>
      <c r="I192" s="20">
        <f>E192/10</f>
        <v>22</v>
      </c>
      <c r="J192" s="20">
        <f>E193/10</f>
        <v>1</v>
      </c>
      <c r="K192" s="20">
        <f>E194</f>
        <v>29</v>
      </c>
      <c r="L192" s="20">
        <f>E196+0.5*J193</f>
        <v>13.85</v>
      </c>
      <c r="M192" s="20">
        <f>K192*L192</f>
        <v>401.65</v>
      </c>
      <c r="N192" s="20">
        <f>M192*L192</f>
        <v>5562.8525</v>
      </c>
      <c r="O192" s="20">
        <f>E195</f>
        <v>1400</v>
      </c>
    </row>
    <row r="193" spans="3:15" x14ac:dyDescent="0.35">
      <c r="D193" s="20" t="s">
        <v>195</v>
      </c>
      <c r="E193" s="20">
        <v>10</v>
      </c>
      <c r="G193" s="40" t="s">
        <v>200</v>
      </c>
      <c r="H193" s="41"/>
      <c r="I193" s="20">
        <f>T188*100</f>
        <v>53.25</v>
      </c>
      <c r="J193" s="20">
        <f>S188/10</f>
        <v>0.9</v>
      </c>
      <c r="K193" s="20">
        <f>I193*J193</f>
        <v>47.925000000000004</v>
      </c>
      <c r="L193" s="20">
        <f>0</f>
        <v>0</v>
      </c>
      <c r="M193" s="20">
        <f>K193*L193</f>
        <v>0</v>
      </c>
      <c r="N193" s="20">
        <f>M193*L193</f>
        <v>0</v>
      </c>
      <c r="O193" s="21">
        <f>J193^3*I193/12</f>
        <v>3.2349375000000005</v>
      </c>
    </row>
    <row r="194" spans="3:15" x14ac:dyDescent="0.35">
      <c r="D194" s="20" t="s">
        <v>196</v>
      </c>
      <c r="E194" s="20">
        <v>29</v>
      </c>
      <c r="G194" s="40" t="s">
        <v>210</v>
      </c>
      <c r="H194" s="41"/>
      <c r="I194" s="20"/>
      <c r="J194" s="20"/>
      <c r="K194" s="20">
        <f>K192+K193</f>
        <v>76.925000000000011</v>
      </c>
      <c r="L194" s="20"/>
      <c r="M194" s="20">
        <f>M192+M193</f>
        <v>401.65</v>
      </c>
      <c r="N194" s="20">
        <f>N192+N193</f>
        <v>5562.8525</v>
      </c>
      <c r="O194" s="21">
        <f>O192+O193</f>
        <v>1403.2349374999999</v>
      </c>
    </row>
    <row r="195" spans="3:15" x14ac:dyDescent="0.35">
      <c r="D195" s="20" t="s">
        <v>197</v>
      </c>
      <c r="E195" s="20">
        <v>1400</v>
      </c>
    </row>
    <row r="196" spans="3:15" x14ac:dyDescent="0.35">
      <c r="D196" s="20" t="s">
        <v>198</v>
      </c>
      <c r="E196" s="20">
        <v>13.4</v>
      </c>
      <c r="J196" t="s">
        <v>211</v>
      </c>
      <c r="K196" s="3">
        <f>M194/K194</f>
        <v>5.2213194670133234</v>
      </c>
    </row>
    <row r="197" spans="3:15" x14ac:dyDescent="0.35">
      <c r="J197" t="s">
        <v>209</v>
      </c>
      <c r="K197" s="5">
        <f>N194+O194-K196^2*K194</f>
        <v>4868.944473574099</v>
      </c>
    </row>
    <row r="198" spans="3:15" x14ac:dyDescent="0.35">
      <c r="J198" t="s">
        <v>190</v>
      </c>
      <c r="K198" s="5">
        <f>K197/(I192-K196+0.5*J193)</f>
        <v>282.6069276896647</v>
      </c>
    </row>
    <row r="199" spans="3:15" x14ac:dyDescent="0.35">
      <c r="K199" s="3">
        <f>K198/Q188</f>
        <v>1.2221769986028765</v>
      </c>
    </row>
    <row r="201" spans="3:15" ht="16.5" x14ac:dyDescent="0.35">
      <c r="C201" t="s">
        <v>218</v>
      </c>
      <c r="G201" s="20"/>
      <c r="H201" s="20"/>
      <c r="I201" s="20" t="s">
        <v>203</v>
      </c>
      <c r="J201" s="20" t="s">
        <v>204</v>
      </c>
      <c r="K201" s="20" t="s">
        <v>205</v>
      </c>
      <c r="L201" s="20" t="s">
        <v>206</v>
      </c>
      <c r="M201" s="20" t="s">
        <v>207</v>
      </c>
      <c r="N201" s="20" t="s">
        <v>208</v>
      </c>
      <c r="O201" s="20" t="s">
        <v>209</v>
      </c>
    </row>
    <row r="202" spans="3:15" x14ac:dyDescent="0.35">
      <c r="C202" t="s">
        <v>219</v>
      </c>
      <c r="D202" s="20" t="s">
        <v>194</v>
      </c>
      <c r="E202" s="20">
        <v>220</v>
      </c>
      <c r="G202" s="40" t="s">
        <v>199</v>
      </c>
      <c r="H202" s="41"/>
      <c r="I202" s="20">
        <f>E202/10</f>
        <v>22</v>
      </c>
      <c r="J202" s="20">
        <f>E203/10</f>
        <v>1.1499999999999999</v>
      </c>
      <c r="K202" s="20">
        <f>E204</f>
        <v>32.299999999999997</v>
      </c>
      <c r="L202" s="20">
        <f>E206+0.5*J203</f>
        <v>13.725</v>
      </c>
      <c r="M202" s="20">
        <f>K202*L202</f>
        <v>443.31749999999994</v>
      </c>
      <c r="N202" s="20">
        <f>M202*L202</f>
        <v>6084.5326874999992</v>
      </c>
      <c r="O202" s="20">
        <f>E205</f>
        <v>1550</v>
      </c>
    </row>
    <row r="203" spans="3:15" x14ac:dyDescent="0.35">
      <c r="D203" s="20" t="s">
        <v>195</v>
      </c>
      <c r="E203" s="20">
        <v>11.5</v>
      </c>
      <c r="G203" s="40" t="s">
        <v>200</v>
      </c>
      <c r="H203" s="41"/>
      <c r="I203" s="20">
        <f>T189*100</f>
        <v>53.25</v>
      </c>
      <c r="J203" s="20">
        <f>S189/10</f>
        <v>1.25</v>
      </c>
      <c r="K203" s="20">
        <f>I203*J203</f>
        <v>66.5625</v>
      </c>
      <c r="L203" s="20">
        <f>0</f>
        <v>0</v>
      </c>
      <c r="M203" s="20">
        <f>K203*L203</f>
        <v>0</v>
      </c>
      <c r="N203" s="20">
        <f>M203*L203</f>
        <v>0</v>
      </c>
      <c r="O203" s="21">
        <f>J203^3*I203/12</f>
        <v>8.6669921875</v>
      </c>
    </row>
    <row r="204" spans="3:15" x14ac:dyDescent="0.35">
      <c r="D204" s="20" t="s">
        <v>196</v>
      </c>
      <c r="E204" s="20">
        <v>32.299999999999997</v>
      </c>
      <c r="G204" s="40" t="s">
        <v>210</v>
      </c>
      <c r="H204" s="41"/>
      <c r="I204" s="20"/>
      <c r="J204" s="20"/>
      <c r="K204" s="20">
        <f>K202+K203</f>
        <v>98.862499999999997</v>
      </c>
      <c r="L204" s="20"/>
      <c r="M204" s="20">
        <f>M202+M203</f>
        <v>443.31749999999994</v>
      </c>
      <c r="N204" s="20">
        <f>N202+N203</f>
        <v>6084.5326874999992</v>
      </c>
      <c r="O204" s="21">
        <f>O202+O203</f>
        <v>1558.6669921875</v>
      </c>
    </row>
    <row r="205" spans="3:15" x14ac:dyDescent="0.35">
      <c r="D205" s="20" t="s">
        <v>197</v>
      </c>
      <c r="E205" s="20">
        <v>1550</v>
      </c>
    </row>
    <row r="206" spans="3:15" x14ac:dyDescent="0.35">
      <c r="D206" s="20" t="s">
        <v>198</v>
      </c>
      <c r="E206" s="20">
        <v>13.1</v>
      </c>
      <c r="J206" t="s">
        <v>211</v>
      </c>
      <c r="K206" s="3">
        <f>M204/K204</f>
        <v>4.4841825768112269</v>
      </c>
    </row>
    <row r="207" spans="3:15" x14ac:dyDescent="0.35">
      <c r="J207" t="s">
        <v>209</v>
      </c>
      <c r="K207" s="5">
        <f>N204+O204-K206^2*K204</f>
        <v>5655.2830701919884</v>
      </c>
    </row>
    <row r="208" spans="3:15" x14ac:dyDescent="0.35">
      <c r="J208" t="s">
        <v>190</v>
      </c>
      <c r="K208" s="5">
        <f>K207/(I202-K206+0.5*J203)</f>
        <v>311.74356360386707</v>
      </c>
    </row>
    <row r="209" spans="2:20" x14ac:dyDescent="0.35">
      <c r="K209" s="3">
        <f>K208/Q189</f>
        <v>1.0510390638163312</v>
      </c>
    </row>
    <row r="210" spans="2:20" x14ac:dyDescent="0.35">
      <c r="K210" s="3"/>
    </row>
    <row r="211" spans="2:20" x14ac:dyDescent="0.35">
      <c r="C211" t="s">
        <v>243</v>
      </c>
      <c r="K211" s="3"/>
    </row>
    <row r="212" spans="2:20" ht="17.5" x14ac:dyDescent="0.45">
      <c r="D212" s="10" t="s">
        <v>161</v>
      </c>
      <c r="E212" s="10" t="s">
        <v>91</v>
      </c>
      <c r="F212" s="10" t="s">
        <v>163</v>
      </c>
      <c r="G212" s="10" t="s">
        <v>185</v>
      </c>
      <c r="H212" s="10" t="s">
        <v>186</v>
      </c>
      <c r="I212" s="10" t="s">
        <v>150</v>
      </c>
      <c r="J212" s="10" t="s">
        <v>48</v>
      </c>
      <c r="K212" s="10" t="s">
        <v>164</v>
      </c>
      <c r="L212" s="10" t="s">
        <v>166</v>
      </c>
      <c r="M212" s="10" t="s">
        <v>167</v>
      </c>
      <c r="N212" s="10" t="s">
        <v>187</v>
      </c>
      <c r="O212" s="10" t="s">
        <v>188</v>
      </c>
      <c r="P212" s="10" t="s">
        <v>189</v>
      </c>
      <c r="Q212" s="10" t="s">
        <v>191</v>
      </c>
      <c r="R212" s="10" t="s">
        <v>192</v>
      </c>
      <c r="S212" s="10" t="s">
        <v>201</v>
      </c>
      <c r="T212" s="10" t="s">
        <v>202</v>
      </c>
    </row>
    <row r="213" spans="2:20" x14ac:dyDescent="0.35">
      <c r="B213" s="20" t="s">
        <v>183</v>
      </c>
      <c r="C213" s="20"/>
      <c r="D213" s="20">
        <v>0.75</v>
      </c>
      <c r="E213" s="20">
        <v>2.1</v>
      </c>
      <c r="F213" s="23">
        <f>H23</f>
        <v>61.055999999999997</v>
      </c>
      <c r="G213" s="20">
        <v>12</v>
      </c>
      <c r="H213" s="22">
        <v>0.5</v>
      </c>
      <c r="I213" s="22">
        <f>$E$97</f>
        <v>235</v>
      </c>
      <c r="J213" s="22">
        <f>$E$99</f>
        <v>1</v>
      </c>
      <c r="K213" s="22">
        <f>235/J213</f>
        <v>235</v>
      </c>
      <c r="L213" s="20">
        <v>0.2</v>
      </c>
      <c r="M213" s="20">
        <f>L213*(25-12)</f>
        <v>2.6</v>
      </c>
      <c r="N213" s="24">
        <f>1000*F213*D213*E213^2/G213/H213/K213</f>
        <v>143.22178723404255</v>
      </c>
      <c r="O213" s="25">
        <f>IF(N213&lt;200,MIN(0.07+6/N213,0.25),1/0.15*(0.01+1/N213))</f>
        <v>0.11189306749953651</v>
      </c>
      <c r="P213" s="25">
        <f>1+O213*M213</f>
        <v>1.2909219754987951</v>
      </c>
      <c r="Q213" s="23">
        <f>N213*P213</f>
        <v>184.88815251063832</v>
      </c>
      <c r="R213" s="22">
        <f>5.5+0.025*$C$2</f>
        <v>7.75</v>
      </c>
      <c r="S213" s="20">
        <f>R125</f>
        <v>11</v>
      </c>
      <c r="T213" s="20">
        <f>MIN(E213/6,D213)</f>
        <v>0.35000000000000003</v>
      </c>
    </row>
    <row r="214" spans="2:20" x14ac:dyDescent="0.35">
      <c r="B214" s="20" t="s">
        <v>184</v>
      </c>
      <c r="C214" s="20"/>
      <c r="D214" s="20">
        <v>0.75</v>
      </c>
      <c r="E214" s="20">
        <v>2.1</v>
      </c>
      <c r="F214" s="23">
        <f>J70</f>
        <v>96.793916896551721</v>
      </c>
      <c r="G214" s="20">
        <v>12</v>
      </c>
      <c r="H214" s="22">
        <v>0.66</v>
      </c>
      <c r="I214" s="22">
        <f>$E$97</f>
        <v>235</v>
      </c>
      <c r="J214" s="22">
        <f>$E$99</f>
        <v>1</v>
      </c>
      <c r="K214" s="22">
        <f>235/J214</f>
        <v>235</v>
      </c>
      <c r="L214" s="20">
        <v>0.2</v>
      </c>
      <c r="M214" s="20">
        <f>L214*(25-12)</f>
        <v>2.6</v>
      </c>
      <c r="N214" s="24">
        <f>1000*F214*D214*E214^2/G214/H214/K214</f>
        <v>172.01046643850464</v>
      </c>
      <c r="O214" s="25">
        <f>IF(N214&lt;200,MIN(0.07+6/N214,0.25),1/0.15*(0.01+1/N214))</f>
        <v>0.10488159833660504</v>
      </c>
      <c r="P214" s="25">
        <f>1+O214*M214</f>
        <v>1.2726921556751731</v>
      </c>
      <c r="Q214" s="23">
        <f>N214*P214</f>
        <v>218.91637133031247</v>
      </c>
      <c r="R214" s="22">
        <f>5.5+0.025*$C$2</f>
        <v>7.75</v>
      </c>
      <c r="S214" s="20">
        <f>R151</f>
        <v>11</v>
      </c>
      <c r="T214" s="20">
        <f>MIN(E214/6,D214)</f>
        <v>0.35000000000000003</v>
      </c>
    </row>
    <row r="215" spans="2:20" x14ac:dyDescent="0.35">
      <c r="B215" s="29"/>
      <c r="C215" s="29"/>
      <c r="D215" s="29"/>
      <c r="E215" s="29"/>
      <c r="F215" s="30"/>
      <c r="G215" s="29"/>
      <c r="H215" s="31"/>
      <c r="I215" s="31"/>
      <c r="J215" s="31"/>
      <c r="K215" s="31"/>
      <c r="L215" s="29"/>
      <c r="M215" s="29"/>
      <c r="N215" s="32"/>
      <c r="O215" s="33"/>
      <c r="P215" s="33"/>
      <c r="Q215" s="30"/>
      <c r="R215" s="31"/>
      <c r="S215" s="29"/>
      <c r="T215" s="29"/>
    </row>
    <row r="216" spans="2:20" ht="16.5" x14ac:dyDescent="0.35">
      <c r="B216" s="29"/>
      <c r="C216" t="s">
        <v>193</v>
      </c>
      <c r="D216" s="29"/>
      <c r="E216" s="29"/>
      <c r="F216" s="30"/>
      <c r="G216" s="20"/>
      <c r="H216" s="20"/>
      <c r="I216" s="20" t="s">
        <v>203</v>
      </c>
      <c r="J216" s="20" t="s">
        <v>204</v>
      </c>
      <c r="K216" s="20" t="s">
        <v>205</v>
      </c>
      <c r="L216" s="20" t="s">
        <v>206</v>
      </c>
      <c r="M216" s="20" t="s">
        <v>207</v>
      </c>
      <c r="N216" s="20" t="s">
        <v>208</v>
      </c>
      <c r="O216" s="20" t="s">
        <v>209</v>
      </c>
      <c r="P216" s="33"/>
      <c r="Q216" s="30"/>
      <c r="R216" s="31"/>
      <c r="S216" s="29"/>
      <c r="T216" s="29"/>
    </row>
    <row r="217" spans="2:20" x14ac:dyDescent="0.35">
      <c r="B217" s="29"/>
      <c r="C217" s="29" t="s">
        <v>245</v>
      </c>
      <c r="D217" s="20" t="s">
        <v>194</v>
      </c>
      <c r="E217" s="20">
        <v>200</v>
      </c>
      <c r="F217" s="30"/>
      <c r="G217" s="40" t="s">
        <v>199</v>
      </c>
      <c r="H217" s="41"/>
      <c r="I217" s="20">
        <f>E217/10</f>
        <v>20</v>
      </c>
      <c r="J217" s="20">
        <f>E218/10</f>
        <v>1</v>
      </c>
      <c r="K217" s="20">
        <f>E219</f>
        <v>25.6</v>
      </c>
      <c r="L217" s="20">
        <f>E221+0.5*J218</f>
        <v>12.450000000000001</v>
      </c>
      <c r="M217" s="20">
        <f>K217*L217</f>
        <v>318.72000000000003</v>
      </c>
      <c r="N217" s="20">
        <f>M217*L217</f>
        <v>3968.0640000000008</v>
      </c>
      <c r="O217" s="20">
        <f>E220</f>
        <v>1020</v>
      </c>
      <c r="P217" s="33"/>
      <c r="Q217" s="30"/>
      <c r="R217" s="31"/>
      <c r="S217" s="29"/>
      <c r="T217" s="29"/>
    </row>
    <row r="218" spans="2:20" x14ac:dyDescent="0.35">
      <c r="B218" s="29"/>
      <c r="C218" s="29"/>
      <c r="D218" s="20" t="s">
        <v>195</v>
      </c>
      <c r="E218" s="20">
        <v>10</v>
      </c>
      <c r="F218" s="30"/>
      <c r="G218" s="40" t="s">
        <v>200</v>
      </c>
      <c r="H218" s="41"/>
      <c r="I218" s="20">
        <f>T213*100</f>
        <v>35</v>
      </c>
      <c r="J218" s="20">
        <f>S214/10</f>
        <v>1.1000000000000001</v>
      </c>
      <c r="K218" s="20">
        <f>I218*J218</f>
        <v>38.5</v>
      </c>
      <c r="L218" s="20">
        <f>0</f>
        <v>0</v>
      </c>
      <c r="M218" s="20">
        <f>K218*L218</f>
        <v>0</v>
      </c>
      <c r="N218" s="20">
        <f>M218*L218</f>
        <v>0</v>
      </c>
      <c r="O218" s="21">
        <f>J218^3*I218/12</f>
        <v>3.8820833333333344</v>
      </c>
      <c r="P218" s="33"/>
      <c r="Q218" s="30"/>
      <c r="R218" s="31"/>
      <c r="S218" s="29"/>
      <c r="T218" s="29"/>
    </row>
    <row r="219" spans="2:20" x14ac:dyDescent="0.35">
      <c r="B219" s="29"/>
      <c r="C219" s="29"/>
      <c r="D219" s="20" t="s">
        <v>196</v>
      </c>
      <c r="E219" s="20">
        <v>25.6</v>
      </c>
      <c r="F219" s="30"/>
      <c r="G219" s="40" t="s">
        <v>210</v>
      </c>
      <c r="H219" s="41"/>
      <c r="I219" s="20"/>
      <c r="J219" s="20"/>
      <c r="K219" s="20">
        <f>K217+K218</f>
        <v>64.099999999999994</v>
      </c>
      <c r="L219" s="20"/>
      <c r="M219" s="20">
        <f>M217+M218</f>
        <v>318.72000000000003</v>
      </c>
      <c r="N219" s="20">
        <f>N217+N218</f>
        <v>3968.0640000000008</v>
      </c>
      <c r="O219" s="21">
        <f>O217+O218</f>
        <v>1023.8820833333333</v>
      </c>
      <c r="P219" s="33"/>
      <c r="Q219" s="30"/>
      <c r="R219" s="31"/>
      <c r="S219" s="29"/>
      <c r="T219" s="29"/>
    </row>
    <row r="220" spans="2:20" x14ac:dyDescent="0.35">
      <c r="B220" s="29"/>
      <c r="C220" s="29"/>
      <c r="D220" s="20" t="s">
        <v>197</v>
      </c>
      <c r="E220" s="20">
        <v>1020</v>
      </c>
      <c r="F220" s="30"/>
      <c r="P220" s="33"/>
      <c r="Q220" s="30"/>
      <c r="R220" s="31"/>
      <c r="S220" s="29"/>
      <c r="T220" s="29"/>
    </row>
    <row r="221" spans="2:20" x14ac:dyDescent="0.35">
      <c r="B221" s="29"/>
      <c r="C221" s="29"/>
      <c r="D221" s="20" t="s">
        <v>198</v>
      </c>
      <c r="E221" s="20">
        <v>11.9</v>
      </c>
      <c r="F221" s="30"/>
      <c r="J221" t="s">
        <v>211</v>
      </c>
      <c r="K221" s="3">
        <f>M219/K219</f>
        <v>4.9722308892355702</v>
      </c>
      <c r="P221" s="33"/>
      <c r="Q221" s="30"/>
      <c r="R221" s="31"/>
      <c r="S221" s="29"/>
      <c r="T221" s="29"/>
    </row>
    <row r="222" spans="2:20" x14ac:dyDescent="0.35">
      <c r="B222" s="29"/>
      <c r="C222" s="29"/>
      <c r="D222" s="29"/>
      <c r="E222" s="29"/>
      <c r="F222" s="30"/>
      <c r="J222" t="s">
        <v>209</v>
      </c>
      <c r="K222" s="5">
        <f>N219+O219-K221^2*K219</f>
        <v>3407.1966543161734</v>
      </c>
      <c r="P222" s="33"/>
      <c r="Q222" s="30"/>
      <c r="R222" s="31"/>
      <c r="S222" s="29"/>
      <c r="T222" s="29"/>
    </row>
    <row r="223" spans="2:20" x14ac:dyDescent="0.35">
      <c r="B223" s="29"/>
      <c r="C223" s="29"/>
      <c r="D223" s="29"/>
      <c r="E223" s="29"/>
      <c r="F223" s="30"/>
      <c r="J223" t="s">
        <v>190</v>
      </c>
      <c r="K223" s="5">
        <f>K222/(I217-K221+0.5*J218)</f>
        <v>218.72173288033642</v>
      </c>
      <c r="P223" s="33"/>
      <c r="Q223" s="30"/>
      <c r="R223" s="31"/>
      <c r="S223" s="29"/>
      <c r="T223" s="29"/>
    </row>
    <row r="224" spans="2:20" x14ac:dyDescent="0.35">
      <c r="B224" s="29"/>
      <c r="C224" s="29"/>
      <c r="D224" s="29"/>
      <c r="E224" s="29"/>
      <c r="F224" s="30"/>
      <c r="K224" s="3">
        <f>K223/Q213</f>
        <v>1.1829948534303805</v>
      </c>
      <c r="P224" s="33"/>
      <c r="Q224" s="30"/>
      <c r="R224" s="31"/>
      <c r="S224" s="29"/>
      <c r="T224" s="29"/>
    </row>
    <row r="225" spans="1:19" x14ac:dyDescent="0.35">
      <c r="K225" s="3"/>
    </row>
    <row r="226" spans="1:19" ht="16.5" x14ac:dyDescent="0.35">
      <c r="C226" t="s">
        <v>222</v>
      </c>
      <c r="D226" s="29"/>
      <c r="E226" s="29"/>
      <c r="F226" s="30"/>
      <c r="G226" s="20"/>
      <c r="H226" s="20"/>
      <c r="I226" s="20" t="s">
        <v>203</v>
      </c>
      <c r="J226" s="20" t="s">
        <v>204</v>
      </c>
      <c r="K226" s="20" t="s">
        <v>205</v>
      </c>
      <c r="L226" s="20" t="s">
        <v>206</v>
      </c>
      <c r="M226" s="20" t="s">
        <v>207</v>
      </c>
      <c r="N226" s="20" t="s">
        <v>208</v>
      </c>
      <c r="O226" s="20" t="s">
        <v>209</v>
      </c>
      <c r="P226" s="33"/>
    </row>
    <row r="227" spans="1:19" x14ac:dyDescent="0.35">
      <c r="C227" s="29" t="s">
        <v>245</v>
      </c>
      <c r="D227" s="20" t="s">
        <v>194</v>
      </c>
      <c r="E227" s="20">
        <v>200</v>
      </c>
      <c r="F227" s="30"/>
      <c r="G227" s="40" t="s">
        <v>199</v>
      </c>
      <c r="H227" s="41"/>
      <c r="I227" s="20">
        <f>E227/10</f>
        <v>20</v>
      </c>
      <c r="J227" s="20">
        <f>E228/10</f>
        <v>1</v>
      </c>
      <c r="K227" s="20">
        <f>E229</f>
        <v>25.6</v>
      </c>
      <c r="L227" s="20">
        <f>E231+0.5*J228</f>
        <v>12.450000000000001</v>
      </c>
      <c r="M227" s="20">
        <f>K227*L227</f>
        <v>318.72000000000003</v>
      </c>
      <c r="N227" s="20">
        <f>M227*L227</f>
        <v>3968.0640000000008</v>
      </c>
      <c r="O227" s="20">
        <f>E230</f>
        <v>1020</v>
      </c>
      <c r="P227" s="33"/>
    </row>
    <row r="228" spans="1:19" x14ac:dyDescent="0.35">
      <c r="C228" s="29"/>
      <c r="D228" s="20" t="s">
        <v>195</v>
      </c>
      <c r="E228" s="20">
        <v>10</v>
      </c>
      <c r="F228" s="30"/>
      <c r="G228" s="40" t="s">
        <v>200</v>
      </c>
      <c r="H228" s="41"/>
      <c r="I228" s="20">
        <f>T214*100</f>
        <v>35</v>
      </c>
      <c r="J228" s="20">
        <f>S214/10</f>
        <v>1.1000000000000001</v>
      </c>
      <c r="K228" s="20">
        <f>I228*J228</f>
        <v>38.5</v>
      </c>
      <c r="L228" s="20">
        <f>0</f>
        <v>0</v>
      </c>
      <c r="M228" s="20">
        <f>K228*L228</f>
        <v>0</v>
      </c>
      <c r="N228" s="20">
        <f>M228*L228</f>
        <v>0</v>
      </c>
      <c r="O228" s="21">
        <f>J228^3*I228/12</f>
        <v>3.8820833333333344</v>
      </c>
      <c r="P228" s="33"/>
    </row>
    <row r="229" spans="1:19" x14ac:dyDescent="0.35">
      <c r="C229" s="29"/>
      <c r="D229" s="20" t="s">
        <v>196</v>
      </c>
      <c r="E229" s="20">
        <v>25.6</v>
      </c>
      <c r="F229" s="30"/>
      <c r="G229" s="40" t="s">
        <v>210</v>
      </c>
      <c r="H229" s="41"/>
      <c r="I229" s="20"/>
      <c r="J229" s="20"/>
      <c r="K229" s="20">
        <f>K227+K228</f>
        <v>64.099999999999994</v>
      </c>
      <c r="L229" s="20"/>
      <c r="M229" s="20">
        <f>M227+M228</f>
        <v>318.72000000000003</v>
      </c>
      <c r="N229" s="20">
        <f>N227+N228</f>
        <v>3968.0640000000008</v>
      </c>
      <c r="O229" s="21">
        <f>O227+O228</f>
        <v>1023.8820833333333</v>
      </c>
      <c r="P229" s="33"/>
    </row>
    <row r="230" spans="1:19" x14ac:dyDescent="0.35">
      <c r="C230" s="29"/>
      <c r="D230" s="20" t="s">
        <v>197</v>
      </c>
      <c r="E230" s="20">
        <v>1020</v>
      </c>
      <c r="F230" s="30"/>
      <c r="P230" s="33"/>
    </row>
    <row r="231" spans="1:19" x14ac:dyDescent="0.35">
      <c r="C231" s="29"/>
      <c r="D231" s="20" t="s">
        <v>198</v>
      </c>
      <c r="E231" s="20">
        <v>11.9</v>
      </c>
      <c r="F231" s="30"/>
      <c r="J231" t="s">
        <v>211</v>
      </c>
      <c r="K231" s="3">
        <f>M229/K229</f>
        <v>4.9722308892355702</v>
      </c>
      <c r="P231" s="33"/>
    </row>
    <row r="232" spans="1:19" x14ac:dyDescent="0.35">
      <c r="C232" s="29"/>
      <c r="D232" s="29"/>
      <c r="E232" s="29"/>
      <c r="F232" s="30"/>
      <c r="J232" t="s">
        <v>209</v>
      </c>
      <c r="K232" s="5">
        <f>N229+O229-K231^2*K229</f>
        <v>3407.1966543161734</v>
      </c>
      <c r="P232" s="33"/>
    </row>
    <row r="233" spans="1:19" x14ac:dyDescent="0.35">
      <c r="C233" s="29"/>
      <c r="D233" s="29"/>
      <c r="E233" s="29"/>
      <c r="F233" s="30"/>
      <c r="J233" t="s">
        <v>190</v>
      </c>
      <c r="K233" s="5">
        <f>K232/(I227-K231+0.5*J228)</f>
        <v>218.72173288033642</v>
      </c>
      <c r="P233" s="33"/>
    </row>
    <row r="234" spans="1:19" ht="15" customHeight="1" x14ac:dyDescent="0.35">
      <c r="A234" s="34"/>
      <c r="B234" s="34"/>
      <c r="C234" s="34"/>
      <c r="D234" s="34"/>
      <c r="E234" s="34"/>
      <c r="F234" s="35"/>
      <c r="G234" s="34"/>
      <c r="H234" s="34"/>
      <c r="I234" s="34"/>
      <c r="J234" s="34"/>
      <c r="K234" s="36">
        <f>K233/Q214</f>
        <v>0.99911090043749007</v>
      </c>
      <c r="L234" s="34"/>
      <c r="M234" s="34"/>
      <c r="N234" s="34"/>
      <c r="O234" s="34"/>
      <c r="P234" s="37"/>
      <c r="Q234" s="34"/>
      <c r="R234" s="34"/>
      <c r="S234" s="34"/>
    </row>
    <row r="235" spans="1:19" ht="15" customHeight="1" x14ac:dyDescent="0.35">
      <c r="C235" t="s">
        <v>226</v>
      </c>
      <c r="D235" s="29"/>
      <c r="E235" s="29"/>
      <c r="F235" s="30"/>
      <c r="K235" s="3"/>
      <c r="P235" s="33"/>
    </row>
    <row r="236" spans="1:19" ht="15" customHeight="1" x14ac:dyDescent="0.35">
      <c r="C236" s="29"/>
      <c r="D236" s="29"/>
      <c r="E236" s="29"/>
      <c r="F236" s="30"/>
      <c r="K236" s="3"/>
      <c r="P236" s="33"/>
    </row>
    <row r="237" spans="1:19" x14ac:dyDescent="0.35">
      <c r="C237" t="s">
        <v>224</v>
      </c>
      <c r="D237" s="19">
        <v>0.7</v>
      </c>
      <c r="E237">
        <f>0.023*C2+5.8</f>
        <v>7.8699999999999992</v>
      </c>
      <c r="F237">
        <v>1.45</v>
      </c>
      <c r="G237">
        <v>0.93</v>
      </c>
      <c r="H237" s="22">
        <f>$E$97</f>
        <v>235</v>
      </c>
      <c r="I237" s="22">
        <f>$E$99</f>
        <v>1</v>
      </c>
      <c r="J237" s="20">
        <v>0.2</v>
      </c>
      <c r="K237" s="20">
        <f>J237*(25-12)</f>
        <v>2.6</v>
      </c>
      <c r="L237" s="25">
        <f>E237*F237*G237*D237*I237^0.5+K237</f>
        <v>10.028886499999999</v>
      </c>
      <c r="M237" s="19">
        <v>10</v>
      </c>
    </row>
    <row r="238" spans="1:19" x14ac:dyDescent="0.35">
      <c r="C238" t="s">
        <v>225</v>
      </c>
      <c r="D238" t="s">
        <v>233</v>
      </c>
      <c r="E238" s="27">
        <f>MIN(0.03*$C$2+8.3,11.2)</f>
        <v>11</v>
      </c>
      <c r="F238" t="s">
        <v>233</v>
      </c>
      <c r="G238" t="s">
        <v>233</v>
      </c>
      <c r="H238" s="22">
        <f>$E$97</f>
        <v>235</v>
      </c>
      <c r="I238" s="22">
        <f>$E$99</f>
        <v>1</v>
      </c>
      <c r="J238" s="20">
        <v>0.2</v>
      </c>
      <c r="K238" s="20">
        <f>J238*(25-12)</f>
        <v>2.6</v>
      </c>
      <c r="L238" s="23">
        <f>E238*$F$8*$F$8/$F$10*I238^0.5+K238</f>
        <v>10.632090305478606</v>
      </c>
      <c r="M238" s="19">
        <v>11</v>
      </c>
    </row>
    <row r="240" spans="1:19" x14ac:dyDescent="0.35">
      <c r="C240" t="s">
        <v>227</v>
      </c>
    </row>
    <row r="242" spans="2:22" ht="16.5" x14ac:dyDescent="0.45">
      <c r="D242" t="s">
        <v>161</v>
      </c>
      <c r="E242" s="7" t="s">
        <v>228</v>
      </c>
      <c r="F242" t="s">
        <v>229</v>
      </c>
      <c r="G242" t="s">
        <v>230</v>
      </c>
      <c r="H242" s="10" t="s">
        <v>150</v>
      </c>
      <c r="I242" s="10" t="s">
        <v>48</v>
      </c>
      <c r="J242" s="10" t="s">
        <v>166</v>
      </c>
      <c r="K242" s="10" t="s">
        <v>167</v>
      </c>
      <c r="L242" s="10" t="s">
        <v>231</v>
      </c>
      <c r="M242" s="10" t="s">
        <v>232</v>
      </c>
    </row>
    <row r="243" spans="2:22" x14ac:dyDescent="0.35">
      <c r="C243" t="s">
        <v>224</v>
      </c>
      <c r="D243" s="19">
        <v>0.84</v>
      </c>
      <c r="E243">
        <f>MIN(0.12*C2-1.1,6.5)</f>
        <v>6.5</v>
      </c>
      <c r="F243">
        <v>1.2</v>
      </c>
      <c r="G243">
        <v>0.97</v>
      </c>
      <c r="H243" s="22">
        <f>$E$97</f>
        <v>235</v>
      </c>
      <c r="I243" s="22">
        <f>$E$99</f>
        <v>1</v>
      </c>
      <c r="J243" s="20">
        <v>0.2</v>
      </c>
      <c r="K243" s="20">
        <f>J243*(25-12)</f>
        <v>2.6</v>
      </c>
      <c r="L243" s="25">
        <f>E243*F243*G243*D243*I243^0.5+K243</f>
        <v>8.9554399999999994</v>
      </c>
      <c r="M243" s="19">
        <v>9</v>
      </c>
    </row>
    <row r="244" spans="2:22" x14ac:dyDescent="0.35">
      <c r="C244" t="s">
        <v>225</v>
      </c>
      <c r="D244" t="s">
        <v>233</v>
      </c>
      <c r="E244" s="27">
        <f>MIN(0.03*$C$2+8.3,11.2)</f>
        <v>11</v>
      </c>
      <c r="F244" t="s">
        <v>233</v>
      </c>
      <c r="G244" t="s">
        <v>233</v>
      </c>
      <c r="H244" s="22">
        <f>$E$97</f>
        <v>235</v>
      </c>
      <c r="I244" s="22">
        <f>$E$99</f>
        <v>1</v>
      </c>
      <c r="J244" s="20">
        <v>0.2</v>
      </c>
      <c r="K244" s="20">
        <f>J244*(25-12)</f>
        <v>2.6</v>
      </c>
      <c r="L244" s="23">
        <f>E244*$F$8*$F$8/$F$10*I244^0.5+K244</f>
        <v>10.632090305478606</v>
      </c>
      <c r="M244" s="19">
        <v>11</v>
      </c>
    </row>
    <row r="245" spans="2:22" x14ac:dyDescent="0.35">
      <c r="E245" s="27"/>
      <c r="H245" s="31"/>
      <c r="I245" s="31"/>
      <c r="J245" s="29"/>
      <c r="K245" s="29"/>
      <c r="L245" s="30"/>
      <c r="M245" s="19"/>
    </row>
    <row r="246" spans="2:22" x14ac:dyDescent="0.35">
      <c r="C246" t="s">
        <v>44</v>
      </c>
      <c r="E246" s="27"/>
      <c r="H246" s="31"/>
      <c r="I246" s="31"/>
      <c r="J246" s="29"/>
      <c r="K246" s="29"/>
      <c r="L246" s="30"/>
      <c r="M246" s="19"/>
    </row>
    <row r="247" spans="2:22" x14ac:dyDescent="0.35">
      <c r="C247" t="s">
        <v>224</v>
      </c>
      <c r="D247" s="19">
        <v>0.75</v>
      </c>
      <c r="E247">
        <f>0.023*C2+5.8</f>
        <v>7.8699999999999992</v>
      </c>
      <c r="F247">
        <v>1.45</v>
      </c>
      <c r="G247">
        <v>0.93</v>
      </c>
      <c r="H247" s="22">
        <f>$E$97</f>
        <v>235</v>
      </c>
      <c r="I247" s="22">
        <f>$E$99</f>
        <v>1</v>
      </c>
      <c r="J247" s="20">
        <v>0.2</v>
      </c>
      <c r="K247" s="20">
        <f>J247*(25-12)</f>
        <v>2.6</v>
      </c>
      <c r="L247" s="25">
        <f>E247*F247*G247*D247*I247^0.5+K247</f>
        <v>10.55952125</v>
      </c>
      <c r="M247" s="19">
        <v>11</v>
      </c>
    </row>
    <row r="248" spans="2:22" x14ac:dyDescent="0.35">
      <c r="C248" t="s">
        <v>225</v>
      </c>
      <c r="D248" t="s">
        <v>233</v>
      </c>
      <c r="E248" s="27">
        <f>MIN(0.03*$C$2+8.3,11.2)</f>
        <v>11</v>
      </c>
      <c r="F248" t="s">
        <v>233</v>
      </c>
      <c r="G248" t="s">
        <v>233</v>
      </c>
      <c r="H248" s="22">
        <f>$E$97</f>
        <v>235</v>
      </c>
      <c r="I248" s="22">
        <f>$E$99</f>
        <v>1</v>
      </c>
      <c r="J248" s="20">
        <v>0.2</v>
      </c>
      <c r="K248" s="20">
        <f>J248*(25-12)</f>
        <v>2.6</v>
      </c>
      <c r="L248" s="23">
        <f>E248*$F$8*$F$8/$F$10*I248^0.5+K248</f>
        <v>10.632090305478606</v>
      </c>
      <c r="M248" s="19">
        <v>12</v>
      </c>
      <c r="N248" t="s">
        <v>246</v>
      </c>
    </row>
    <row r="251" spans="2:22" x14ac:dyDescent="0.35">
      <c r="B251" s="8" t="s">
        <v>234</v>
      </c>
    </row>
    <row r="253" spans="2:22" x14ac:dyDescent="0.35">
      <c r="B253" t="s">
        <v>236</v>
      </c>
    </row>
    <row r="255" spans="2:22" ht="17.5" x14ac:dyDescent="0.45">
      <c r="D255" s="19" t="s">
        <v>237</v>
      </c>
      <c r="E255" t="s">
        <v>238</v>
      </c>
      <c r="F255" s="10" t="s">
        <v>161</v>
      </c>
      <c r="G255" s="10" t="s">
        <v>91</v>
      </c>
      <c r="H255" s="10" t="s">
        <v>163</v>
      </c>
      <c r="I255" s="10" t="s">
        <v>185</v>
      </c>
      <c r="J255" s="10" t="s">
        <v>186</v>
      </c>
      <c r="K255" s="10" t="s">
        <v>150</v>
      </c>
      <c r="L255" s="10" t="s">
        <v>48</v>
      </c>
      <c r="M255" s="10" t="s">
        <v>164</v>
      </c>
      <c r="N255" s="10" t="s">
        <v>166</v>
      </c>
      <c r="O255" s="10" t="s">
        <v>167</v>
      </c>
      <c r="P255" s="10" t="s">
        <v>187</v>
      </c>
      <c r="Q255" s="10" t="s">
        <v>188</v>
      </c>
      <c r="R255" s="10" t="s">
        <v>189</v>
      </c>
      <c r="S255" s="10" t="s">
        <v>191</v>
      </c>
      <c r="T255" s="10" t="s">
        <v>192</v>
      </c>
      <c r="U255" s="10" t="s">
        <v>201</v>
      </c>
      <c r="V255" s="10" t="s">
        <v>202</v>
      </c>
    </row>
    <row r="256" spans="2:22" x14ac:dyDescent="0.35">
      <c r="C256" t="s">
        <v>235</v>
      </c>
      <c r="D256" s="5">
        <f>H29</f>
        <v>39.209454545454548</v>
      </c>
      <c r="E256">
        <f>10*D29+0.15*C2+10</f>
        <v>44.5</v>
      </c>
      <c r="F256">
        <v>0.7</v>
      </c>
      <c r="G256">
        <v>3.5</v>
      </c>
      <c r="H256" s="5">
        <f>MAX(D256:E256)</f>
        <v>44.5</v>
      </c>
      <c r="I256" s="19">
        <v>18</v>
      </c>
      <c r="J256">
        <v>0.65</v>
      </c>
      <c r="K256" s="22">
        <f>$E$97</f>
        <v>235</v>
      </c>
      <c r="L256" s="22">
        <f>$E$99</f>
        <v>1</v>
      </c>
      <c r="M256" s="22">
        <f>235/L256</f>
        <v>235</v>
      </c>
      <c r="N256">
        <v>0.1</v>
      </c>
      <c r="O256" s="20">
        <f>N256*(25-12)</f>
        <v>1.3</v>
      </c>
      <c r="P256" s="24">
        <f>1000*H256*F256*G256^2/I256/J256/M256</f>
        <v>138.78432442262226</v>
      </c>
      <c r="Q256" s="25">
        <f>IF(P256&lt;200,MIN(0.07+6/P256,0.25),1/0.15*(0.01+1/P256))</f>
        <v>0.11323254823598783</v>
      </c>
      <c r="R256" s="25">
        <f>1+Q256*O256</f>
        <v>1.1472023127067841</v>
      </c>
      <c r="S256" s="23">
        <f>P256*R256</f>
        <v>159.21369794508087</v>
      </c>
      <c r="T256" s="19" t="s">
        <v>233</v>
      </c>
      <c r="U256">
        <f>R111</f>
        <v>10</v>
      </c>
      <c r="V256" s="28">
        <f>MIN(G256/6,F256)</f>
        <v>0.58333333333333337</v>
      </c>
    </row>
    <row r="257" spans="3:22" x14ac:dyDescent="0.35">
      <c r="C257" t="s">
        <v>239</v>
      </c>
      <c r="D257" s="5">
        <f>H30</f>
        <v>20.869199999999999</v>
      </c>
      <c r="E257" t="s">
        <v>233</v>
      </c>
      <c r="F257">
        <v>0.7</v>
      </c>
      <c r="G257">
        <v>2.9</v>
      </c>
      <c r="H257" s="5">
        <f>MAX(D257:E257)</f>
        <v>20.869199999999999</v>
      </c>
      <c r="I257" s="19">
        <v>10</v>
      </c>
      <c r="J257">
        <v>0.65</v>
      </c>
      <c r="K257" s="22">
        <f>$E$97</f>
        <v>235</v>
      </c>
      <c r="L257" s="22">
        <f>$E$99</f>
        <v>1</v>
      </c>
      <c r="M257" s="22">
        <f>235/L257</f>
        <v>235</v>
      </c>
      <c r="N257">
        <v>0.1</v>
      </c>
      <c r="O257" s="20">
        <f>N257*(25-12)</f>
        <v>1.3</v>
      </c>
      <c r="P257" s="24">
        <f>1000*H257*F257*G257^2/I257/J257/M257</f>
        <v>80.43010173486087</v>
      </c>
      <c r="Q257" s="25">
        <f>IF(P257&lt;200,MIN(0.07+6/P257,0.25),1/0.15*(0.01+1/P257))</f>
        <v>0.14459893585338357</v>
      </c>
      <c r="R257" s="25">
        <f>1+Q257*O257</f>
        <v>1.1879786166093986</v>
      </c>
      <c r="S257" s="23">
        <f>P257*R257</f>
        <v>95.549240992733203</v>
      </c>
      <c r="T257" s="19" t="s">
        <v>233</v>
      </c>
      <c r="U257">
        <f>R111</f>
        <v>10</v>
      </c>
      <c r="V257" s="28">
        <f>MIN(G257/6,F257)</f>
        <v>0.48333333333333334</v>
      </c>
    </row>
    <row r="259" spans="3:22" ht="16.5" x14ac:dyDescent="0.35">
      <c r="C259" t="s">
        <v>235</v>
      </c>
      <c r="G259" s="20"/>
      <c r="H259" s="20"/>
      <c r="I259" s="20" t="s">
        <v>203</v>
      </c>
      <c r="J259" s="20" t="s">
        <v>204</v>
      </c>
      <c r="K259" s="20" t="s">
        <v>205</v>
      </c>
      <c r="L259" s="20" t="s">
        <v>206</v>
      </c>
      <c r="M259" s="20" t="s">
        <v>207</v>
      </c>
      <c r="N259" s="20" t="s">
        <v>208</v>
      </c>
      <c r="O259" s="20" t="s">
        <v>209</v>
      </c>
    </row>
    <row r="260" spans="3:22" x14ac:dyDescent="0.35">
      <c r="C260" t="s">
        <v>240</v>
      </c>
      <c r="D260" s="20" t="s">
        <v>194</v>
      </c>
      <c r="E260" s="20">
        <v>180</v>
      </c>
      <c r="G260" s="40" t="s">
        <v>199</v>
      </c>
      <c r="H260" s="41"/>
      <c r="I260" s="20">
        <f>E260/10</f>
        <v>18</v>
      </c>
      <c r="J260" s="20">
        <f>E261/10</f>
        <v>0.9</v>
      </c>
      <c r="K260" s="20">
        <f>E262</f>
        <v>20.7</v>
      </c>
      <c r="L260" s="20">
        <f>E264+0.5*J261</f>
        <v>11.2</v>
      </c>
      <c r="M260" s="20">
        <f>K260*L260</f>
        <v>231.83999999999997</v>
      </c>
      <c r="N260" s="20">
        <f>M260*L260</f>
        <v>2596.6079999999997</v>
      </c>
      <c r="O260" s="20">
        <f>E263</f>
        <v>663</v>
      </c>
    </row>
    <row r="261" spans="3:22" x14ac:dyDescent="0.35">
      <c r="D261" s="20" t="s">
        <v>195</v>
      </c>
      <c r="E261" s="20">
        <v>9</v>
      </c>
      <c r="G261" s="40" t="s">
        <v>200</v>
      </c>
      <c r="H261" s="41"/>
      <c r="I261" s="20">
        <f>V256*100</f>
        <v>58.333333333333336</v>
      </c>
      <c r="J261" s="20">
        <f>U256/10</f>
        <v>1</v>
      </c>
      <c r="K261" s="20">
        <f>I261*J261</f>
        <v>58.333333333333336</v>
      </c>
      <c r="L261" s="20">
        <f>0</f>
        <v>0</v>
      </c>
      <c r="M261" s="20">
        <f>K261*L261</f>
        <v>0</v>
      </c>
      <c r="N261" s="20">
        <f>M261*L261</f>
        <v>0</v>
      </c>
      <c r="O261" s="21">
        <f>J261^3*I261/12</f>
        <v>4.8611111111111116</v>
      </c>
    </row>
    <row r="262" spans="3:22" x14ac:dyDescent="0.35">
      <c r="D262" s="20" t="s">
        <v>196</v>
      </c>
      <c r="E262" s="20">
        <v>20.7</v>
      </c>
      <c r="G262" s="40" t="s">
        <v>210</v>
      </c>
      <c r="H262" s="41"/>
      <c r="I262" s="20"/>
      <c r="J262" s="20"/>
      <c r="K262" s="20">
        <f>K260+K261</f>
        <v>79.033333333333331</v>
      </c>
      <c r="L262" s="20"/>
      <c r="M262" s="20">
        <f>M260+M261</f>
        <v>231.83999999999997</v>
      </c>
      <c r="N262" s="20">
        <f>N260+N261</f>
        <v>2596.6079999999997</v>
      </c>
      <c r="O262" s="21">
        <f>O260+O261</f>
        <v>667.86111111111109</v>
      </c>
    </row>
    <row r="263" spans="3:22" x14ac:dyDescent="0.35">
      <c r="D263" s="20" t="s">
        <v>197</v>
      </c>
      <c r="E263" s="20">
        <v>663</v>
      </c>
    </row>
    <row r="264" spans="3:22" x14ac:dyDescent="0.35">
      <c r="D264" s="20" t="s">
        <v>198</v>
      </c>
      <c r="E264" s="20">
        <v>10.7</v>
      </c>
      <c r="J264" t="s">
        <v>211</v>
      </c>
      <c r="K264" s="3">
        <f>M262/K262</f>
        <v>2.9334458034584561</v>
      </c>
    </row>
    <row r="265" spans="3:22" x14ac:dyDescent="0.35">
      <c r="J265" t="s">
        <v>209</v>
      </c>
      <c r="K265" s="5">
        <f>N262+O262-K264^2*K262</f>
        <v>2584.3790360373023</v>
      </c>
    </row>
    <row r="266" spans="3:22" x14ac:dyDescent="0.35">
      <c r="J266" t="s">
        <v>190</v>
      </c>
      <c r="K266" s="5">
        <f>K265/(I260-K264+0.5*J261)</f>
        <v>166.02126606872827</v>
      </c>
    </row>
    <row r="267" spans="3:22" x14ac:dyDescent="0.35">
      <c r="K267" s="3">
        <f>K266/S256</f>
        <v>1.042757427353993</v>
      </c>
    </row>
    <row r="269" spans="3:22" ht="16.5" x14ac:dyDescent="0.35">
      <c r="C269" t="s">
        <v>239</v>
      </c>
      <c r="G269" s="20"/>
      <c r="H269" s="20"/>
      <c r="I269" s="20" t="s">
        <v>203</v>
      </c>
      <c r="J269" s="20" t="s">
        <v>204</v>
      </c>
      <c r="K269" s="20" t="s">
        <v>205</v>
      </c>
      <c r="L269" s="20" t="s">
        <v>206</v>
      </c>
      <c r="M269" s="20" t="s">
        <v>207</v>
      </c>
      <c r="N269" s="20" t="s">
        <v>208</v>
      </c>
      <c r="O269" s="20" t="s">
        <v>209</v>
      </c>
    </row>
    <row r="270" spans="3:22" x14ac:dyDescent="0.35">
      <c r="C270" t="s">
        <v>241</v>
      </c>
      <c r="D270" s="20" t="s">
        <v>194</v>
      </c>
      <c r="E270" s="20">
        <v>160</v>
      </c>
      <c r="G270" s="40" t="s">
        <v>199</v>
      </c>
      <c r="H270" s="41"/>
      <c r="I270" s="20">
        <f>E270/10</f>
        <v>16</v>
      </c>
      <c r="J270" s="20">
        <f>E271/10</f>
        <v>0.8</v>
      </c>
      <c r="K270" s="20">
        <f>E272</f>
        <v>16.2</v>
      </c>
      <c r="L270" s="20">
        <f>E274+0.5*J271</f>
        <v>9.99</v>
      </c>
      <c r="M270" s="20">
        <f>K270*L270</f>
        <v>161.83799999999999</v>
      </c>
      <c r="N270" s="20">
        <f>M270*L270</f>
        <v>1616.76162</v>
      </c>
      <c r="O270" s="20">
        <f>E273</f>
        <v>411</v>
      </c>
    </row>
    <row r="271" spans="3:22" x14ac:dyDescent="0.35">
      <c r="D271" s="20" t="s">
        <v>195</v>
      </c>
      <c r="E271" s="20">
        <v>8</v>
      </c>
      <c r="G271" s="40" t="s">
        <v>200</v>
      </c>
      <c r="H271" s="41"/>
      <c r="I271" s="20">
        <f>V257*100</f>
        <v>48.333333333333336</v>
      </c>
      <c r="J271" s="20">
        <f>U257/10</f>
        <v>1</v>
      </c>
      <c r="K271" s="20">
        <f>I271*J271</f>
        <v>48.333333333333336</v>
      </c>
      <c r="L271" s="20">
        <f>0</f>
        <v>0</v>
      </c>
      <c r="M271" s="20">
        <f>K271*L271</f>
        <v>0</v>
      </c>
      <c r="N271" s="20">
        <f>M271*L271</f>
        <v>0</v>
      </c>
      <c r="O271" s="21">
        <f>J271^3*I271/12</f>
        <v>4.0277777777777777</v>
      </c>
    </row>
    <row r="272" spans="3:22" x14ac:dyDescent="0.35">
      <c r="D272" s="20" t="s">
        <v>196</v>
      </c>
      <c r="E272" s="20">
        <v>16.2</v>
      </c>
      <c r="G272" s="40" t="s">
        <v>210</v>
      </c>
      <c r="H272" s="41"/>
      <c r="I272" s="20"/>
      <c r="J272" s="20"/>
      <c r="K272" s="20">
        <f>K270+K271</f>
        <v>64.533333333333331</v>
      </c>
      <c r="L272" s="20"/>
      <c r="M272" s="20">
        <f>M270+M271</f>
        <v>161.83799999999999</v>
      </c>
      <c r="N272" s="20">
        <f>N270+N271</f>
        <v>1616.76162</v>
      </c>
      <c r="O272" s="21">
        <f>O270+O271</f>
        <v>415.02777777777777</v>
      </c>
    </row>
    <row r="273" spans="2:24" x14ac:dyDescent="0.35">
      <c r="D273" s="20" t="s">
        <v>197</v>
      </c>
      <c r="E273" s="20">
        <v>411</v>
      </c>
    </row>
    <row r="274" spans="2:24" x14ac:dyDescent="0.35">
      <c r="D274" s="20" t="s">
        <v>198</v>
      </c>
      <c r="E274" s="20">
        <v>9.49</v>
      </c>
      <c r="J274" t="s">
        <v>211</v>
      </c>
      <c r="K274" s="3">
        <f>M272/K272</f>
        <v>2.5078202479338843</v>
      </c>
    </row>
    <row r="275" spans="2:24" x14ac:dyDescent="0.35">
      <c r="J275" t="s">
        <v>209</v>
      </c>
      <c r="K275" s="5">
        <f>N272+O272-K274^2*K272</f>
        <v>1625.9287844926539</v>
      </c>
    </row>
    <row r="276" spans="2:24" x14ac:dyDescent="0.35">
      <c r="J276" t="s">
        <v>190</v>
      </c>
      <c r="K276" s="5">
        <f>K275/(I270-K274+0.5*J271)</f>
        <v>116.20267987570455</v>
      </c>
    </row>
    <row r="277" spans="2:24" x14ac:dyDescent="0.35">
      <c r="K277" s="3">
        <f>K276/S257</f>
        <v>1.2161549235596973</v>
      </c>
    </row>
    <row r="279" spans="2:24" x14ac:dyDescent="0.35">
      <c r="B279" t="s">
        <v>247</v>
      </c>
    </row>
    <row r="280" spans="2:24" ht="17.5" x14ac:dyDescent="0.45">
      <c r="D280" s="19" t="s">
        <v>237</v>
      </c>
      <c r="E280" t="s">
        <v>238</v>
      </c>
      <c r="F280" s="10" t="s">
        <v>161</v>
      </c>
      <c r="G280" s="10" t="s">
        <v>91</v>
      </c>
      <c r="H280" s="10" t="s">
        <v>163</v>
      </c>
      <c r="I280" s="10" t="s">
        <v>185</v>
      </c>
      <c r="J280" s="10" t="s">
        <v>186</v>
      </c>
      <c r="K280" s="10" t="s">
        <v>150</v>
      </c>
      <c r="L280" s="10" t="s">
        <v>48</v>
      </c>
      <c r="M280" s="10" t="s">
        <v>164</v>
      </c>
      <c r="N280" s="10" t="s">
        <v>166</v>
      </c>
      <c r="O280" s="10" t="s">
        <v>167</v>
      </c>
      <c r="P280" s="10" t="s">
        <v>187</v>
      </c>
      <c r="Q280" s="10" t="s">
        <v>188</v>
      </c>
      <c r="R280" s="10" t="s">
        <v>189</v>
      </c>
      <c r="S280" s="10" t="s">
        <v>191</v>
      </c>
      <c r="T280" s="10" t="s">
        <v>192</v>
      </c>
      <c r="U280" s="10" t="s">
        <v>201</v>
      </c>
      <c r="V280" s="10" t="s">
        <v>202</v>
      </c>
    </row>
    <row r="281" spans="2:24" x14ac:dyDescent="0.35">
      <c r="C281" t="s">
        <v>248</v>
      </c>
      <c r="D281">
        <v>41.2</v>
      </c>
      <c r="E281">
        <f>10*D31+0.15*C2+10</f>
        <v>47.08</v>
      </c>
      <c r="F281">
        <v>0.7</v>
      </c>
      <c r="G281">
        <v>3.06</v>
      </c>
      <c r="H281" s="5">
        <f>MAX(D281:E281)</f>
        <v>47.08</v>
      </c>
      <c r="I281" s="19">
        <v>12</v>
      </c>
      <c r="J281">
        <v>0.65</v>
      </c>
      <c r="K281" s="22">
        <f>$E$97</f>
        <v>235</v>
      </c>
      <c r="L281" s="22">
        <f>$E$99</f>
        <v>1</v>
      </c>
      <c r="M281" s="22">
        <f>235/L281</f>
        <v>235</v>
      </c>
      <c r="N281">
        <v>0.21</v>
      </c>
      <c r="O281" s="20">
        <f>N281*(25-12)</f>
        <v>2.73</v>
      </c>
      <c r="P281" s="24">
        <f>1000*H281*F281*G281^2/I281/J281/M281</f>
        <v>168.3506828150573</v>
      </c>
      <c r="Q281" s="25">
        <f>IF(P281&lt;200,MIN(0.07+6/P281,0.25),1/0.15*(0.01+1/P281))</f>
        <v>0.1056398910872927</v>
      </c>
      <c r="R281" s="25">
        <f>1+Q281*O281</f>
        <v>1.2883969026683091</v>
      </c>
      <c r="S281" s="23">
        <f>P281*R281</f>
        <v>216.90249830101476</v>
      </c>
      <c r="W281" t="s">
        <v>252</v>
      </c>
    </row>
    <row r="282" spans="2:24" x14ac:dyDescent="0.35">
      <c r="C282" t="s">
        <v>249</v>
      </c>
      <c r="D282">
        <v>21.4</v>
      </c>
      <c r="E282">
        <f>10*D32+0.15*C3+10</f>
        <v>20.68</v>
      </c>
      <c r="F282">
        <v>0.7</v>
      </c>
      <c r="G282">
        <v>3.327</v>
      </c>
      <c r="H282" s="5">
        <f>MAX(D282:E282)</f>
        <v>21.4</v>
      </c>
      <c r="I282" s="19">
        <v>12</v>
      </c>
      <c r="J282">
        <v>0.65</v>
      </c>
      <c r="K282" s="22">
        <f t="shared" ref="K282:K284" si="61">$E$97</f>
        <v>235</v>
      </c>
      <c r="L282" s="22">
        <f t="shared" ref="L282:L284" si="62">$E$99</f>
        <v>1</v>
      </c>
      <c r="M282" s="22">
        <f t="shared" ref="M282:M284" si="63">235/L282</f>
        <v>235</v>
      </c>
      <c r="N282">
        <v>0.21</v>
      </c>
      <c r="O282" s="20">
        <f>N282*(25-12)</f>
        <v>2.73</v>
      </c>
      <c r="P282" s="24">
        <f>1000*H282*F282*G282^2/I282/J282/M282</f>
        <v>90.45965980360063</v>
      </c>
      <c r="Q282" s="25">
        <f>IF(P282&lt;200,MIN(0.07+6/P282,0.25),1/0.15*(0.01+1/P282))</f>
        <v>0.13632790807556383</v>
      </c>
      <c r="R282" s="25">
        <f>1+Q282*O282</f>
        <v>1.3721751890462892</v>
      </c>
      <c r="S282" s="23">
        <f>P282*R282</f>
        <v>124.1265007920687</v>
      </c>
      <c r="W282" t="s">
        <v>252</v>
      </c>
      <c r="X282" t="s">
        <v>255</v>
      </c>
    </row>
    <row r="283" spans="2:24" x14ac:dyDescent="0.35">
      <c r="C283" t="s">
        <v>253</v>
      </c>
      <c r="D283" s="5">
        <f>J74</f>
        <v>81.308831896551723</v>
      </c>
      <c r="F283">
        <v>0.7</v>
      </c>
      <c r="G283">
        <v>3.06</v>
      </c>
      <c r="H283" s="5">
        <f t="shared" ref="H283:H284" si="64">MAX(D283:E283)</f>
        <v>81.308831896551723</v>
      </c>
      <c r="I283" s="19">
        <v>12</v>
      </c>
      <c r="J283">
        <v>0.75</v>
      </c>
      <c r="K283" s="22">
        <f t="shared" si="61"/>
        <v>235</v>
      </c>
      <c r="L283" s="22">
        <f t="shared" si="62"/>
        <v>1</v>
      </c>
      <c r="M283" s="22">
        <f t="shared" si="63"/>
        <v>235</v>
      </c>
      <c r="N283">
        <v>0.21</v>
      </c>
      <c r="O283" s="20">
        <f t="shared" ref="O283:O284" si="65">N283*(25-12)</f>
        <v>2.73</v>
      </c>
      <c r="P283" s="24">
        <f t="shared" ref="P283:P284" si="66">1000*H283*F283*G283^2/I283/J283/M283</f>
        <v>251.98125997285399</v>
      </c>
      <c r="Q283" s="25">
        <f t="shared" ref="Q283:Q284" si="67">IF(P283&lt;200,MIN(0.07+6/P283,0.25),1/0.15*(0.01+1/P283))</f>
        <v>9.3123660600996833E-2</v>
      </c>
      <c r="R283" s="25">
        <f t="shared" ref="R283:R284" si="68">1+Q283*O283</f>
        <v>1.2542275934407214</v>
      </c>
      <c r="S283" s="23">
        <f t="shared" ref="S283:S284" si="69">P283*R283</f>
        <v>316.04184928791346</v>
      </c>
      <c r="W283" t="s">
        <v>256</v>
      </c>
    </row>
    <row r="284" spans="2:24" x14ac:dyDescent="0.35">
      <c r="C284" t="s">
        <v>254</v>
      </c>
      <c r="D284" s="5">
        <f>J73</f>
        <v>48.930926896551725</v>
      </c>
      <c r="F284">
        <v>0.7</v>
      </c>
      <c r="G284">
        <v>3.327</v>
      </c>
      <c r="H284" s="5">
        <f t="shared" si="64"/>
        <v>48.930926896551725</v>
      </c>
      <c r="I284" s="19">
        <v>12</v>
      </c>
      <c r="J284">
        <v>0.75</v>
      </c>
      <c r="K284" s="22">
        <f t="shared" si="61"/>
        <v>235</v>
      </c>
      <c r="L284" s="22">
        <f t="shared" si="62"/>
        <v>1</v>
      </c>
      <c r="M284" s="22">
        <f t="shared" si="63"/>
        <v>235</v>
      </c>
      <c r="N284">
        <v>0.21</v>
      </c>
      <c r="O284" s="20">
        <f t="shared" si="65"/>
        <v>2.73</v>
      </c>
      <c r="P284" s="24">
        <f t="shared" si="66"/>
        <v>179.25724302859808</v>
      </c>
      <c r="Q284" s="25">
        <f t="shared" si="67"/>
        <v>0.10347145085257606</v>
      </c>
      <c r="R284" s="25">
        <f t="shared" si="68"/>
        <v>1.2824770608275327</v>
      </c>
      <c r="S284" s="23">
        <f t="shared" si="69"/>
        <v>229.89330217136319</v>
      </c>
      <c r="W284" t="s">
        <v>256</v>
      </c>
    </row>
    <row r="287" spans="2:24" x14ac:dyDescent="0.35">
      <c r="B287" s="8" t="s">
        <v>257</v>
      </c>
    </row>
    <row r="289" spans="2:21" x14ac:dyDescent="0.35">
      <c r="B289" t="s">
        <v>258</v>
      </c>
    </row>
    <row r="291" spans="2:21" ht="17.5" x14ac:dyDescent="0.45">
      <c r="D291" s="10" t="s">
        <v>161</v>
      </c>
      <c r="E291" s="10" t="s">
        <v>91</v>
      </c>
      <c r="F291" s="10" t="s">
        <v>163</v>
      </c>
      <c r="G291" s="10" t="s">
        <v>185</v>
      </c>
      <c r="H291" s="10" t="s">
        <v>186</v>
      </c>
      <c r="I291" s="10" t="s">
        <v>150</v>
      </c>
      <c r="J291" s="10" t="s">
        <v>48</v>
      </c>
      <c r="K291" s="10" t="s">
        <v>164</v>
      </c>
      <c r="L291" s="10" t="s">
        <v>166</v>
      </c>
      <c r="M291" s="10" t="s">
        <v>167</v>
      </c>
      <c r="N291" s="10" t="s">
        <v>187</v>
      </c>
      <c r="O291" s="10" t="s">
        <v>188</v>
      </c>
      <c r="P291" s="10" t="s">
        <v>189</v>
      </c>
      <c r="Q291" s="10" t="s">
        <v>191</v>
      </c>
      <c r="R291" s="10" t="s">
        <v>192</v>
      </c>
      <c r="S291" s="10" t="s">
        <v>201</v>
      </c>
      <c r="T291" s="10" t="s">
        <v>202</v>
      </c>
    </row>
    <row r="292" spans="2:21" x14ac:dyDescent="0.35">
      <c r="C292" t="s">
        <v>259</v>
      </c>
      <c r="D292">
        <v>0.7</v>
      </c>
      <c r="E292">
        <v>2.1</v>
      </c>
      <c r="F292" s="2">
        <f>MAX(G138,0.015*$C$2+7)</f>
        <v>12.603937499999999</v>
      </c>
      <c r="G292">
        <v>12</v>
      </c>
      <c r="H292" s="26">
        <v>0.45</v>
      </c>
      <c r="I292" s="22">
        <f>$E$97</f>
        <v>235</v>
      </c>
      <c r="J292" s="22">
        <f>$E$99</f>
        <v>1</v>
      </c>
      <c r="K292" s="22">
        <f>235/J292</f>
        <v>235</v>
      </c>
      <c r="L292">
        <v>0.1</v>
      </c>
      <c r="M292" s="20">
        <f>L292*(25-12)</f>
        <v>1.3</v>
      </c>
      <c r="N292" s="24">
        <f>1000*F292*D292*E292^2/G292/H292/K292</f>
        <v>30.660642287234033</v>
      </c>
      <c r="O292" s="25">
        <f>IF(N292&lt;200,MIN(0.07+6/N292,0.25),1/0.15*(0.01+1/N292))</f>
        <v>0.25</v>
      </c>
      <c r="P292" s="25">
        <f>1+O292*M292</f>
        <v>1.325</v>
      </c>
      <c r="Q292" s="23">
        <f>N292*P292</f>
        <v>40.625351030585094</v>
      </c>
      <c r="S292">
        <f>R146</f>
        <v>9</v>
      </c>
      <c r="T292" s="28">
        <f>MIN(E292/6,D292)</f>
        <v>0.35000000000000003</v>
      </c>
      <c r="U292" t="s">
        <v>261</v>
      </c>
    </row>
    <row r="294" spans="2:21" ht="16.5" x14ac:dyDescent="0.35">
      <c r="C294" t="s">
        <v>259</v>
      </c>
      <c r="G294" s="20"/>
      <c r="H294" s="20"/>
      <c r="I294" s="20" t="s">
        <v>203</v>
      </c>
      <c r="J294" s="20" t="s">
        <v>204</v>
      </c>
      <c r="K294" s="20" t="s">
        <v>205</v>
      </c>
      <c r="L294" s="20" t="s">
        <v>206</v>
      </c>
      <c r="M294" s="20" t="s">
        <v>207</v>
      </c>
      <c r="N294" s="20" t="s">
        <v>208</v>
      </c>
      <c r="O294" s="20" t="s">
        <v>209</v>
      </c>
    </row>
    <row r="295" spans="2:21" x14ac:dyDescent="0.35">
      <c r="C295" t="s">
        <v>260</v>
      </c>
      <c r="D295" s="20" t="s">
        <v>194</v>
      </c>
      <c r="E295" s="20">
        <v>140</v>
      </c>
      <c r="G295" s="40" t="s">
        <v>199</v>
      </c>
      <c r="H295" s="41"/>
      <c r="I295" s="20">
        <f>E295/10</f>
        <v>14</v>
      </c>
      <c r="J295" s="20">
        <f>E296/10</f>
        <v>0.7</v>
      </c>
      <c r="K295" s="20">
        <f>E297</f>
        <v>12.6</v>
      </c>
      <c r="L295" s="20">
        <f>E299+0.5*J296</f>
        <v>8.76</v>
      </c>
      <c r="M295" s="20">
        <f>K295*L295</f>
        <v>110.37599999999999</v>
      </c>
      <c r="N295" s="20">
        <f>M295*L295</f>
        <v>966.89375999999993</v>
      </c>
      <c r="O295" s="20">
        <f>E298</f>
        <v>241</v>
      </c>
    </row>
    <row r="296" spans="2:21" x14ac:dyDescent="0.35">
      <c r="D296" s="20" t="s">
        <v>195</v>
      </c>
      <c r="E296" s="20">
        <v>7</v>
      </c>
      <c r="G296" s="40" t="s">
        <v>200</v>
      </c>
      <c r="H296" s="41"/>
      <c r="I296" s="20">
        <f>V291*100</f>
        <v>0</v>
      </c>
      <c r="J296" s="20">
        <f>S292/10</f>
        <v>0.9</v>
      </c>
      <c r="K296" s="20">
        <f>T292*100</f>
        <v>35</v>
      </c>
      <c r="L296" s="20">
        <f>0</f>
        <v>0</v>
      </c>
      <c r="M296" s="20">
        <f>K296*L296</f>
        <v>0</v>
      </c>
      <c r="N296" s="20">
        <f>M296*L296</f>
        <v>0</v>
      </c>
      <c r="O296" s="21">
        <f>J296^3*I296/12</f>
        <v>0</v>
      </c>
    </row>
    <row r="297" spans="2:21" x14ac:dyDescent="0.35">
      <c r="D297" s="20" t="s">
        <v>196</v>
      </c>
      <c r="E297" s="20">
        <v>12.6</v>
      </c>
      <c r="G297" s="40" t="s">
        <v>210</v>
      </c>
      <c r="H297" s="41"/>
      <c r="I297" s="20"/>
      <c r="J297" s="20"/>
      <c r="K297" s="20">
        <f>K295+K296</f>
        <v>47.6</v>
      </c>
      <c r="L297" s="20"/>
      <c r="M297" s="20">
        <f>M295+M296</f>
        <v>110.37599999999999</v>
      </c>
      <c r="N297" s="20">
        <f>N295+N296</f>
        <v>966.89375999999993</v>
      </c>
      <c r="O297" s="21">
        <f>O295+O296</f>
        <v>241</v>
      </c>
    </row>
    <row r="298" spans="2:21" x14ac:dyDescent="0.35">
      <c r="D298" s="20" t="s">
        <v>197</v>
      </c>
      <c r="E298" s="20">
        <v>241</v>
      </c>
    </row>
    <row r="299" spans="2:21" x14ac:dyDescent="0.35">
      <c r="D299" s="20" t="s">
        <v>198</v>
      </c>
      <c r="E299" s="20">
        <v>8.31</v>
      </c>
      <c r="J299" t="s">
        <v>211</v>
      </c>
      <c r="K299" s="3">
        <f>M297/K297</f>
        <v>2.3188235294117643</v>
      </c>
    </row>
    <row r="300" spans="2:21" x14ac:dyDescent="0.35">
      <c r="J300" t="s">
        <v>209</v>
      </c>
      <c r="K300" s="5">
        <f>N297+O297-K299^2*K297</f>
        <v>951.95129411764708</v>
      </c>
    </row>
    <row r="301" spans="2:21" x14ac:dyDescent="0.35">
      <c r="J301" t="s">
        <v>190</v>
      </c>
      <c r="K301" s="5">
        <f>K300/(I295-K299+0.5*J296)</f>
        <v>78.471473597439754</v>
      </c>
    </row>
    <row r="302" spans="2:21" x14ac:dyDescent="0.35">
      <c r="K302" s="3">
        <f>K301/Q292</f>
        <v>1.931588813555406</v>
      </c>
    </row>
    <row r="304" spans="2:21" ht="17.5" x14ac:dyDescent="0.45">
      <c r="D304" s="10" t="s">
        <v>161</v>
      </c>
      <c r="E304" s="10" t="s">
        <v>91</v>
      </c>
      <c r="F304" s="10" t="s">
        <v>163</v>
      </c>
      <c r="G304" s="10" t="s">
        <v>185</v>
      </c>
      <c r="H304" s="10" t="s">
        <v>186</v>
      </c>
      <c r="I304" s="10" t="s">
        <v>150</v>
      </c>
      <c r="J304" s="10" t="s">
        <v>48</v>
      </c>
      <c r="K304" s="10" t="s">
        <v>164</v>
      </c>
      <c r="L304" s="10" t="s">
        <v>166</v>
      </c>
      <c r="M304" s="10" t="s">
        <v>167</v>
      </c>
      <c r="N304" s="10" t="s">
        <v>187</v>
      </c>
      <c r="O304" s="10" t="s">
        <v>188</v>
      </c>
      <c r="P304" s="10" t="s">
        <v>189</v>
      </c>
      <c r="Q304" s="10" t="s">
        <v>191</v>
      </c>
      <c r="R304" s="10" t="s">
        <v>192</v>
      </c>
      <c r="S304" s="10" t="s">
        <v>201</v>
      </c>
      <c r="T304" s="10" t="s">
        <v>202</v>
      </c>
    </row>
    <row r="305" spans="3:20" x14ac:dyDescent="0.35">
      <c r="C305" t="s">
        <v>276</v>
      </c>
      <c r="D305">
        <v>2.1</v>
      </c>
      <c r="E305">
        <v>4.2</v>
      </c>
      <c r="F305" s="5">
        <f>F292</f>
        <v>12.603937499999999</v>
      </c>
      <c r="G305">
        <v>10</v>
      </c>
      <c r="H305">
        <v>0.65</v>
      </c>
      <c r="I305" s="22">
        <f>$E$97</f>
        <v>235</v>
      </c>
      <c r="J305" s="22">
        <f>$E$99</f>
        <v>1</v>
      </c>
      <c r="K305" s="22">
        <f>235/J305</f>
        <v>235</v>
      </c>
      <c r="L305">
        <v>0.1</v>
      </c>
      <c r="M305" s="20">
        <f>L305*(25-12)</f>
        <v>1.3</v>
      </c>
      <c r="N305" s="24">
        <f>1000*F305*D305*E305^2/G305/H305/K305</f>
        <v>305.66301849427163</v>
      </c>
      <c r="O305" s="25">
        <f>IF(N305&lt;200,MIN(0.07+6/N305,0.25),1/0.15*(0.01+1/N305))</f>
        <v>8.8477177795907538E-2</v>
      </c>
      <c r="P305" s="25">
        <f>1+O305*M305</f>
        <v>1.1150203311346798</v>
      </c>
      <c r="Q305" s="23">
        <f>N305*P305</f>
        <v>340.82048009710849</v>
      </c>
      <c r="S305">
        <v>9</v>
      </c>
      <c r="T305" s="28">
        <f>MIN(E305/6,D305)</f>
        <v>0.70000000000000007</v>
      </c>
    </row>
    <row r="307" spans="3:20" ht="16.5" x14ac:dyDescent="0.35">
      <c r="I307" s="20" t="s">
        <v>203</v>
      </c>
      <c r="J307" s="20" t="s">
        <v>204</v>
      </c>
      <c r="K307" s="20" t="s">
        <v>205</v>
      </c>
      <c r="L307" s="20" t="s">
        <v>206</v>
      </c>
      <c r="M307" s="20" t="s">
        <v>207</v>
      </c>
      <c r="N307" s="20" t="s">
        <v>208</v>
      </c>
      <c r="O307" s="20" t="s">
        <v>209</v>
      </c>
    </row>
    <row r="308" spans="3:20" x14ac:dyDescent="0.35">
      <c r="C308" t="s">
        <v>279</v>
      </c>
      <c r="G308" s="40" t="s">
        <v>277</v>
      </c>
      <c r="H308" s="41"/>
      <c r="I308">
        <v>28</v>
      </c>
      <c r="J308">
        <v>0.8</v>
      </c>
      <c r="K308">
        <f>I308*J308</f>
        <v>22.400000000000002</v>
      </c>
      <c r="L308">
        <f>0.5*I308+0.5*J310</f>
        <v>14.45</v>
      </c>
      <c r="M308">
        <f>K308*L308</f>
        <v>323.68</v>
      </c>
      <c r="N308">
        <f>M308*L308</f>
        <v>4677.1759999999995</v>
      </c>
      <c r="O308">
        <f>I308^3*J308/12</f>
        <v>1463.4666666666669</v>
      </c>
    </row>
    <row r="309" spans="3:20" x14ac:dyDescent="0.35">
      <c r="G309" s="42" t="s">
        <v>278</v>
      </c>
      <c r="H309" s="42"/>
      <c r="I309">
        <v>12</v>
      </c>
      <c r="J309">
        <v>1.2</v>
      </c>
      <c r="K309">
        <f t="shared" ref="K309:K310" si="70">I309*J309</f>
        <v>14.399999999999999</v>
      </c>
      <c r="L309">
        <f>I308+0.5*J309+0.5*J310</f>
        <v>29.05</v>
      </c>
      <c r="M309">
        <f t="shared" ref="M309:M310" si="71">K309*L309</f>
        <v>418.32</v>
      </c>
      <c r="N309">
        <f t="shared" ref="N309:N310" si="72">M309*L309</f>
        <v>12152.196</v>
      </c>
      <c r="O309">
        <f>I309*J309^3/12</f>
        <v>1.728</v>
      </c>
    </row>
    <row r="310" spans="3:20" x14ac:dyDescent="0.35">
      <c r="G310" s="40" t="s">
        <v>200</v>
      </c>
      <c r="H310" s="41"/>
      <c r="I310">
        <f>T305*100</f>
        <v>70</v>
      </c>
      <c r="J310">
        <f>S305/10</f>
        <v>0.9</v>
      </c>
      <c r="K310">
        <f t="shared" si="70"/>
        <v>63</v>
      </c>
      <c r="L310">
        <v>0</v>
      </c>
      <c r="M310">
        <f t="shared" si="71"/>
        <v>0</v>
      </c>
      <c r="N310">
        <f t="shared" si="72"/>
        <v>0</v>
      </c>
      <c r="O310">
        <f>I310*J310^3/12</f>
        <v>4.2525000000000004</v>
      </c>
    </row>
    <row r="311" spans="3:20" x14ac:dyDescent="0.35">
      <c r="G311" s="40" t="s">
        <v>210</v>
      </c>
      <c r="H311" s="41"/>
      <c r="K311">
        <f>SUM(K308:K310)</f>
        <v>99.8</v>
      </c>
      <c r="M311">
        <f>SUM(M308:M310)</f>
        <v>742</v>
      </c>
      <c r="N311">
        <f>SUM(N308:N310)</f>
        <v>16829.371999999999</v>
      </c>
      <c r="O311">
        <f>SUM(O308:O310)</f>
        <v>1469.447166666667</v>
      </c>
    </row>
    <row r="313" spans="3:20" x14ac:dyDescent="0.35">
      <c r="J313" t="s">
        <v>211</v>
      </c>
      <c r="K313" s="3">
        <f>M311/K311</f>
        <v>7.434869739478958</v>
      </c>
    </row>
    <row r="314" spans="3:20" x14ac:dyDescent="0.35">
      <c r="J314" t="s">
        <v>209</v>
      </c>
      <c r="K314" s="5">
        <f>N311+O311-K313^2*K311</f>
        <v>12782.145819973281</v>
      </c>
    </row>
    <row r="315" spans="3:20" x14ac:dyDescent="0.35">
      <c r="J315" t="s">
        <v>190</v>
      </c>
      <c r="K315" s="5">
        <f>K314/(I308-K313+0.5*J310+J309)</f>
        <v>575.38018774027591</v>
      </c>
    </row>
    <row r="316" spans="3:20" x14ac:dyDescent="0.35">
      <c r="K316" s="3">
        <f>K315/Q305</f>
        <v>1.6882206948841083</v>
      </c>
    </row>
    <row r="322" spans="2:21" x14ac:dyDescent="0.35">
      <c r="B322" t="s">
        <v>262</v>
      </c>
    </row>
    <row r="324" spans="2:21" ht="17.5" x14ac:dyDescent="0.45">
      <c r="D324" s="10" t="s">
        <v>161</v>
      </c>
      <c r="E324" s="10" t="s">
        <v>91</v>
      </c>
      <c r="F324" s="10" t="s">
        <v>163</v>
      </c>
      <c r="G324" s="10" t="s">
        <v>185</v>
      </c>
      <c r="H324" s="10" t="s">
        <v>186</v>
      </c>
      <c r="I324" s="10" t="s">
        <v>150</v>
      </c>
      <c r="J324" s="10" t="s">
        <v>48</v>
      </c>
      <c r="K324" s="10" t="s">
        <v>164</v>
      </c>
      <c r="L324" s="10" t="s">
        <v>166</v>
      </c>
      <c r="M324" s="10" t="s">
        <v>167</v>
      </c>
      <c r="N324" s="10" t="s">
        <v>187</v>
      </c>
      <c r="O324" s="10" t="s">
        <v>188</v>
      </c>
      <c r="P324" s="10" t="s">
        <v>189</v>
      </c>
      <c r="Q324" s="10" t="s">
        <v>191</v>
      </c>
      <c r="R324" s="10" t="s">
        <v>192</v>
      </c>
      <c r="S324" s="10" t="s">
        <v>201</v>
      </c>
      <c r="T324" s="10" t="s">
        <v>202</v>
      </c>
    </row>
    <row r="325" spans="2:21" x14ac:dyDescent="0.35">
      <c r="C325" t="s">
        <v>263</v>
      </c>
      <c r="D325" s="26">
        <v>0.7</v>
      </c>
      <c r="E325" s="26">
        <v>4.2</v>
      </c>
      <c r="F325" s="2">
        <f>F292</f>
        <v>12.603937499999999</v>
      </c>
      <c r="G325">
        <v>10</v>
      </c>
      <c r="H325">
        <v>0.65</v>
      </c>
      <c r="I325" s="22">
        <f>$E$97</f>
        <v>235</v>
      </c>
      <c r="J325" s="22">
        <f>$E$99</f>
        <v>1</v>
      </c>
      <c r="K325" s="22">
        <f>235/J325</f>
        <v>235</v>
      </c>
      <c r="L325">
        <v>0.1</v>
      </c>
      <c r="M325" s="20">
        <f>L325*(25-12)</f>
        <v>1.3</v>
      </c>
      <c r="N325" s="24">
        <f>1000*F325*D325*E325^2/G325/H325/K325</f>
        <v>101.88767283142387</v>
      </c>
      <c r="O325" s="25">
        <f>IF(N325&lt;200,MIN(0.07+6/N325,0.25),1/0.15*(0.01+1/N325))</f>
        <v>0.12888838004895034</v>
      </c>
      <c r="P325" s="25">
        <f>1+O325*M325</f>
        <v>1.1675548940636356</v>
      </c>
      <c r="Q325" s="23">
        <f>N325*P325</f>
        <v>118.95945105908345</v>
      </c>
      <c r="S325">
        <f>R138</f>
        <v>9</v>
      </c>
      <c r="T325" s="28">
        <f>MIN(E325/6,D325)</f>
        <v>0.7</v>
      </c>
      <c r="U325" t="s">
        <v>264</v>
      </c>
    </row>
    <row r="327" spans="2:21" ht="16.5" x14ac:dyDescent="0.35">
      <c r="C327" t="s">
        <v>271</v>
      </c>
      <c r="G327" s="20"/>
      <c r="H327" s="20"/>
      <c r="I327" s="20" t="s">
        <v>203</v>
      </c>
      <c r="J327" s="20" t="s">
        <v>204</v>
      </c>
      <c r="K327" s="20" t="s">
        <v>205</v>
      </c>
      <c r="L327" s="20" t="s">
        <v>206</v>
      </c>
      <c r="M327" s="20" t="s">
        <v>207</v>
      </c>
      <c r="N327" s="20" t="s">
        <v>208</v>
      </c>
      <c r="O327" s="20" t="s">
        <v>209</v>
      </c>
    </row>
    <row r="328" spans="2:21" x14ac:dyDescent="0.35">
      <c r="C328" t="s">
        <v>264</v>
      </c>
      <c r="D328" s="20" t="s">
        <v>194</v>
      </c>
      <c r="E328" s="20">
        <v>160</v>
      </c>
      <c r="G328" s="40" t="s">
        <v>199</v>
      </c>
      <c r="H328" s="41"/>
      <c r="I328" s="20">
        <f>E328/10</f>
        <v>16</v>
      </c>
      <c r="J328" s="20">
        <f>E329/10</f>
        <v>0.9</v>
      </c>
      <c r="K328" s="20">
        <f>E330</f>
        <v>17.8</v>
      </c>
      <c r="L328" s="20">
        <f>E332+0.5*J329</f>
        <v>9.8099999999999987</v>
      </c>
      <c r="M328" s="20">
        <f>K328*L328</f>
        <v>174.61799999999999</v>
      </c>
      <c r="N328" s="20">
        <f>M328*L328</f>
        <v>1713.0025799999996</v>
      </c>
      <c r="O328" s="20">
        <f>E331</f>
        <v>448</v>
      </c>
    </row>
    <row r="329" spans="2:21" x14ac:dyDescent="0.35">
      <c r="D329" s="20" t="s">
        <v>195</v>
      </c>
      <c r="E329" s="20">
        <v>9</v>
      </c>
      <c r="G329" s="40" t="s">
        <v>200</v>
      </c>
      <c r="H329" s="41"/>
      <c r="I329" s="20">
        <f>T325*100</f>
        <v>70</v>
      </c>
      <c r="J329" s="20">
        <f>S325/10</f>
        <v>0.9</v>
      </c>
      <c r="K329" s="20">
        <f>T325*100</f>
        <v>70</v>
      </c>
      <c r="L329" s="20">
        <f>0</f>
        <v>0</v>
      </c>
      <c r="M329" s="20">
        <f>K329*L329</f>
        <v>0</v>
      </c>
      <c r="N329" s="20">
        <f>M329*L329</f>
        <v>0</v>
      </c>
      <c r="O329" s="21">
        <f>J329^3*I329/12</f>
        <v>4.2525000000000004</v>
      </c>
    </row>
    <row r="330" spans="2:21" x14ac:dyDescent="0.35">
      <c r="D330" s="20" t="s">
        <v>196</v>
      </c>
      <c r="E330" s="20">
        <v>17.8</v>
      </c>
      <c r="G330" s="40" t="s">
        <v>210</v>
      </c>
      <c r="H330" s="41"/>
      <c r="I330" s="20"/>
      <c r="J330" s="20"/>
      <c r="K330" s="20">
        <f>K328+K329</f>
        <v>87.8</v>
      </c>
      <c r="L330" s="20"/>
      <c r="M330" s="20">
        <f>M328+M329</f>
        <v>174.61799999999999</v>
      </c>
      <c r="N330" s="20">
        <f>N328+N329</f>
        <v>1713.0025799999996</v>
      </c>
      <c r="O330" s="21">
        <f>O328+O329</f>
        <v>452.2525</v>
      </c>
    </row>
    <row r="331" spans="2:21" x14ac:dyDescent="0.35">
      <c r="D331" s="20" t="s">
        <v>197</v>
      </c>
      <c r="E331" s="20">
        <v>448</v>
      </c>
    </row>
    <row r="332" spans="2:21" x14ac:dyDescent="0.35">
      <c r="D332" s="20" t="s">
        <v>198</v>
      </c>
      <c r="E332" s="20">
        <v>9.36</v>
      </c>
      <c r="J332" t="s">
        <v>211</v>
      </c>
      <c r="K332" s="3">
        <f>M330/K330</f>
        <v>1.9888154897494306</v>
      </c>
    </row>
    <row r="333" spans="2:21" x14ac:dyDescent="0.35">
      <c r="J333" t="s">
        <v>209</v>
      </c>
      <c r="K333" s="5">
        <f>N330+O330-K332^2*K330</f>
        <v>1817.9720968109334</v>
      </c>
    </row>
    <row r="334" spans="2:21" x14ac:dyDescent="0.35">
      <c r="J334" t="s">
        <v>190</v>
      </c>
      <c r="K334" s="5">
        <f>K333/(I328-K332+0.5*J329)</f>
        <v>125.71391337426712</v>
      </c>
    </row>
    <row r="335" spans="2:21" x14ac:dyDescent="0.35">
      <c r="K335" s="3">
        <f>K334/Q325</f>
        <v>1.056779535001628</v>
      </c>
    </row>
    <row r="336" spans="2:21" x14ac:dyDescent="0.35">
      <c r="C336" t="s">
        <v>265</v>
      </c>
    </row>
    <row r="337" spans="2:21" x14ac:dyDescent="0.35">
      <c r="C337" t="s">
        <v>266</v>
      </c>
      <c r="D337" t="s">
        <v>267</v>
      </c>
      <c r="E337">
        <f>5*(MIN(Q325,S257)/E271)^0.5</f>
        <v>17.27979681889493</v>
      </c>
    </row>
    <row r="338" spans="2:21" x14ac:dyDescent="0.35">
      <c r="C338" t="s">
        <v>268</v>
      </c>
    </row>
    <row r="340" spans="2:21" x14ac:dyDescent="0.35">
      <c r="B340" t="s">
        <v>275</v>
      </c>
    </row>
    <row r="342" spans="2:21" ht="17.5" x14ac:dyDescent="0.45">
      <c r="D342" s="10" t="s">
        <v>161</v>
      </c>
      <c r="E342" s="10" t="s">
        <v>91</v>
      </c>
      <c r="F342" s="10" t="s">
        <v>163</v>
      </c>
      <c r="G342" s="10" t="s">
        <v>185</v>
      </c>
      <c r="H342" s="10" t="s">
        <v>186</v>
      </c>
      <c r="I342" s="10" t="s">
        <v>150</v>
      </c>
      <c r="J342" s="10" t="s">
        <v>48</v>
      </c>
      <c r="K342" s="10" t="s">
        <v>164</v>
      </c>
      <c r="L342" s="10" t="s">
        <v>166</v>
      </c>
      <c r="M342" s="10" t="s">
        <v>167</v>
      </c>
      <c r="N342" s="10" t="s">
        <v>187</v>
      </c>
      <c r="O342" s="10" t="s">
        <v>188</v>
      </c>
      <c r="P342" s="10" t="s">
        <v>189</v>
      </c>
      <c r="Q342" s="10" t="s">
        <v>191</v>
      </c>
      <c r="R342" s="10" t="s">
        <v>192</v>
      </c>
      <c r="S342" s="10" t="s">
        <v>201</v>
      </c>
      <c r="T342" s="10" t="s">
        <v>202</v>
      </c>
    </row>
    <row r="343" spans="2:21" x14ac:dyDescent="0.35">
      <c r="C343" t="s">
        <v>259</v>
      </c>
      <c r="D343">
        <v>0.75</v>
      </c>
      <c r="E343">
        <v>2.1</v>
      </c>
      <c r="F343" s="2">
        <f>J65</f>
        <v>32.038106896551724</v>
      </c>
      <c r="G343">
        <v>12</v>
      </c>
      <c r="H343" s="26">
        <v>0.45</v>
      </c>
      <c r="I343" s="22">
        <f>$E$97</f>
        <v>235</v>
      </c>
      <c r="J343" s="22">
        <f>$E$99</f>
        <v>1</v>
      </c>
      <c r="K343" s="22">
        <f>235/J343</f>
        <v>235</v>
      </c>
      <c r="L343">
        <v>0.2</v>
      </c>
      <c r="M343" s="20">
        <f>L343*(25-12)</f>
        <v>2.6</v>
      </c>
      <c r="N343" s="24">
        <f>1000*F343*D343*E343^2/G343/H343/K343</f>
        <v>83.503576485693301</v>
      </c>
      <c r="O343" s="25">
        <f>IF(N343&lt;200,MIN(0.07+6/N343,0.25),1/0.15*(0.01+1/N343))</f>
        <v>0.14185320979668437</v>
      </c>
      <c r="P343" s="25">
        <f>1+O343*M343</f>
        <v>1.3688183454713794</v>
      </c>
      <c r="Q343" s="23">
        <f>N343*P343</f>
        <v>114.30122740608948</v>
      </c>
      <c r="R343">
        <f>6.7+0.02*C2</f>
        <v>8.5</v>
      </c>
      <c r="S343">
        <f>R153</f>
        <v>9</v>
      </c>
      <c r="T343" s="28">
        <f>MIN(E343/6,D343)</f>
        <v>0.35000000000000003</v>
      </c>
      <c r="U343" t="s">
        <v>264</v>
      </c>
    </row>
    <row r="345" spans="2:21" ht="16.5" x14ac:dyDescent="0.35">
      <c r="C345" t="s">
        <v>259</v>
      </c>
      <c r="G345" s="20"/>
      <c r="H345" s="20"/>
      <c r="I345" s="20" t="s">
        <v>203</v>
      </c>
      <c r="J345" s="20" t="s">
        <v>204</v>
      </c>
      <c r="K345" s="20" t="s">
        <v>205</v>
      </c>
      <c r="L345" s="20" t="s">
        <v>206</v>
      </c>
      <c r="M345" s="20" t="s">
        <v>207</v>
      </c>
      <c r="N345" s="20" t="s">
        <v>208</v>
      </c>
      <c r="O345" s="20" t="s">
        <v>209</v>
      </c>
    </row>
    <row r="346" spans="2:21" x14ac:dyDescent="0.35">
      <c r="C346" t="s">
        <v>264</v>
      </c>
      <c r="D346" s="20" t="s">
        <v>194</v>
      </c>
      <c r="E346" s="20">
        <v>160</v>
      </c>
      <c r="G346" s="40" t="s">
        <v>199</v>
      </c>
      <c r="H346" s="41"/>
      <c r="I346" s="20">
        <f>E346/10</f>
        <v>16</v>
      </c>
      <c r="J346" s="20">
        <f>E347/10</f>
        <v>0.9</v>
      </c>
      <c r="K346" s="20">
        <f>E348</f>
        <v>17.8</v>
      </c>
      <c r="L346" s="20">
        <f>E350+0.5*J347</f>
        <v>9.8099999999999987</v>
      </c>
      <c r="M346" s="20">
        <f>K346*L346</f>
        <v>174.61799999999999</v>
      </c>
      <c r="N346" s="20">
        <f>M346*L346</f>
        <v>1713.0025799999996</v>
      </c>
      <c r="O346" s="20">
        <f>E349</f>
        <v>448</v>
      </c>
    </row>
    <row r="347" spans="2:21" x14ac:dyDescent="0.35">
      <c r="D347" s="20" t="s">
        <v>195</v>
      </c>
      <c r="E347" s="20">
        <v>9</v>
      </c>
      <c r="G347" s="40" t="s">
        <v>200</v>
      </c>
      <c r="H347" s="41"/>
      <c r="I347" s="20">
        <f>T343*100</f>
        <v>35</v>
      </c>
      <c r="J347" s="20">
        <f>S343/10</f>
        <v>0.9</v>
      </c>
      <c r="K347" s="20">
        <f>T343*100</f>
        <v>35</v>
      </c>
      <c r="L347" s="20">
        <f>0</f>
        <v>0</v>
      </c>
      <c r="M347" s="20">
        <f>K347*L347</f>
        <v>0</v>
      </c>
      <c r="N347" s="20">
        <f>M347*L347</f>
        <v>0</v>
      </c>
      <c r="O347" s="21">
        <f>J347^3*I347/12</f>
        <v>2.1262500000000002</v>
      </c>
    </row>
    <row r="348" spans="2:21" x14ac:dyDescent="0.35">
      <c r="D348" s="20" t="s">
        <v>196</v>
      </c>
      <c r="E348" s="20">
        <v>17.8</v>
      </c>
      <c r="G348" s="40" t="s">
        <v>210</v>
      </c>
      <c r="H348" s="41"/>
      <c r="I348" s="20"/>
      <c r="J348" s="20"/>
      <c r="K348" s="20">
        <f>K346+K347</f>
        <v>52.8</v>
      </c>
      <c r="L348" s="20"/>
      <c r="M348" s="20">
        <f>M346+M347</f>
        <v>174.61799999999999</v>
      </c>
      <c r="N348" s="20">
        <f>N346+N347</f>
        <v>1713.0025799999996</v>
      </c>
      <c r="O348" s="21">
        <f>O346+O347</f>
        <v>450.12625000000003</v>
      </c>
    </row>
    <row r="349" spans="2:21" x14ac:dyDescent="0.35">
      <c r="D349" s="20" t="s">
        <v>197</v>
      </c>
      <c r="E349" s="20">
        <v>448</v>
      </c>
    </row>
    <row r="350" spans="2:21" x14ac:dyDescent="0.35">
      <c r="D350" s="20" t="s">
        <v>198</v>
      </c>
      <c r="E350" s="20">
        <v>9.36</v>
      </c>
      <c r="J350" t="s">
        <v>211</v>
      </c>
      <c r="K350" s="3">
        <f>M348/K348</f>
        <v>3.3071590909090909</v>
      </c>
    </row>
    <row r="351" spans="2:21" x14ac:dyDescent="0.35">
      <c r="J351" t="s">
        <v>209</v>
      </c>
      <c r="K351" s="5">
        <f>N348+O348-K350^2*K348</f>
        <v>1585.639323863636</v>
      </c>
    </row>
    <row r="352" spans="2:21" x14ac:dyDescent="0.35">
      <c r="J352" t="s">
        <v>190</v>
      </c>
      <c r="K352" s="5">
        <f>K351/(I346-K350+0.5*J347)</f>
        <v>120.64661931400605</v>
      </c>
    </row>
    <row r="353" spans="2:21" x14ac:dyDescent="0.35">
      <c r="K353" s="3">
        <f>K352/Q343</f>
        <v>1.0555146436474618</v>
      </c>
    </row>
    <row r="355" spans="2:21" x14ac:dyDescent="0.35">
      <c r="B355" s="8" t="s">
        <v>269</v>
      </c>
    </row>
    <row r="357" spans="2:21" ht="17.5" x14ac:dyDescent="0.45">
      <c r="D357" s="10" t="s">
        <v>161</v>
      </c>
      <c r="E357" s="10" t="s">
        <v>91</v>
      </c>
      <c r="F357" s="10" t="s">
        <v>163</v>
      </c>
      <c r="G357" s="10" t="s">
        <v>185</v>
      </c>
      <c r="H357" s="10" t="s">
        <v>186</v>
      </c>
      <c r="I357" s="10" t="s">
        <v>150</v>
      </c>
      <c r="J357" s="10" t="s">
        <v>48</v>
      </c>
      <c r="K357" s="10" t="s">
        <v>164</v>
      </c>
      <c r="L357" s="10" t="s">
        <v>166</v>
      </c>
      <c r="M357" s="10" t="s">
        <v>167</v>
      </c>
      <c r="N357" s="10" t="s">
        <v>187</v>
      </c>
      <c r="O357" s="10" t="s">
        <v>188</v>
      </c>
      <c r="P357" s="10" t="s">
        <v>189</v>
      </c>
      <c r="Q357" s="10" t="s">
        <v>191</v>
      </c>
      <c r="R357" s="10" t="s">
        <v>192</v>
      </c>
      <c r="S357" s="10" t="s">
        <v>201</v>
      </c>
      <c r="T357" s="10" t="s">
        <v>202</v>
      </c>
    </row>
    <row r="358" spans="2:21" x14ac:dyDescent="0.35">
      <c r="C358" t="s">
        <v>270</v>
      </c>
      <c r="D358" s="26">
        <v>0.7</v>
      </c>
      <c r="E358" s="26">
        <v>4.2</v>
      </c>
      <c r="F358" s="2">
        <f>E81</f>
        <v>21.209577257137809</v>
      </c>
      <c r="G358">
        <v>10</v>
      </c>
      <c r="H358">
        <v>0.65</v>
      </c>
      <c r="I358" s="22">
        <f>$E$97</f>
        <v>235</v>
      </c>
      <c r="J358" s="22">
        <f>$E$99</f>
        <v>1</v>
      </c>
      <c r="K358" s="22">
        <f>235/J358</f>
        <v>235</v>
      </c>
      <c r="L358">
        <v>0.11</v>
      </c>
      <c r="M358" s="20">
        <f>L358*(25-12)</f>
        <v>1.43</v>
      </c>
      <c r="N358" s="24">
        <f>1000*F358*D358*E358^2/G358/H358/K358</f>
        <v>171.45391814804427</v>
      </c>
      <c r="O358" s="25">
        <f>IF(N358&lt;200,MIN(0.07+6/N358,0.25),1/0.15*(0.01+1/N358))</f>
        <v>0.10499482580980866</v>
      </c>
      <c r="P358" s="25">
        <f>1+O358*M358</f>
        <v>1.1501426009080264</v>
      </c>
      <c r="Q358" s="23">
        <f>N358*P358</f>
        <v>197.1964553546635</v>
      </c>
      <c r="S358" s="26">
        <f>R139</f>
        <v>8</v>
      </c>
      <c r="T358" s="28">
        <f>MIN(E358/6,D358)</f>
        <v>0.7</v>
      </c>
      <c r="U358" t="s">
        <v>272</v>
      </c>
    </row>
    <row r="360" spans="2:21" ht="16.5" x14ac:dyDescent="0.35">
      <c r="C360" t="s">
        <v>270</v>
      </c>
      <c r="G360" s="20"/>
      <c r="H360" s="20"/>
      <c r="I360" s="20" t="s">
        <v>203</v>
      </c>
      <c r="J360" s="20" t="s">
        <v>204</v>
      </c>
      <c r="K360" s="20" t="s">
        <v>205</v>
      </c>
      <c r="L360" s="20" t="s">
        <v>206</v>
      </c>
      <c r="M360" s="20" t="s">
        <v>207</v>
      </c>
      <c r="N360" s="20" t="s">
        <v>208</v>
      </c>
      <c r="O360" s="20" t="s">
        <v>209</v>
      </c>
    </row>
    <row r="361" spans="2:21" x14ac:dyDescent="0.35">
      <c r="C361" t="s">
        <v>212</v>
      </c>
      <c r="D361" s="20" t="s">
        <v>194</v>
      </c>
      <c r="E361" s="20">
        <v>200</v>
      </c>
      <c r="G361" s="40" t="s">
        <v>199</v>
      </c>
      <c r="H361" s="41"/>
      <c r="I361" s="20">
        <f>E361/10</f>
        <v>20</v>
      </c>
      <c r="J361" s="20">
        <f>E362/10</f>
        <v>0.9</v>
      </c>
      <c r="K361" s="20">
        <f>E363</f>
        <v>23.6</v>
      </c>
      <c r="L361" s="20">
        <f>E365+0.5*J362</f>
        <v>12.5</v>
      </c>
      <c r="M361" s="20">
        <f>K361*L361</f>
        <v>295</v>
      </c>
      <c r="N361" s="20">
        <f>M361*L361</f>
        <v>3687.5</v>
      </c>
      <c r="O361" s="20">
        <f>E364</f>
        <v>941</v>
      </c>
    </row>
    <row r="362" spans="2:21" x14ac:dyDescent="0.35">
      <c r="D362" s="20" t="s">
        <v>195</v>
      </c>
      <c r="E362" s="20">
        <v>9</v>
      </c>
      <c r="G362" s="40" t="s">
        <v>200</v>
      </c>
      <c r="H362" s="41"/>
      <c r="I362" s="20">
        <f>T358*100</f>
        <v>70</v>
      </c>
      <c r="J362" s="20">
        <f>S358/10</f>
        <v>0.8</v>
      </c>
      <c r="K362" s="20">
        <f>T358*100</f>
        <v>70</v>
      </c>
      <c r="L362" s="20">
        <f>0</f>
        <v>0</v>
      </c>
      <c r="M362" s="20">
        <f>K362*L362</f>
        <v>0</v>
      </c>
      <c r="N362" s="20">
        <f>M362*L362</f>
        <v>0</v>
      </c>
      <c r="O362" s="21">
        <f>J362^3*I362/12</f>
        <v>2.9866666666666677</v>
      </c>
    </row>
    <row r="363" spans="2:21" x14ac:dyDescent="0.35">
      <c r="D363" s="20" t="s">
        <v>196</v>
      </c>
      <c r="E363" s="20">
        <v>23.6</v>
      </c>
      <c r="G363" s="40" t="s">
        <v>210</v>
      </c>
      <c r="H363" s="41"/>
      <c r="I363" s="20"/>
      <c r="J363" s="20"/>
      <c r="K363" s="20">
        <f>K361+K362</f>
        <v>93.6</v>
      </c>
      <c r="L363" s="20"/>
      <c r="M363" s="20">
        <f>M361+M362</f>
        <v>295</v>
      </c>
      <c r="N363" s="20">
        <f>N361+N362</f>
        <v>3687.5</v>
      </c>
      <c r="O363" s="21">
        <f>O361+O362</f>
        <v>943.98666666666668</v>
      </c>
    </row>
    <row r="364" spans="2:21" x14ac:dyDescent="0.35">
      <c r="D364" s="20" t="s">
        <v>197</v>
      </c>
      <c r="E364" s="20">
        <v>941</v>
      </c>
    </row>
    <row r="365" spans="2:21" x14ac:dyDescent="0.35">
      <c r="D365" s="20" t="s">
        <v>198</v>
      </c>
      <c r="E365" s="20">
        <v>12.1</v>
      </c>
      <c r="J365" t="s">
        <v>211</v>
      </c>
      <c r="K365" s="3">
        <f>M363/K363</f>
        <v>3.1517094017094021</v>
      </c>
    </row>
    <row r="366" spans="2:21" x14ac:dyDescent="0.35">
      <c r="J366" t="s">
        <v>209</v>
      </c>
      <c r="K366" s="5">
        <f>N363+O363-K365^2*K363</f>
        <v>3701.7323931623932</v>
      </c>
    </row>
    <row r="367" spans="2:21" x14ac:dyDescent="0.35">
      <c r="J367" t="s">
        <v>190</v>
      </c>
      <c r="K367" s="5">
        <f>K366/(I361-K365+0.5*J362)</f>
        <v>214.61444959242837</v>
      </c>
    </row>
    <row r="368" spans="2:21" x14ac:dyDescent="0.35">
      <c r="K368" s="3">
        <f>K367/Q358</f>
        <v>1.0883281304749526</v>
      </c>
    </row>
    <row r="370" spans="2:5" x14ac:dyDescent="0.35">
      <c r="C370" t="s">
        <v>273</v>
      </c>
    </row>
    <row r="371" spans="2:5" x14ac:dyDescent="0.35">
      <c r="C371" t="s">
        <v>266</v>
      </c>
      <c r="D371" t="s">
        <v>267</v>
      </c>
      <c r="E371">
        <f>5*(MIN(Q358,S256)/E261)^0.5</f>
        <v>21.02998507060024</v>
      </c>
    </row>
    <row r="372" spans="2:5" x14ac:dyDescent="0.35">
      <c r="C372" t="s">
        <v>274</v>
      </c>
    </row>
    <row r="374" spans="2:5" x14ac:dyDescent="0.35">
      <c r="B374" s="8" t="s">
        <v>280</v>
      </c>
    </row>
    <row r="375" spans="2:5" x14ac:dyDescent="0.35">
      <c r="B375" s="8"/>
    </row>
    <row r="376" spans="2:5" ht="30" x14ac:dyDescent="0.45">
      <c r="C376" s="43" t="s">
        <v>295</v>
      </c>
      <c r="D376" s="38" t="s">
        <v>296</v>
      </c>
      <c r="E376" s="1">
        <f>MAX(E92,ABS(E93))</f>
        <v>202320.04910906247</v>
      </c>
    </row>
    <row r="378" spans="2:5" ht="16.5" x14ac:dyDescent="0.45">
      <c r="C378" t="s">
        <v>281</v>
      </c>
      <c r="D378" s="10" t="s">
        <v>285</v>
      </c>
      <c r="E378" s="38">
        <v>235</v>
      </c>
    </row>
    <row r="379" spans="2:5" ht="16.5" x14ac:dyDescent="0.45">
      <c r="C379" t="s">
        <v>282</v>
      </c>
      <c r="D379" s="17" t="s">
        <v>287</v>
      </c>
      <c r="E379" s="38">
        <v>1</v>
      </c>
    </row>
    <row r="380" spans="2:5" ht="16.5" x14ac:dyDescent="0.45">
      <c r="C380" t="s">
        <v>289</v>
      </c>
      <c r="D380" s="17" t="s">
        <v>291</v>
      </c>
      <c r="E380" s="38">
        <f>175/E379</f>
        <v>175</v>
      </c>
    </row>
    <row r="381" spans="2:5" x14ac:dyDescent="0.35">
      <c r="C381" t="s">
        <v>299</v>
      </c>
    </row>
    <row r="382" spans="2:5" ht="17.5" x14ac:dyDescent="0.45">
      <c r="C382" t="s">
        <v>293</v>
      </c>
      <c r="D382" s="17" t="s">
        <v>294</v>
      </c>
      <c r="E382" s="1">
        <f>E376/E380*1000</f>
        <v>1156114.5663374998</v>
      </c>
    </row>
    <row r="383" spans="2:5" ht="17.5" x14ac:dyDescent="0.45">
      <c r="D383" s="17" t="s">
        <v>303</v>
      </c>
      <c r="E383" s="1">
        <f>$E$20*$C$3*$C$2^2*($C$6+0.7)*E379</f>
        <v>1345395.7439999999</v>
      </c>
    </row>
    <row r="384" spans="2:5" x14ac:dyDescent="0.35">
      <c r="C384" t="s">
        <v>300</v>
      </c>
      <c r="D384" s="17"/>
      <c r="E384" s="1"/>
    </row>
    <row r="385" spans="2:5" ht="17.5" x14ac:dyDescent="0.45">
      <c r="C385" t="s">
        <v>301</v>
      </c>
      <c r="D385" s="17" t="s">
        <v>302</v>
      </c>
      <c r="E385" s="1">
        <f>MAX(E382:E383)</f>
        <v>1345395.7439999999</v>
      </c>
    </row>
    <row r="386" spans="2:5" x14ac:dyDescent="0.35">
      <c r="E386" s="38"/>
    </row>
    <row r="387" spans="2:5" ht="16.5" x14ac:dyDescent="0.45">
      <c r="C387" t="s">
        <v>283</v>
      </c>
      <c r="D387" s="10" t="s">
        <v>286</v>
      </c>
      <c r="E387" s="38">
        <v>235</v>
      </c>
    </row>
    <row r="388" spans="2:5" ht="16.5" x14ac:dyDescent="0.45">
      <c r="C388" t="s">
        <v>284</v>
      </c>
      <c r="D388" s="17" t="s">
        <v>288</v>
      </c>
      <c r="E388" s="38">
        <v>1</v>
      </c>
    </row>
    <row r="389" spans="2:5" ht="16.5" x14ac:dyDescent="0.45">
      <c r="C389" t="s">
        <v>290</v>
      </c>
      <c r="D389" s="17" t="s">
        <v>292</v>
      </c>
      <c r="E389" s="38">
        <f>175/E388</f>
        <v>175</v>
      </c>
    </row>
    <row r="390" spans="2:5" x14ac:dyDescent="0.35">
      <c r="C390" t="s">
        <v>299</v>
      </c>
    </row>
    <row r="391" spans="2:5" ht="17.5" x14ac:dyDescent="0.45">
      <c r="C391" t="s">
        <v>297</v>
      </c>
      <c r="D391" s="17" t="s">
        <v>298</v>
      </c>
      <c r="E391" s="6">
        <f>E376/E389*1000</f>
        <v>1156114.5663374998</v>
      </c>
    </row>
    <row r="392" spans="2:5" ht="17.5" x14ac:dyDescent="0.45">
      <c r="D392" s="17" t="s">
        <v>304</v>
      </c>
      <c r="E392" s="6">
        <f>$E$20*$C$3*$C$2^2*($C$6+0.7)*E388</f>
        <v>1345395.7439999999</v>
      </c>
    </row>
    <row r="393" spans="2:5" x14ac:dyDescent="0.35">
      <c r="C393" t="s">
        <v>300</v>
      </c>
    </row>
    <row r="394" spans="2:5" ht="17.5" x14ac:dyDescent="0.45">
      <c r="C394" t="s">
        <v>301</v>
      </c>
      <c r="D394" s="17" t="s">
        <v>302</v>
      </c>
      <c r="E394" s="1">
        <f>MAX(E391:E392)</f>
        <v>1345395.7439999999</v>
      </c>
    </row>
    <row r="396" spans="2:5" x14ac:dyDescent="0.35">
      <c r="C396" t="s">
        <v>305</v>
      </c>
    </row>
    <row r="397" spans="2:5" ht="17.5" x14ac:dyDescent="0.45">
      <c r="C397" t="s">
        <v>306</v>
      </c>
      <c r="D397" s="10" t="s">
        <v>307</v>
      </c>
      <c r="E397" s="44">
        <f>$E$20*$C$3*$C$2^3*($C$6+0.7)</f>
        <v>121085616.95999998</v>
      </c>
    </row>
    <row r="399" spans="2:5" x14ac:dyDescent="0.35">
      <c r="B399" s="8" t="s">
        <v>308</v>
      </c>
    </row>
    <row r="401" spans="2:14" x14ac:dyDescent="0.35">
      <c r="C401" t="s">
        <v>309</v>
      </c>
    </row>
    <row r="403" spans="2:14" x14ac:dyDescent="0.35">
      <c r="B403" s="39" t="s">
        <v>310</v>
      </c>
      <c r="C403" s="39" t="s">
        <v>311</v>
      </c>
      <c r="D403" s="39" t="s">
        <v>312</v>
      </c>
      <c r="E403" s="39"/>
      <c r="F403" s="39"/>
      <c r="G403" s="39"/>
      <c r="H403" t="s">
        <v>318</v>
      </c>
      <c r="I403" s="38" t="s">
        <v>320</v>
      </c>
      <c r="J403" t="s">
        <v>326</v>
      </c>
      <c r="K403" t="s">
        <v>328</v>
      </c>
      <c r="L403" t="s">
        <v>356</v>
      </c>
      <c r="M403" t="s">
        <v>358</v>
      </c>
      <c r="N403" t="s">
        <v>360</v>
      </c>
    </row>
    <row r="404" spans="2:14" ht="17.5" x14ac:dyDescent="0.45">
      <c r="B404" s="39"/>
      <c r="C404" s="39"/>
      <c r="D404" s="38" t="s">
        <v>313</v>
      </c>
      <c r="E404" s="10" t="s">
        <v>314</v>
      </c>
      <c r="F404" s="10" t="s">
        <v>315</v>
      </c>
      <c r="G404" s="10" t="s">
        <v>231</v>
      </c>
      <c r="H404" s="10" t="s">
        <v>319</v>
      </c>
      <c r="I404" s="10" t="s">
        <v>321</v>
      </c>
      <c r="J404" s="10" t="s">
        <v>327</v>
      </c>
      <c r="K404" s="10" t="s">
        <v>329</v>
      </c>
      <c r="L404" s="10" t="s">
        <v>357</v>
      </c>
      <c r="M404" s="10" t="s">
        <v>359</v>
      </c>
      <c r="N404" s="10" t="s">
        <v>361</v>
      </c>
    </row>
    <row r="405" spans="2:14" x14ac:dyDescent="0.35">
      <c r="B405" s="38">
        <v>1</v>
      </c>
      <c r="C405" s="38" t="s">
        <v>316</v>
      </c>
      <c r="D405" s="38" t="s">
        <v>317</v>
      </c>
      <c r="E405" s="38">
        <v>625</v>
      </c>
      <c r="F405" s="38" t="s">
        <v>233</v>
      </c>
      <c r="G405" s="38">
        <v>12</v>
      </c>
      <c r="H405" s="38">
        <f>IF(OR(F405=0,F405="-"),E405*G405*0.01,F405*G405*0.01)</f>
        <v>75</v>
      </c>
      <c r="I405" s="38">
        <v>1</v>
      </c>
      <c r="J405" s="38">
        <f>I405*H405</f>
        <v>75</v>
      </c>
      <c r="K405" s="38">
        <v>0</v>
      </c>
      <c r="L405" s="38">
        <f>J405*K405</f>
        <v>0</v>
      </c>
      <c r="M405" s="38">
        <f>L405*K405</f>
        <v>0</v>
      </c>
      <c r="N405" s="38">
        <f>IF(E405="-",(F405/10)^3*(G405/10)/12,(G405/10)^3*E405/10/12)</f>
        <v>9</v>
      </c>
    </row>
    <row r="406" spans="2:14" x14ac:dyDescent="0.35">
      <c r="B406" s="38">
        <v>2</v>
      </c>
      <c r="C406" s="38" t="s">
        <v>322</v>
      </c>
      <c r="D406" s="38" t="s">
        <v>323</v>
      </c>
      <c r="E406" s="38">
        <v>5815</v>
      </c>
      <c r="F406" s="38" t="s">
        <v>233</v>
      </c>
      <c r="G406" s="38">
        <v>10</v>
      </c>
      <c r="H406" s="38">
        <f>IF(F406="-",E406*G406*0.01,F406*G406*0.01)</f>
        <v>581.5</v>
      </c>
      <c r="I406" s="38">
        <v>1</v>
      </c>
      <c r="J406" s="38">
        <f t="shared" ref="J406:J407" si="73">I406*H406</f>
        <v>581.5</v>
      </c>
      <c r="K406" s="38">
        <v>0</v>
      </c>
      <c r="L406" s="38">
        <f t="shared" ref="L406:L423" si="74">J406*K406</f>
        <v>0</v>
      </c>
      <c r="M406" s="38">
        <f t="shared" ref="M406:M424" si="75">L406*K406</f>
        <v>0</v>
      </c>
      <c r="N406" s="38">
        <f t="shared" ref="N406:N424" si="76">IF(E406="-",(F406/10)^3*(G406/10)/12,(G406/10)^3*E406/10/12)</f>
        <v>48.458333333333336</v>
      </c>
    </row>
    <row r="407" spans="2:14" x14ac:dyDescent="0.35">
      <c r="B407" s="38">
        <v>3</v>
      </c>
      <c r="C407" s="38" t="s">
        <v>324</v>
      </c>
      <c r="D407" s="38" t="s">
        <v>325</v>
      </c>
      <c r="E407" s="38" t="s">
        <v>233</v>
      </c>
      <c r="F407" s="38">
        <v>1979</v>
      </c>
      <c r="G407" s="38">
        <v>10</v>
      </c>
      <c r="H407" s="38">
        <f>IF(F407="-",E407*G407*0.01,F407*G407*0.01)</f>
        <v>197.9</v>
      </c>
      <c r="I407" s="38">
        <v>1</v>
      </c>
      <c r="J407" s="38">
        <f t="shared" si="73"/>
        <v>197.9</v>
      </c>
      <c r="K407" s="38">
        <v>46.1</v>
      </c>
      <c r="L407" s="38">
        <f t="shared" si="74"/>
        <v>9123.19</v>
      </c>
      <c r="M407" s="38">
        <f t="shared" si="75"/>
        <v>420579.05900000001</v>
      </c>
      <c r="N407" s="38">
        <f>IF(E407="-",(F407/10)^3*(G407/10)/12,(G407/10)^3*E407/10/12)*0.5</f>
        <v>322943.19745833339</v>
      </c>
    </row>
    <row r="408" spans="2:14" x14ac:dyDescent="0.35">
      <c r="B408" s="38">
        <v>4</v>
      </c>
      <c r="C408" s="38" t="s">
        <v>331</v>
      </c>
      <c r="D408" s="38" t="s">
        <v>330</v>
      </c>
      <c r="E408" s="38" t="s">
        <v>233</v>
      </c>
      <c r="F408" s="38">
        <v>2000</v>
      </c>
      <c r="G408" s="38">
        <v>10</v>
      </c>
      <c r="H408" s="38">
        <f>IF(F408="-",E408*G408*0.01,F408*G408*0.01)</f>
        <v>200</v>
      </c>
      <c r="I408" s="38">
        <v>1</v>
      </c>
      <c r="J408" s="38">
        <f t="shared" ref="J408" si="77">I408*H408</f>
        <v>200</v>
      </c>
      <c r="K408" s="38">
        <v>226</v>
      </c>
      <c r="L408" s="38">
        <f t="shared" si="74"/>
        <v>45200</v>
      </c>
      <c r="M408" s="38">
        <f t="shared" si="75"/>
        <v>10215200</v>
      </c>
      <c r="N408" s="38">
        <f t="shared" si="76"/>
        <v>666666.66666666663</v>
      </c>
    </row>
    <row r="409" spans="2:14" x14ac:dyDescent="0.35">
      <c r="B409" s="38">
        <v>5</v>
      </c>
      <c r="C409" s="38" t="s">
        <v>332</v>
      </c>
      <c r="D409" s="38" t="s">
        <v>330</v>
      </c>
      <c r="E409" s="38" t="s">
        <v>233</v>
      </c>
      <c r="F409" s="38">
        <v>2000</v>
      </c>
      <c r="G409" s="38">
        <v>10</v>
      </c>
      <c r="H409" s="38">
        <f>IF(F409="-",E409*G409*0.01,F409*G409*0.01)</f>
        <v>200</v>
      </c>
      <c r="I409" s="38">
        <v>1</v>
      </c>
      <c r="J409" s="38">
        <f t="shared" ref="J409" si="78">I409*H409</f>
        <v>200</v>
      </c>
      <c r="K409" s="38">
        <f>K408+200</f>
        <v>426</v>
      </c>
      <c r="L409" s="38">
        <f t="shared" si="74"/>
        <v>85200</v>
      </c>
      <c r="M409" s="38">
        <f t="shared" si="75"/>
        <v>36295200</v>
      </c>
      <c r="N409" s="38">
        <f t="shared" si="76"/>
        <v>666666.66666666663</v>
      </c>
    </row>
    <row r="410" spans="2:14" x14ac:dyDescent="0.35">
      <c r="B410" s="38">
        <v>6</v>
      </c>
      <c r="C410" s="38" t="s">
        <v>333</v>
      </c>
      <c r="D410" s="38" t="s">
        <v>336</v>
      </c>
      <c r="E410" s="38" t="s">
        <v>233</v>
      </c>
      <c r="F410" s="38">
        <v>990</v>
      </c>
      <c r="G410" s="38">
        <v>10</v>
      </c>
      <c r="H410" s="38">
        <f>IF(F410="-",E410*G410*0.01,F410*G410*0.01)</f>
        <v>99</v>
      </c>
      <c r="I410" s="38">
        <v>1</v>
      </c>
      <c r="J410" s="38">
        <f t="shared" ref="J410:J413" si="79">I410*H410</f>
        <v>99</v>
      </c>
      <c r="K410" s="38">
        <f>K409+100+99/2</f>
        <v>575.5</v>
      </c>
      <c r="L410" s="38">
        <f t="shared" si="74"/>
        <v>56974.5</v>
      </c>
      <c r="M410" s="38">
        <f t="shared" si="75"/>
        <v>32788824.75</v>
      </c>
      <c r="N410" s="38">
        <f t="shared" si="76"/>
        <v>80858.25</v>
      </c>
    </row>
    <row r="411" spans="2:14" x14ac:dyDescent="0.35">
      <c r="B411" s="38">
        <v>7</v>
      </c>
      <c r="C411" s="38" t="s">
        <v>334</v>
      </c>
      <c r="D411" s="38" t="s">
        <v>335</v>
      </c>
      <c r="E411" s="38" t="s">
        <v>233</v>
      </c>
      <c r="F411" s="38">
        <v>1250</v>
      </c>
      <c r="G411" s="38">
        <v>10</v>
      </c>
      <c r="H411" s="38">
        <f>IF(F411="-",E411*G411*0.01,F411*G411*0.01)</f>
        <v>125</v>
      </c>
      <c r="I411" s="38">
        <v>1</v>
      </c>
      <c r="J411" s="38">
        <f t="shared" si="79"/>
        <v>125</v>
      </c>
      <c r="K411" s="38">
        <f>K410+99/2+125/2</f>
        <v>687.5</v>
      </c>
      <c r="L411" s="38">
        <f t="shared" si="74"/>
        <v>85937.5</v>
      </c>
      <c r="M411" s="38">
        <f t="shared" si="75"/>
        <v>59082031.25</v>
      </c>
      <c r="N411" s="38">
        <f t="shared" si="76"/>
        <v>162760.41666666666</v>
      </c>
    </row>
    <row r="412" spans="2:14" x14ac:dyDescent="0.35">
      <c r="B412" s="38">
        <v>8</v>
      </c>
      <c r="C412" s="38" t="s">
        <v>178</v>
      </c>
      <c r="D412" s="38" t="s">
        <v>337</v>
      </c>
      <c r="E412" s="38">
        <v>3500</v>
      </c>
      <c r="F412" s="38" t="s">
        <v>233</v>
      </c>
      <c r="G412" s="38">
        <v>9</v>
      </c>
      <c r="H412" s="38">
        <f>IF(F412="-",E412*G412*0.01,F412*G412*0.01)</f>
        <v>315</v>
      </c>
      <c r="I412" s="38">
        <v>1</v>
      </c>
      <c r="J412" s="38">
        <f t="shared" si="79"/>
        <v>315</v>
      </c>
      <c r="K412" s="38">
        <v>756.8</v>
      </c>
      <c r="L412" s="38">
        <f t="shared" si="74"/>
        <v>238392</v>
      </c>
      <c r="M412" s="38">
        <f t="shared" si="75"/>
        <v>180415065.59999999</v>
      </c>
      <c r="N412" s="38">
        <f t="shared" si="76"/>
        <v>21.262500000000003</v>
      </c>
    </row>
    <row r="413" spans="2:14" x14ac:dyDescent="0.35">
      <c r="B413" s="38">
        <v>9</v>
      </c>
      <c r="C413" s="38" t="s">
        <v>179</v>
      </c>
      <c r="D413" s="38" t="s">
        <v>338</v>
      </c>
      <c r="E413" s="38">
        <v>3500</v>
      </c>
      <c r="F413" s="38" t="s">
        <v>233</v>
      </c>
      <c r="G413" s="38">
        <v>8</v>
      </c>
      <c r="H413" s="38">
        <f>IF(F413="-",E413*G413*0.01,F413*G413*0.01)</f>
        <v>280</v>
      </c>
      <c r="I413" s="38">
        <v>1</v>
      </c>
      <c r="J413" s="38">
        <f t="shared" si="79"/>
        <v>280</v>
      </c>
      <c r="K413" s="38">
        <v>460</v>
      </c>
      <c r="L413" s="38">
        <f t="shared" si="74"/>
        <v>128800</v>
      </c>
      <c r="M413" s="38">
        <f t="shared" si="75"/>
        <v>59248000</v>
      </c>
      <c r="N413" s="38">
        <f t="shared" si="76"/>
        <v>14.933333333333337</v>
      </c>
    </row>
    <row r="414" spans="2:14" x14ac:dyDescent="0.35">
      <c r="B414" s="38">
        <v>10</v>
      </c>
      <c r="C414" s="38" t="s">
        <v>339</v>
      </c>
      <c r="D414" s="38" t="s">
        <v>341</v>
      </c>
      <c r="E414" s="38">
        <v>6625</v>
      </c>
      <c r="F414" s="38" t="s">
        <v>233</v>
      </c>
      <c r="G414" s="38">
        <v>9</v>
      </c>
      <c r="H414" s="38">
        <f>IF(F414="-",E414*G414*0.01,F414*G414*0.01)</f>
        <v>596.25</v>
      </c>
      <c r="I414" s="38">
        <v>1</v>
      </c>
      <c r="J414" s="38">
        <f t="shared" ref="J414:J424" si="80">I414*H414</f>
        <v>596.25</v>
      </c>
      <c r="K414" s="38">
        <v>110</v>
      </c>
      <c r="L414" s="38">
        <f t="shared" si="74"/>
        <v>65587.5</v>
      </c>
      <c r="M414" s="38">
        <f t="shared" si="75"/>
        <v>7214625</v>
      </c>
      <c r="N414" s="38">
        <f t="shared" si="76"/>
        <v>40.24687500000001</v>
      </c>
    </row>
    <row r="415" spans="2:14" x14ac:dyDescent="0.35">
      <c r="B415" s="38">
        <v>11</v>
      </c>
      <c r="C415" s="38" t="s">
        <v>340</v>
      </c>
      <c r="D415" s="38" t="s">
        <v>342</v>
      </c>
      <c r="E415" s="38">
        <v>1065</v>
      </c>
      <c r="F415" s="38" t="s">
        <v>233</v>
      </c>
      <c r="G415" s="38">
        <v>9</v>
      </c>
      <c r="H415" s="38">
        <f>IF(F415="-",E415*G415*0.01,F415*G415*0.01)</f>
        <v>95.850000000000009</v>
      </c>
      <c r="I415" s="38">
        <v>1</v>
      </c>
      <c r="J415" s="38">
        <f t="shared" si="80"/>
        <v>95.850000000000009</v>
      </c>
      <c r="K415" s="38">
        <v>110</v>
      </c>
      <c r="L415" s="38">
        <f t="shared" si="74"/>
        <v>10543.500000000002</v>
      </c>
      <c r="M415" s="38">
        <f t="shared" si="75"/>
        <v>1159785.0000000002</v>
      </c>
      <c r="N415" s="38">
        <f t="shared" si="76"/>
        <v>6.4698750000000009</v>
      </c>
    </row>
    <row r="416" spans="2:14" x14ac:dyDescent="0.35">
      <c r="B416" s="38">
        <v>12</v>
      </c>
      <c r="C416" s="38" t="s">
        <v>225</v>
      </c>
      <c r="D416" s="38" t="s">
        <v>343</v>
      </c>
      <c r="E416" s="38" t="s">
        <v>233</v>
      </c>
      <c r="F416" s="38">
        <v>1100</v>
      </c>
      <c r="G416" s="38">
        <v>11</v>
      </c>
      <c r="H416" s="38">
        <f>IF(F416="-",E416*G416*0.01,F416*G416*0.01)</f>
        <v>121</v>
      </c>
      <c r="I416" s="38">
        <v>0.5</v>
      </c>
      <c r="J416" s="38">
        <f t="shared" si="80"/>
        <v>60.5</v>
      </c>
      <c r="K416" s="38">
        <f>110/2</f>
        <v>55</v>
      </c>
      <c r="L416" s="38">
        <f t="shared" si="74"/>
        <v>3327.5</v>
      </c>
      <c r="M416" s="38">
        <f t="shared" si="75"/>
        <v>183012.5</v>
      </c>
      <c r="N416" s="38">
        <f t="shared" si="76"/>
        <v>122008.33333333336</v>
      </c>
    </row>
    <row r="417" spans="2:14" x14ac:dyDescent="0.35">
      <c r="B417" s="38">
        <v>13</v>
      </c>
      <c r="C417" s="38" t="s">
        <v>344</v>
      </c>
      <c r="D417" s="38" t="s">
        <v>345</v>
      </c>
      <c r="E417" s="38" t="s">
        <v>233</v>
      </c>
      <c r="F417" s="38">
        <v>1100</v>
      </c>
      <c r="G417" s="38">
        <v>10</v>
      </c>
      <c r="H417" s="38">
        <f>IF(F417="-",E417*G417*0.01,F417*G417*0.01)</f>
        <v>110</v>
      </c>
      <c r="I417" s="38">
        <v>1</v>
      </c>
      <c r="J417" s="38">
        <f t="shared" si="80"/>
        <v>110</v>
      </c>
      <c r="K417" s="38">
        <f>110/2</f>
        <v>55</v>
      </c>
      <c r="L417" s="38">
        <f t="shared" si="74"/>
        <v>6050</v>
      </c>
      <c r="M417" s="38">
        <f t="shared" si="75"/>
        <v>332750</v>
      </c>
      <c r="N417" s="38">
        <f t="shared" si="76"/>
        <v>110916.66666666667</v>
      </c>
    </row>
    <row r="418" spans="2:14" x14ac:dyDescent="0.35">
      <c r="B418" s="38">
        <v>14</v>
      </c>
      <c r="C418" s="38" t="s">
        <v>183</v>
      </c>
      <c r="D418" s="38" t="s">
        <v>272</v>
      </c>
      <c r="E418" s="38" t="s">
        <v>233</v>
      </c>
      <c r="F418" s="38">
        <v>200</v>
      </c>
      <c r="G418" s="38">
        <v>9</v>
      </c>
      <c r="H418" s="38">
        <v>23.6</v>
      </c>
      <c r="I418" s="38">
        <v>8</v>
      </c>
      <c r="J418" s="38">
        <f t="shared" si="80"/>
        <v>188.8</v>
      </c>
      <c r="K418" s="38">
        <v>12.1</v>
      </c>
      <c r="L418" s="38">
        <f t="shared" si="74"/>
        <v>2284.48</v>
      </c>
      <c r="M418" s="38">
        <f t="shared" si="75"/>
        <v>27642.207999999999</v>
      </c>
      <c r="N418" s="46">
        <f>941*I418</f>
        <v>7528</v>
      </c>
    </row>
    <row r="419" spans="2:14" x14ac:dyDescent="0.35">
      <c r="B419" s="38">
        <v>15</v>
      </c>
      <c r="C419" s="38" t="s">
        <v>184</v>
      </c>
      <c r="D419" s="38" t="s">
        <v>346</v>
      </c>
      <c r="E419" s="38" t="s">
        <v>233</v>
      </c>
      <c r="F419" s="38">
        <v>180</v>
      </c>
      <c r="G419" s="38">
        <v>8</v>
      </c>
      <c r="H419" s="38">
        <v>18.899999999999999</v>
      </c>
      <c r="I419" s="38">
        <v>8</v>
      </c>
      <c r="J419" s="38">
        <f t="shared" si="80"/>
        <v>151.19999999999999</v>
      </c>
      <c r="K419" s="38">
        <v>9.91</v>
      </c>
      <c r="L419" s="38">
        <f t="shared" si="74"/>
        <v>1498.3919999999998</v>
      </c>
      <c r="M419" s="38">
        <f t="shared" si="75"/>
        <v>14849.064719999998</v>
      </c>
      <c r="N419" s="46">
        <f>609*I419</f>
        <v>4872</v>
      </c>
    </row>
    <row r="420" spans="2:14" x14ac:dyDescent="0.35">
      <c r="B420" s="38">
        <v>16</v>
      </c>
      <c r="C420" s="38" t="s">
        <v>347</v>
      </c>
      <c r="D420" s="38" t="s">
        <v>260</v>
      </c>
      <c r="E420" s="38" t="s">
        <v>233</v>
      </c>
      <c r="F420" s="38">
        <v>140</v>
      </c>
      <c r="G420" s="38">
        <v>7</v>
      </c>
      <c r="H420" s="38">
        <v>12.6</v>
      </c>
      <c r="I420" s="38">
        <v>4</v>
      </c>
      <c r="J420" s="38">
        <f t="shared" si="80"/>
        <v>50.4</v>
      </c>
      <c r="K420" s="38">
        <v>748</v>
      </c>
      <c r="L420" s="38">
        <f t="shared" si="74"/>
        <v>37699.199999999997</v>
      </c>
      <c r="M420" s="38">
        <f t="shared" si="75"/>
        <v>28199001.599999998</v>
      </c>
      <c r="N420" s="46">
        <f>241*I420</f>
        <v>964</v>
      </c>
    </row>
    <row r="421" spans="2:14" x14ac:dyDescent="0.35">
      <c r="B421" s="38">
        <v>17</v>
      </c>
      <c r="C421" s="38" t="s">
        <v>348</v>
      </c>
      <c r="D421" s="38" t="s">
        <v>352</v>
      </c>
      <c r="E421" s="38" t="s">
        <v>233</v>
      </c>
      <c r="F421" s="38">
        <v>500</v>
      </c>
      <c r="G421" s="38">
        <v>10</v>
      </c>
      <c r="H421" s="38">
        <f>IF(F421="-",E421*G421*0.01,F421*G421*0.01)</f>
        <v>50</v>
      </c>
      <c r="I421" s="38">
        <v>1</v>
      </c>
      <c r="J421" s="38">
        <f t="shared" si="80"/>
        <v>50</v>
      </c>
      <c r="K421" s="38">
        <v>739</v>
      </c>
      <c r="L421" s="38">
        <f t="shared" si="74"/>
        <v>36950</v>
      </c>
      <c r="M421" s="38">
        <f t="shared" si="75"/>
        <v>27306050</v>
      </c>
      <c r="N421" s="1">
        <f t="shared" si="76"/>
        <v>10416.666666666666</v>
      </c>
    </row>
    <row r="422" spans="2:14" x14ac:dyDescent="0.35">
      <c r="B422" s="38">
        <v>18</v>
      </c>
      <c r="C422" s="38" t="s">
        <v>349</v>
      </c>
      <c r="D422" s="38" t="s">
        <v>353</v>
      </c>
      <c r="E422" s="38">
        <v>250</v>
      </c>
      <c r="F422" s="38" t="s">
        <v>233</v>
      </c>
      <c r="G422" s="38">
        <v>25</v>
      </c>
      <c r="H422" s="38">
        <f>IF(F422="-",E422*G422*0.01,F422*G422*0.01)</f>
        <v>62.5</v>
      </c>
      <c r="I422" s="38">
        <v>1</v>
      </c>
      <c r="J422" s="38">
        <f t="shared" si="80"/>
        <v>62.5</v>
      </c>
      <c r="K422" s="38">
        <v>714</v>
      </c>
      <c r="L422" s="38">
        <f t="shared" si="74"/>
        <v>44625</v>
      </c>
      <c r="M422" s="38">
        <f t="shared" si="75"/>
        <v>31862250</v>
      </c>
      <c r="N422" s="38">
        <f t="shared" si="76"/>
        <v>32.552083333333336</v>
      </c>
    </row>
    <row r="423" spans="2:14" x14ac:dyDescent="0.35">
      <c r="B423" s="38">
        <v>19</v>
      </c>
      <c r="C423" s="38" t="s">
        <v>350</v>
      </c>
      <c r="D423" s="38" t="s">
        <v>354</v>
      </c>
      <c r="E423" s="38" t="s">
        <v>233</v>
      </c>
      <c r="F423" s="38">
        <v>550</v>
      </c>
      <c r="G423" s="38">
        <v>12</v>
      </c>
      <c r="H423" s="38">
        <f t="shared" ref="H422:H424" si="81">IF(F423="-",E423*G423*0.01,F423*G423*0.01)</f>
        <v>66</v>
      </c>
      <c r="I423" s="38">
        <v>2</v>
      </c>
      <c r="J423" s="38">
        <f t="shared" si="80"/>
        <v>132</v>
      </c>
      <c r="K423" s="38">
        <v>432.5</v>
      </c>
      <c r="L423" s="38">
        <f t="shared" si="74"/>
        <v>57090</v>
      </c>
      <c r="M423" s="38">
        <f t="shared" si="75"/>
        <v>24691425</v>
      </c>
      <c r="N423" s="38">
        <f t="shared" si="76"/>
        <v>16637.5</v>
      </c>
    </row>
    <row r="424" spans="2:14" x14ac:dyDescent="0.35">
      <c r="B424" s="38">
        <v>20</v>
      </c>
      <c r="C424" s="38" t="s">
        <v>351</v>
      </c>
      <c r="D424" s="38" t="s">
        <v>355</v>
      </c>
      <c r="E424" s="38">
        <v>770</v>
      </c>
      <c r="F424" s="38" t="s">
        <v>233</v>
      </c>
      <c r="G424" s="38">
        <v>25</v>
      </c>
      <c r="H424" s="38">
        <f t="shared" si="81"/>
        <v>192.5</v>
      </c>
      <c r="I424" s="38">
        <v>1</v>
      </c>
      <c r="J424" s="38">
        <f t="shared" si="80"/>
        <v>192.5</v>
      </c>
      <c r="K424" s="38">
        <v>405</v>
      </c>
      <c r="L424" s="38">
        <f>J424*K424</f>
        <v>77962.5</v>
      </c>
      <c r="M424" s="38">
        <f t="shared" si="75"/>
        <v>31574812.5</v>
      </c>
      <c r="N424" s="38">
        <f t="shared" si="76"/>
        <v>100.26041666666667</v>
      </c>
    </row>
    <row r="425" spans="2:14" x14ac:dyDescent="0.35">
      <c r="C425" s="38" t="s">
        <v>362</v>
      </c>
      <c r="J425" s="47">
        <f>SUM(J405:J424)</f>
        <v>3763.4</v>
      </c>
      <c r="K425" s="48"/>
      <c r="L425" s="47">
        <f>SUM(L405:L424)</f>
        <v>993245.26199999987</v>
      </c>
      <c r="M425" s="47">
        <f>SUM(M405:M424)</f>
        <v>531031103.53172004</v>
      </c>
      <c r="N425" s="47">
        <f>SUM(N405:N424)</f>
        <v>2173511.5475416663</v>
      </c>
    </row>
    <row r="427" spans="2:14" x14ac:dyDescent="0.35">
      <c r="C427" s="38" t="s">
        <v>363</v>
      </c>
      <c r="D427" s="10" t="s">
        <v>364</v>
      </c>
      <c r="E427" s="3">
        <f>(L425/J425)/100</f>
        <v>2.6392232077376838</v>
      </c>
      <c r="F427" t="s">
        <v>365</v>
      </c>
      <c r="G427" s="3">
        <f>E427/C4</f>
        <v>0.35189642769835783</v>
      </c>
      <c r="H427" t="s">
        <v>366</v>
      </c>
    </row>
    <row r="428" spans="2:14" ht="17.5" x14ac:dyDescent="0.45">
      <c r="C428" s="38" t="s">
        <v>367</v>
      </c>
      <c r="D428" s="10" t="s">
        <v>368</v>
      </c>
      <c r="E428">
        <f>2*(N425+M425-E427^2*J425)</f>
        <v>1066356802.2395946</v>
      </c>
      <c r="F428" t="s">
        <v>365</v>
      </c>
      <c r="G428" s="3">
        <f>E428/E397</f>
        <v>8.8066347516060492</v>
      </c>
      <c r="H428" t="s">
        <v>369</v>
      </c>
    </row>
    <row r="429" spans="2:14" x14ac:dyDescent="0.35">
      <c r="C429" s="38" t="s">
        <v>370</v>
      </c>
    </row>
    <row r="430" spans="2:14" ht="17.5" x14ac:dyDescent="0.45">
      <c r="C430" s="49" t="s">
        <v>371</v>
      </c>
      <c r="D430" s="38" t="s">
        <v>372</v>
      </c>
      <c r="E430" s="44">
        <f>E428/(E427*100)</f>
        <v>4040419.1624006866</v>
      </c>
      <c r="F430" t="s">
        <v>365</v>
      </c>
      <c r="G430" s="3">
        <f>E430/E394</f>
        <v>3.0031454911460509</v>
      </c>
      <c r="H430" s="45" t="s">
        <v>373</v>
      </c>
    </row>
    <row r="431" spans="2:14" ht="17.5" x14ac:dyDescent="0.45">
      <c r="C431" s="49" t="s">
        <v>374</v>
      </c>
      <c r="D431" s="38" t="s">
        <v>375</v>
      </c>
      <c r="E431">
        <f>E428/(C4-E427)/100</f>
        <v>2193799.1555939927</v>
      </c>
      <c r="F431" t="s">
        <v>365</v>
      </c>
      <c r="G431" s="3">
        <f>E431/E385</f>
        <v>1.6305976627156573</v>
      </c>
      <c r="H431" s="45" t="s">
        <v>376</v>
      </c>
    </row>
  </sheetData>
  <mergeCells count="78">
    <mergeCell ref="C403:C404"/>
    <mergeCell ref="B403:B404"/>
    <mergeCell ref="D403:G403"/>
    <mergeCell ref="G330:H330"/>
    <mergeCell ref="G361:H361"/>
    <mergeCell ref="G362:H362"/>
    <mergeCell ref="G363:H363"/>
    <mergeCell ref="G346:H346"/>
    <mergeCell ref="G347:H347"/>
    <mergeCell ref="G348:H348"/>
    <mergeCell ref="G295:H295"/>
    <mergeCell ref="G296:H296"/>
    <mergeCell ref="G297:H297"/>
    <mergeCell ref="G328:H328"/>
    <mergeCell ref="G329:H329"/>
    <mergeCell ref="G308:H308"/>
    <mergeCell ref="G310:H310"/>
    <mergeCell ref="G311:H311"/>
    <mergeCell ref="G309:H309"/>
    <mergeCell ref="G203:H203"/>
    <mergeCell ref="G204:H204"/>
    <mergeCell ref="G178:H178"/>
    <mergeCell ref="G179:H179"/>
    <mergeCell ref="G180:H180"/>
    <mergeCell ref="G192:H192"/>
    <mergeCell ref="G193:H193"/>
    <mergeCell ref="G194:H194"/>
    <mergeCell ref="G202:H202"/>
    <mergeCell ref="B136:C136"/>
    <mergeCell ref="B137:C137"/>
    <mergeCell ref="B138:C138"/>
    <mergeCell ref="B139:C139"/>
    <mergeCell ref="G170:H170"/>
    <mergeCell ref="G168:H168"/>
    <mergeCell ref="G169:H169"/>
    <mergeCell ref="B147:C147"/>
    <mergeCell ref="B140:C140"/>
    <mergeCell ref="B143:C143"/>
    <mergeCell ref="B144:C144"/>
    <mergeCell ref="B145:C145"/>
    <mergeCell ref="B146:C146"/>
    <mergeCell ref="G271:H271"/>
    <mergeCell ref="B119:C119"/>
    <mergeCell ref="B120:C120"/>
    <mergeCell ref="B105:C105"/>
    <mergeCell ref="B114:C114"/>
    <mergeCell ref="B115:C115"/>
    <mergeCell ref="B116:C116"/>
    <mergeCell ref="B117:C117"/>
    <mergeCell ref="B118:C118"/>
    <mergeCell ref="B106:C106"/>
    <mergeCell ref="B108:C108"/>
    <mergeCell ref="B109:C109"/>
    <mergeCell ref="B110:C110"/>
    <mergeCell ref="B111:C111"/>
    <mergeCell ref="B107:C107"/>
    <mergeCell ref="B135:C135"/>
    <mergeCell ref="G229:H229"/>
    <mergeCell ref="G260:H260"/>
    <mergeCell ref="G261:H261"/>
    <mergeCell ref="G262:H262"/>
    <mergeCell ref="G270:H270"/>
    <mergeCell ref="B123:C123"/>
    <mergeCell ref="B151:C151"/>
    <mergeCell ref="B152:C152"/>
    <mergeCell ref="B153:C153"/>
    <mergeCell ref="G272:H272"/>
    <mergeCell ref="B124:C124"/>
    <mergeCell ref="B125:C125"/>
    <mergeCell ref="B126:C126"/>
    <mergeCell ref="B127:C127"/>
    <mergeCell ref="B128:C128"/>
    <mergeCell ref="B129:C129"/>
    <mergeCell ref="G217:H217"/>
    <mergeCell ref="G218:H218"/>
    <mergeCell ref="G219:H219"/>
    <mergeCell ref="G227:H227"/>
    <mergeCell ref="G228:H228"/>
  </mergeCells>
  <phoneticPr fontId="15" type="noConversion"/>
  <dataValidations disablePrompts="1" count="1">
    <dataValidation type="list" allowBlank="1" showInputMessage="1" showErrorMessage="1" sqref="E97" xr:uid="{D71B48FA-3E1E-43F5-8861-5F86CC58F751}">
      <formula1>$T$91:$T$94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Plotnikov</dc:creator>
  <cp:lastModifiedBy>Kirill Plotnikov</cp:lastModifiedBy>
  <dcterms:created xsi:type="dcterms:W3CDTF">2026-09-06T23:22:52Z</dcterms:created>
  <dcterms:modified xsi:type="dcterms:W3CDTF">2026-09-21T08:03:50Z</dcterms:modified>
</cp:coreProperties>
</file>