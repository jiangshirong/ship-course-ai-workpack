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tn\Desktop\"/>
    </mc:Choice>
  </mc:AlternateContent>
  <xr:revisionPtr revIDLastSave="0" documentId="8_{9CE37B0B-9A4A-48A8-9EF0-D54079A8A76A}" xr6:coauthVersionLast="47" xr6:coauthVersionMax="47" xr10:uidLastSave="{00000000-0000-0000-0000-000000000000}"/>
  <bookViews>
    <workbookView xWindow="-110" yWindow="-110" windowWidth="25820" windowHeight="15620" xr2:uid="{967F7315-F6F3-430D-B87C-839C4F86BE9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1" l="1"/>
  <c r="E23" i="1"/>
  <c r="D23" i="1"/>
  <c r="F17" i="1"/>
  <c r="E17" i="1"/>
  <c r="D17" i="1"/>
  <c r="F24" i="1"/>
  <c r="F22" i="1"/>
  <c r="F21" i="1"/>
  <c r="E21" i="1"/>
  <c r="D21" i="1"/>
  <c r="F20" i="1"/>
  <c r="F19" i="1"/>
  <c r="E19" i="1"/>
  <c r="D19" i="1"/>
  <c r="F18" i="1"/>
</calcChain>
</file>

<file path=xl/sharedStrings.xml><?xml version="1.0" encoding="utf-8"?>
<sst xmlns="http://schemas.openxmlformats.org/spreadsheetml/2006/main" count="50" uniqueCount="30">
  <si>
    <t>L, м</t>
  </si>
  <si>
    <t>B, м</t>
  </si>
  <si>
    <t>D, м</t>
  </si>
  <si>
    <t>d, м</t>
  </si>
  <si>
    <t>v, уз</t>
  </si>
  <si>
    <t>С</t>
  </si>
  <si>
    <t>Т</t>
  </si>
  <si>
    <t>СB</t>
  </si>
  <si>
    <t>Ким</t>
  </si>
  <si>
    <t>Настя</t>
  </si>
  <si>
    <t>Печенег</t>
  </si>
  <si>
    <t>Руслан</t>
  </si>
  <si>
    <t>Олег</t>
  </si>
  <si>
    <t>Женя</t>
  </si>
  <si>
    <t>Анатолий</t>
  </si>
  <si>
    <t>Егор</t>
  </si>
  <si>
    <t>Клара</t>
  </si>
  <si>
    <t>Владимир</t>
  </si>
  <si>
    <t>Антон</t>
  </si>
  <si>
    <t>Виктор</t>
  </si>
  <si>
    <t>Марк</t>
  </si>
  <si>
    <t>Иван</t>
  </si>
  <si>
    <t>Боря</t>
  </si>
  <si>
    <t>Паша</t>
  </si>
  <si>
    <t>Денис</t>
  </si>
  <si>
    <t>Василий</t>
  </si>
  <si>
    <t>Леонид</t>
  </si>
  <si>
    <t>Саша</t>
  </si>
  <si>
    <t>Лена</t>
  </si>
  <si>
    <t>Артем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</si>
</sst>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Обычный" xfId="0" builtinId="0"/>
    <cellStyle name="Обычный 2" xfId="1" xr:uid="{20011BF8-0C75-43DD-A10C-05FDCF4086FB}"/>
  </cellStyles>
  <dxfs count="5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B7F0-C832-48B4-81D8-CFCE04EE8E9C}">
  <dimension ref="A2:H26"/>
  <sheetViews>
    <sheetView tabSelected="1" workbookViewId="0">
      <selection activeCell="B25" sqref="B25:H26"/>
    </sheetView>
  </sheetViews>
  <sheetFormatPr defaultRowHeight="14.5" x14ac:dyDescent="0.35"/>
  <cols>
    <col min="1" max="1" width="13.90625" customWidth="1"/>
  </cols>
  <sheetData>
    <row r="2" spans="1:8" x14ac:dyDescent="0.35">
      <c r="C2" t="s">
        <v>0</v>
      </c>
      <c r="D2" t="s">
        <v>1</v>
      </c>
      <c r="E2" t="s">
        <v>2</v>
      </c>
      <c r="F2" t="s">
        <v>3</v>
      </c>
      <c r="G2" t="s">
        <v>7</v>
      </c>
      <c r="H2" t="s">
        <v>4</v>
      </c>
    </row>
    <row r="3" spans="1:8" x14ac:dyDescent="0.35">
      <c r="A3" t="s">
        <v>8</v>
      </c>
      <c r="B3" t="s">
        <v>5</v>
      </c>
      <c r="C3" s="1">
        <v>84.763800083591207</v>
      </c>
      <c r="D3" s="4">
        <v>14.304113911744565</v>
      </c>
      <c r="E3" s="4">
        <v>7.3303552268461205</v>
      </c>
      <c r="F3" s="4">
        <v>5.516528644413615</v>
      </c>
      <c r="G3" s="4">
        <v>0.72100072139580218</v>
      </c>
      <c r="H3" s="3">
        <v>14</v>
      </c>
    </row>
    <row r="4" spans="1:8" x14ac:dyDescent="0.35">
      <c r="A4" t="s">
        <v>9</v>
      </c>
      <c r="B4" t="s">
        <v>6</v>
      </c>
      <c r="C4" s="1">
        <v>132.2996542905114</v>
      </c>
      <c r="D4" s="4">
        <v>23.860219293413802</v>
      </c>
      <c r="E4" s="4">
        <v>14.053832619808503</v>
      </c>
      <c r="F4" s="4">
        <v>8.495053094806007</v>
      </c>
      <c r="G4" s="4">
        <v>0.79158966733919434</v>
      </c>
      <c r="H4" s="3">
        <v>15</v>
      </c>
    </row>
    <row r="5" spans="1:8" x14ac:dyDescent="0.35">
      <c r="A5" t="s">
        <v>10</v>
      </c>
      <c r="B5" t="s">
        <v>5</v>
      </c>
      <c r="C5" s="1">
        <v>109.3703132363886</v>
      </c>
      <c r="D5" s="4">
        <v>17.761329009712597</v>
      </c>
      <c r="E5" s="4">
        <v>9.345628654060226</v>
      </c>
      <c r="F5" s="4">
        <v>6.815752538881318</v>
      </c>
      <c r="G5" s="4">
        <v>0.68075551161190073</v>
      </c>
      <c r="H5" s="3">
        <v>15</v>
      </c>
    </row>
    <row r="6" spans="1:8" x14ac:dyDescent="0.35">
      <c r="A6" t="s">
        <v>11</v>
      </c>
      <c r="B6" t="s">
        <v>6</v>
      </c>
      <c r="C6" s="1">
        <v>124.52510861094169</v>
      </c>
      <c r="D6" s="4">
        <v>22.495009072081359</v>
      </c>
      <c r="E6" s="4">
        <v>13.438088601986582</v>
      </c>
      <c r="F6" s="4">
        <v>8.114877811075047</v>
      </c>
      <c r="G6" s="4">
        <v>0.82760285730305638</v>
      </c>
      <c r="H6" s="3">
        <v>15</v>
      </c>
    </row>
    <row r="7" spans="1:8" x14ac:dyDescent="0.35">
      <c r="A7" t="s">
        <v>12</v>
      </c>
      <c r="B7" t="s">
        <v>5</v>
      </c>
      <c r="C7" s="1">
        <v>91.70159936182921</v>
      </c>
      <c r="D7" s="4">
        <v>15.278874710337005</v>
      </c>
      <c r="E7" s="4">
        <v>7.8985609877338128</v>
      </c>
      <c r="F7" s="4">
        <v>5.882844446304583</v>
      </c>
      <c r="G7" s="4">
        <v>0.69697473955227351</v>
      </c>
      <c r="H7" s="3">
        <v>14</v>
      </c>
    </row>
    <row r="8" spans="1:8" x14ac:dyDescent="0.35">
      <c r="A8" t="s">
        <v>13</v>
      </c>
      <c r="B8" t="s">
        <v>6</v>
      </c>
      <c r="C8" s="1">
        <v>150.44962522192654</v>
      </c>
      <c r="D8" s="4">
        <v>27.047354188970299</v>
      </c>
      <c r="E8" s="4">
        <v>15.491310317576582</v>
      </c>
      <c r="F8" s="4">
        <v>9.3825866733522076</v>
      </c>
      <c r="G8" s="4">
        <v>0.81339522846063605</v>
      </c>
      <c r="H8" s="3">
        <v>15.5</v>
      </c>
    </row>
    <row r="9" spans="1:8" x14ac:dyDescent="0.35">
      <c r="A9" t="s">
        <v>14</v>
      </c>
      <c r="B9" t="s">
        <v>5</v>
      </c>
      <c r="C9" s="1">
        <v>123.17268447477034</v>
      </c>
      <c r="D9" s="4">
        <v>19.700562168705233</v>
      </c>
      <c r="E9" s="4">
        <v>10.476042858483689</v>
      </c>
      <c r="F9" s="4">
        <v>7.5445177402678745</v>
      </c>
      <c r="G9" s="4">
        <v>0.74396786344220445</v>
      </c>
      <c r="H9" s="3">
        <v>16</v>
      </c>
    </row>
    <row r="10" spans="1:8" x14ac:dyDescent="0.35">
      <c r="A10" t="s">
        <v>15</v>
      </c>
      <c r="B10" t="s">
        <v>5</v>
      </c>
      <c r="C10" s="1">
        <v>98</v>
      </c>
      <c r="D10" s="4">
        <v>16.007940128069112</v>
      </c>
      <c r="E10" s="4">
        <v>8.3235464518780091</v>
      </c>
      <c r="F10" s="4">
        <v>6.1568277491960792</v>
      </c>
      <c r="G10" s="4">
        <v>0.68295041079810404</v>
      </c>
      <c r="H10" s="3">
        <v>14.5</v>
      </c>
    </row>
    <row r="11" spans="1:8" x14ac:dyDescent="0.35">
      <c r="A11" t="s">
        <v>16</v>
      </c>
      <c r="B11" t="s">
        <v>6</v>
      </c>
      <c r="C11" s="1">
        <v>160.49533586391195</v>
      </c>
      <c r="D11" s="4">
        <v>28.811380977702939</v>
      </c>
      <c r="E11" s="4">
        <v>16.286930600421826</v>
      </c>
      <c r="F11" s="4">
        <v>9.8738219237452931</v>
      </c>
      <c r="G11" s="4">
        <v>0.81230308022842601</v>
      </c>
      <c r="H11" s="3">
        <v>15.5</v>
      </c>
    </row>
    <row r="12" spans="1:8" x14ac:dyDescent="0.35">
      <c r="A12" t="s">
        <v>17</v>
      </c>
      <c r="B12" t="s">
        <v>6</v>
      </c>
      <c r="C12" s="1">
        <v>141.19072784840455</v>
      </c>
      <c r="D12" s="4">
        <v>25.421491810179838</v>
      </c>
      <c r="E12" s="4">
        <v>14.758005645593641</v>
      </c>
      <c r="F12" s="4">
        <v>8.9298265917869823</v>
      </c>
      <c r="G12" s="4">
        <v>0.77737019411861097</v>
      </c>
      <c r="H12" s="3">
        <v>15</v>
      </c>
    </row>
    <row r="13" spans="1:8" x14ac:dyDescent="0.35">
      <c r="A13" t="s">
        <v>18</v>
      </c>
      <c r="B13" t="s">
        <v>5</v>
      </c>
      <c r="C13" s="1">
        <v>80</v>
      </c>
      <c r="D13" s="4">
        <v>13.434084464786192</v>
      </c>
      <c r="E13" s="4">
        <v>6.823199271644051</v>
      </c>
      <c r="F13" s="4">
        <v>5.1895709590086181</v>
      </c>
      <c r="G13" s="4">
        <v>0.7429692382304629</v>
      </c>
      <c r="H13" s="3">
        <v>14.5</v>
      </c>
    </row>
    <row r="14" spans="1:8" x14ac:dyDescent="0.35">
      <c r="A14" t="s">
        <v>19</v>
      </c>
      <c r="B14" t="s">
        <v>6</v>
      </c>
      <c r="C14" s="1">
        <v>168.51724824145865</v>
      </c>
      <c r="D14" s="4">
        <v>30.220028791200139</v>
      </c>
      <c r="E14" s="4">
        <v>16.922266060723526</v>
      </c>
      <c r="F14" s="4">
        <v>10.266093439007328</v>
      </c>
      <c r="G14" s="4">
        <v>0.80084760086629769</v>
      </c>
      <c r="H14" s="3">
        <v>15</v>
      </c>
    </row>
    <row r="15" spans="1:8" x14ac:dyDescent="0.35">
      <c r="A15" t="s">
        <v>20</v>
      </c>
      <c r="B15" t="s">
        <v>5</v>
      </c>
      <c r="C15" s="1">
        <v>116.09673265917007</v>
      </c>
      <c r="D15" s="4">
        <v>18.706390938613396</v>
      </c>
      <c r="E15" s="4">
        <v>9.8965224047860278</v>
      </c>
      <c r="F15" s="4">
        <v>7.1709074844041805</v>
      </c>
      <c r="G15" s="4">
        <v>0.73227294920089603</v>
      </c>
      <c r="H15" s="3">
        <v>15</v>
      </c>
    </row>
    <row r="16" spans="1:8" x14ac:dyDescent="0.35">
      <c r="A16" t="s">
        <v>21</v>
      </c>
      <c r="B16" t="s">
        <v>5</v>
      </c>
      <c r="C16" s="1">
        <v>101.7308081561614</v>
      </c>
      <c r="D16" s="4">
        <v>16.68797854594068</v>
      </c>
      <c r="E16" s="4">
        <v>8.7199531879896188</v>
      </c>
      <c r="F16" s="4">
        <v>6.4123866706453221</v>
      </c>
      <c r="G16" s="4">
        <v>0.71027825517435816</v>
      </c>
      <c r="H16" s="3">
        <v>14.5</v>
      </c>
    </row>
    <row r="17" spans="1:8" x14ac:dyDescent="0.35">
      <c r="A17" t="s">
        <v>22</v>
      </c>
      <c r="B17" t="s">
        <v>6</v>
      </c>
      <c r="C17" s="3">
        <v>136</v>
      </c>
      <c r="D17" s="2">
        <f>IF(B17="С",0.1405*C17 + 24148,0.1756*C17 + 0.6284)</f>
        <v>24.51</v>
      </c>
      <c r="E17" s="2">
        <f t="shared" ref="E17" si="0">IF(B17="С",0.0819*C17 + 0.3882,0.0792*C17 + 3.5757)</f>
        <v>14.3469</v>
      </c>
      <c r="F17" s="2">
        <f t="shared" ref="F17" si="1">IF(B17="С",0.0528*C17+ 1.041,0.0489*C17+ 2.0256)</f>
        <v>8.6759999999999984</v>
      </c>
      <c r="G17" s="3">
        <v>0.78</v>
      </c>
      <c r="H17" s="3">
        <v>15</v>
      </c>
    </row>
    <row r="18" spans="1:8" x14ac:dyDescent="0.35">
      <c r="A18" t="s">
        <v>23</v>
      </c>
      <c r="B18" t="s">
        <v>5</v>
      </c>
      <c r="C18" s="3">
        <v>97</v>
      </c>
      <c r="D18" s="3">
        <v>17.700000000000003</v>
      </c>
      <c r="E18" s="2">
        <v>8.8181818181818183</v>
      </c>
      <c r="F18" s="2">
        <f t="shared" ref="F18:F26" si="2">E18/1.42</f>
        <v>6.2099871959026895</v>
      </c>
      <c r="G18" s="3">
        <v>0.7</v>
      </c>
      <c r="H18" s="3">
        <v>15</v>
      </c>
    </row>
    <row r="19" spans="1:8" x14ac:dyDescent="0.35">
      <c r="A19" t="s">
        <v>24</v>
      </c>
      <c r="B19" t="s">
        <v>6</v>
      </c>
      <c r="C19" s="3">
        <v>143</v>
      </c>
      <c r="D19" s="2">
        <f t="shared" ref="D19" si="3">IF(B19="С",0.1405*C19 + 2.3948,0.1756*C19 + 0.6284)</f>
        <v>25.7392</v>
      </c>
      <c r="E19" s="2">
        <f t="shared" ref="E19" si="4">IF(B19="С",0.0819*C19 + 0.3882,0.0792*C19 + 3.5757)</f>
        <v>14.901300000000001</v>
      </c>
      <c r="F19" s="2">
        <f t="shared" ref="F19" si="5">IF(B19="С",0.0528*C19+ 1.041,0.0489*C19+ 2.0256)</f>
        <v>9.0183</v>
      </c>
      <c r="G19" s="3">
        <v>0.84</v>
      </c>
      <c r="H19" s="3">
        <v>15</v>
      </c>
    </row>
    <row r="20" spans="1:8" x14ac:dyDescent="0.35">
      <c r="A20" t="s">
        <v>25</v>
      </c>
      <c r="B20" t="s">
        <v>5</v>
      </c>
      <c r="C20" s="3">
        <v>94</v>
      </c>
      <c r="D20" s="3">
        <v>18.399999999999999</v>
      </c>
      <c r="E20" s="2">
        <v>8.545454545454545</v>
      </c>
      <c r="F20" s="2">
        <f t="shared" si="2"/>
        <v>6.0179257362355951</v>
      </c>
      <c r="G20" s="3">
        <v>0.68</v>
      </c>
      <c r="H20" s="3">
        <v>14</v>
      </c>
    </row>
    <row r="21" spans="1:8" x14ac:dyDescent="0.35">
      <c r="A21" t="s">
        <v>26</v>
      </c>
      <c r="B21" t="s">
        <v>6</v>
      </c>
      <c r="C21" s="3">
        <v>139</v>
      </c>
      <c r="D21" s="2">
        <f t="shared" ref="D21" si="6">IF(B21="С",0.1405*C21 + 2.3948,0.1756*C21 + 0.6284)</f>
        <v>25.036799999999999</v>
      </c>
      <c r="E21" s="2">
        <f t="shared" ref="E21" si="7">IF(B21="С",0.0819*C21 + 0.3882,0.0792*C21 + 3.5757)</f>
        <v>14.5845</v>
      </c>
      <c r="F21" s="2">
        <f t="shared" ref="F21" si="8">IF(B21="С",0.0528*C21+ 1.041,0.0489*C21+ 2.0256)</f>
        <v>8.8226999999999993</v>
      </c>
      <c r="G21" s="3">
        <v>0.81</v>
      </c>
      <c r="H21" s="3">
        <v>15.5</v>
      </c>
    </row>
    <row r="22" spans="1:8" x14ac:dyDescent="0.35">
      <c r="A22" t="s">
        <v>27</v>
      </c>
      <c r="B22" t="s">
        <v>5</v>
      </c>
      <c r="C22" s="3">
        <v>86</v>
      </c>
      <c r="D22" s="3">
        <v>14.6</v>
      </c>
      <c r="E22" s="2">
        <v>7.8181818181818183</v>
      </c>
      <c r="F22" s="2">
        <f t="shared" si="2"/>
        <v>5.5057618437900135</v>
      </c>
      <c r="G22" s="3">
        <v>0.69</v>
      </c>
      <c r="H22" s="3">
        <v>16</v>
      </c>
    </row>
    <row r="23" spans="1:8" x14ac:dyDescent="0.35">
      <c r="A23" t="s">
        <v>28</v>
      </c>
      <c r="B23" t="s">
        <v>6</v>
      </c>
      <c r="C23" s="3">
        <v>163</v>
      </c>
      <c r="D23" s="2">
        <f>IF(B23="С",0.1405*C23 + 24148,0.1756*C23 + 0.6284)</f>
        <v>29.251200000000001</v>
      </c>
      <c r="E23" s="2">
        <f t="shared" ref="E23" si="9">IF(B23="С",0.0819*C23 + 0.3882,0.0792*C23 + 3.5757)</f>
        <v>16.485300000000002</v>
      </c>
      <c r="F23" s="2">
        <f t="shared" ref="F23" si="10">IF(B23="С",0.0528*C23+ 1.041,0.0489*C23+ 2.0256)</f>
        <v>9.9962999999999997</v>
      </c>
      <c r="G23" s="3">
        <v>0.82</v>
      </c>
      <c r="H23" s="3">
        <v>14.5</v>
      </c>
    </row>
    <row r="24" spans="1:8" x14ac:dyDescent="0.35">
      <c r="A24" t="s">
        <v>29</v>
      </c>
      <c r="B24" t="s">
        <v>5</v>
      </c>
      <c r="C24" s="3">
        <v>83</v>
      </c>
      <c r="D24" s="3">
        <v>16.3</v>
      </c>
      <c r="E24" s="2">
        <v>7.5454545454545459</v>
      </c>
      <c r="F24" s="2">
        <f t="shared" si="2"/>
        <v>5.31370038412292</v>
      </c>
      <c r="G24" s="3">
        <v>0.68</v>
      </c>
      <c r="H24" s="3">
        <v>15</v>
      </c>
    </row>
    <row r="25" spans="1:8" x14ac:dyDescent="0.35">
      <c r="C25" s="3"/>
      <c r="D25" s="2"/>
      <c r="E25" s="2"/>
      <c r="F25" s="2"/>
      <c r="G25" s="3"/>
      <c r="H25" s="3"/>
    </row>
    <row r="26" spans="1:8" x14ac:dyDescent="0.35">
      <c r="C26" s="3"/>
      <c r="D26" s="3"/>
      <c r="E26" s="2"/>
      <c r="F26" s="2"/>
      <c r="G26" s="3"/>
      <c r="H26" s="3"/>
    </row>
  </sheetData>
  <conditionalFormatting sqref="D19">
    <cfRule type="cellIs" dxfId="49" priority="44" operator="equal">
      <formula>"-"</formula>
    </cfRule>
  </conditionalFormatting>
  <conditionalFormatting sqref="D19">
    <cfRule type="cellIs" dxfId="48" priority="43" operator="equal">
      <formula>"+"</formula>
    </cfRule>
  </conditionalFormatting>
  <conditionalFormatting sqref="E19">
    <cfRule type="cellIs" dxfId="47" priority="42" operator="equal">
      <formula>"-"</formula>
    </cfRule>
  </conditionalFormatting>
  <conditionalFormatting sqref="E19">
    <cfRule type="cellIs" dxfId="46" priority="41" operator="equal">
      <formula>"+"</formula>
    </cfRule>
  </conditionalFormatting>
  <conditionalFormatting sqref="F19">
    <cfRule type="cellIs" dxfId="45" priority="40" operator="equal">
      <formula>"-"</formula>
    </cfRule>
  </conditionalFormatting>
  <conditionalFormatting sqref="F19">
    <cfRule type="cellIs" dxfId="44" priority="39" operator="equal">
      <formula>"+"</formula>
    </cfRule>
  </conditionalFormatting>
  <conditionalFormatting sqref="D21">
    <cfRule type="cellIs" dxfId="43" priority="38" operator="equal">
      <formula>"-"</formula>
    </cfRule>
  </conditionalFormatting>
  <conditionalFormatting sqref="D21">
    <cfRule type="cellIs" dxfId="42" priority="37" operator="equal">
      <formula>"+"</formula>
    </cfRule>
  </conditionalFormatting>
  <conditionalFormatting sqref="E21">
    <cfRule type="cellIs" dxfId="41" priority="36" operator="equal">
      <formula>"-"</formula>
    </cfRule>
  </conditionalFormatting>
  <conditionalFormatting sqref="E21">
    <cfRule type="cellIs" dxfId="40" priority="35" operator="equal">
      <formula>"+"</formula>
    </cfRule>
  </conditionalFormatting>
  <conditionalFormatting sqref="F21">
    <cfRule type="cellIs" dxfId="39" priority="34" operator="equal">
      <formula>"-"</formula>
    </cfRule>
  </conditionalFormatting>
  <conditionalFormatting sqref="F21">
    <cfRule type="cellIs" dxfId="38" priority="33" operator="equal">
      <formula>"+"</formula>
    </cfRule>
  </conditionalFormatting>
  <conditionalFormatting sqref="D17">
    <cfRule type="cellIs" dxfId="23" priority="18" operator="equal">
      <formula>"-"</formula>
    </cfRule>
  </conditionalFormatting>
  <conditionalFormatting sqref="D17">
    <cfRule type="cellIs" dxfId="22" priority="17" operator="equal">
      <formula>"+"</formula>
    </cfRule>
  </conditionalFormatting>
  <conditionalFormatting sqref="E17">
    <cfRule type="cellIs" dxfId="21" priority="16" operator="equal">
      <formula>"-"</formula>
    </cfRule>
  </conditionalFormatting>
  <conditionalFormatting sqref="E17">
    <cfRule type="cellIs" dxfId="20" priority="15" operator="equal">
      <formula>"+"</formula>
    </cfRule>
  </conditionalFormatting>
  <conditionalFormatting sqref="F17">
    <cfRule type="cellIs" dxfId="19" priority="14" operator="equal">
      <formula>"-"</formula>
    </cfRule>
  </conditionalFormatting>
  <conditionalFormatting sqref="F17">
    <cfRule type="cellIs" dxfId="18" priority="13" operator="equal">
      <formula>"+"</formula>
    </cfRule>
  </conditionalFormatting>
  <conditionalFormatting sqref="D23">
    <cfRule type="cellIs" dxfId="17" priority="12" operator="equal">
      <formula>"-"</formula>
    </cfRule>
  </conditionalFormatting>
  <conditionalFormatting sqref="D23">
    <cfRule type="cellIs" dxfId="16" priority="11" operator="equal">
      <formula>"+"</formula>
    </cfRule>
  </conditionalFormatting>
  <conditionalFormatting sqref="E23">
    <cfRule type="cellIs" dxfId="15" priority="10" operator="equal">
      <formula>"-"</formula>
    </cfRule>
  </conditionalFormatting>
  <conditionalFormatting sqref="E23">
    <cfRule type="cellIs" dxfId="14" priority="9" operator="equal">
      <formula>"+"</formula>
    </cfRule>
  </conditionalFormatting>
  <conditionalFormatting sqref="F23">
    <cfRule type="cellIs" dxfId="13" priority="8" operator="equal">
      <formula>"-"</formula>
    </cfRule>
  </conditionalFormatting>
  <conditionalFormatting sqref="F23">
    <cfRule type="cellIs" dxfId="12" priority="7" operator="equal">
      <formula>"+"</formula>
    </cfRule>
  </conditionalFormatting>
  <conditionalFormatting sqref="D25">
    <cfRule type="cellIs" dxfId="5" priority="6" operator="equal">
      <formula>"-"</formula>
    </cfRule>
  </conditionalFormatting>
  <conditionalFormatting sqref="D25">
    <cfRule type="cellIs" dxfId="4" priority="5" operator="equal">
      <formula>"+"</formula>
    </cfRule>
  </conditionalFormatting>
  <conditionalFormatting sqref="E25">
    <cfRule type="cellIs" dxfId="3" priority="4" operator="equal">
      <formula>"-"</formula>
    </cfRule>
  </conditionalFormatting>
  <conditionalFormatting sqref="E25">
    <cfRule type="cellIs" dxfId="2" priority="3" operator="equal">
      <formula>"+"</formula>
    </cfRule>
  </conditionalFormatting>
  <conditionalFormatting sqref="F25">
    <cfRule type="cellIs" dxfId="1" priority="2" operator="equal">
      <formula>"-"</formula>
    </cfRule>
  </conditionalFormatting>
  <conditionalFormatting sqref="F25">
    <cfRule type="cellIs" dxfId="0" priority="1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Plotnikov</dc:creator>
  <cp:lastModifiedBy>Kirill Plotnikov</cp:lastModifiedBy>
  <dcterms:created xsi:type="dcterms:W3CDTF">2026-09-06T23:22:52Z</dcterms:created>
  <dcterms:modified xsi:type="dcterms:W3CDTF">2026-09-07T03:13:19Z</dcterms:modified>
</cp:coreProperties>
</file>