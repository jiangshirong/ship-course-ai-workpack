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dcbc672b5842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одержание" sheetId="1" r:id="R604a1d6705294a97"/>
    <x:sheet xmlns:r="http://schemas.openxmlformats.org/officeDocument/2006/relationships" name="Расчёт листа A" sheetId="2" r:id="Rbf2a7cfb933d4da6"/>
    <x:sheet xmlns:r="http://schemas.openxmlformats.org/officeDocument/2006/relationships" name="Исходные данные" sheetId="3" r:id="R372c58f51da0421c"/>
    <x:sheet xmlns:r="http://schemas.openxmlformats.org/officeDocument/2006/relationships" name="Нагрузки" sheetId="4" r:id="R6dba00810aca4b65"/>
    <x:sheet xmlns:r="http://schemas.openxmlformats.org/officeDocument/2006/relationships" name="Листы" sheetId="5" r:id="R293a0df476f44660"/>
    <x:sheet xmlns:r="http://schemas.openxmlformats.org/officeDocument/2006/relationships" name="Флоры и киль" sheetId="6" r:id="Re3ba5dbaa4dc4b59"/>
    <x:sheet xmlns:r="http://schemas.openxmlformats.org/officeDocument/2006/relationships" name="HP DIN1019" sheetId="7" r:id="R2e449ef533e74014"/>
    <x:sheet xmlns:r="http://schemas.openxmlformats.org/officeDocument/2006/relationships" name="Балки" sheetId="8" r:id="R0e0939585fee4e70"/>
    <x:sheet xmlns:r="http://schemas.openxmlformats.org/officeDocument/2006/relationships" name="Сечения" sheetId="9" r:id="R1b0f020760dc4637"/>
    <x:sheet xmlns:r="http://schemas.openxmlformats.org/officeDocument/2006/relationships" name="Изгиб корпуса" sheetId="10" r:id="R166fff143d9d4d89"/>
    <x:sheet xmlns:r="http://schemas.openxmlformats.org/officeDocument/2006/relationships" name="Эквивалентный брус" sheetId="12" r:id="R7e729da60d6145db"/>
    <x:sheet xmlns:r="http://schemas.openxmlformats.org/officeDocument/2006/relationships" name="Балластные случаи" sheetId="13" r:id="R49752ec6cec9472d"/>
    <x:sheet xmlns:r="http://schemas.openxmlformats.org/officeDocument/2006/relationships" name="Дополнительные связи" sheetId="14" r:id="R0c3a194778fa4d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"/>
    <x:numFmt numFmtId="201" formatCode="0.###"/>
    <x:numFmt numFmtId="202" formatCode="0"/>
    <x:numFmt numFmtId="203" formatCode="#,##0.000"/>
    <x:numFmt numFmtId="204" formatCode="0.000E+00"/>
    <x:numFmt numFmtId="205" formatCode="0.000000E+00"/>
    <x:numFmt numFmtId="206" formatCode="#,##0"/>
  </x:numFmts>
  <x:fonts count="5">
    <x:font>
      <x:sz val="11"/>
      <x:name val="Carlito"/>
    </x:font>
    <x:font>
      <x:sz val="14"/>
      <x:color rgb="FF202124"/>
      <x:name val="Arial"/>
    </x:font>
    <x:font>
      <x:sz val="18"/>
      <x:color rgb="FF202124"/>
      <x:name val="Arial"/>
    </x:font>
    <x:font>
      <x:b/>
      <x:sz val="14"/>
      <x:color rgb="FF202124"/>
      <x:name val="Arial"/>
    </x:font>
    <x:font>
      <x:sz val="14"/>
      <x:color rgb="FF24588A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E8EDF2"/>
      </x:patternFill>
    </x:fill>
    <x:fill>
      <x:patternFill patternType="solid">
        <x:fgColor rgb="FFFFF3D6"/>
      </x:patternFill>
    </x:fill>
    <x:fill>
      <x:patternFill patternType="solid">
        <x:fgColor rgb="FFE8EDF2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E8EDF2"/>
      </x:patternFill>
    </x:fill>
  </x:fills>
  <x:borders count="1">
    <x:border/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3" fillId="4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 wrapText="1"/>
    </x:xf>
    <x:xf numFmtId="206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e1ba6f271d4284" /><Relationship Type="http://schemas.openxmlformats.org/officeDocument/2006/relationships/theme" Target="/xl/theme/theme1.xml" Id="R589fe56c388c46c7" /><Relationship Type="http://schemas.openxmlformats.org/officeDocument/2006/relationships/sharedStrings" Target="/xl/sharedStrings.xml" Id="R6e1923ae767c4509" /><Relationship Type="http://schemas.openxmlformats.org/officeDocument/2006/relationships/worksheet" Target="/xl/worksheets/sheet1.xml" Id="R604a1d6705294a97" /><Relationship Type="http://schemas.openxmlformats.org/officeDocument/2006/relationships/worksheet" Target="/xl/worksheets/sheet2.xml" Id="Rbf2a7cfb933d4da6" /><Relationship Type="http://schemas.openxmlformats.org/officeDocument/2006/relationships/worksheet" Target="/xl/worksheets/sheet3.xml" Id="R372c58f51da0421c" /><Relationship Type="http://schemas.openxmlformats.org/officeDocument/2006/relationships/worksheet" Target="/xl/worksheets/sheet4.xml" Id="R6dba00810aca4b65" /><Relationship Type="http://schemas.openxmlformats.org/officeDocument/2006/relationships/worksheet" Target="/xl/worksheets/sheet5.xml" Id="R293a0df476f44660" /><Relationship Type="http://schemas.openxmlformats.org/officeDocument/2006/relationships/worksheet" Target="/xl/worksheets/sheet6.xml" Id="Re3ba5dbaa4dc4b59" /><Relationship Type="http://schemas.openxmlformats.org/officeDocument/2006/relationships/worksheet" Target="/xl/worksheets/sheet7.xml" Id="R2e449ef533e74014" /><Relationship Type="http://schemas.openxmlformats.org/officeDocument/2006/relationships/worksheet" Target="/xl/worksheets/sheet8.xml" Id="R0e0939585fee4e70" /><Relationship Type="http://schemas.openxmlformats.org/officeDocument/2006/relationships/worksheet" Target="/xl/worksheets/sheet9.xml" Id="R1b0f020760dc4637" /><Relationship Type="http://schemas.openxmlformats.org/officeDocument/2006/relationships/worksheet" Target="/xl/worksheets/sheet10.xml" Id="R166fff143d9d4d89" /><Relationship Type="http://schemas.openxmlformats.org/officeDocument/2006/relationships/worksheet" Target="/xl/worksheets/sheet11.xml" Id="R7e729da60d6145db" /><Relationship Type="http://schemas.openxmlformats.org/officeDocument/2006/relationships/worksheet" Target="/xl/worksheets/sheet12.xml" Id="R49752ec6cec9472d" /><Relationship Type="http://schemas.openxmlformats.org/officeDocument/2006/relationships/worksheet" Target="/xl/worksheets/sheet13.xml" Id="R0c3a194778fa4d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3.1299991607666" hidden="0" customWidth="1"/>
    <x:col min="3" max="3" width="13.130000114440918" hidden="0" customWidth="1"/>
    <x:col min="4" max="4" width="2.5" hidden="0" customWidth="1"/>
  </x:cols>
  <x:sheetData>
    <x:row r="1" ht="44" customHeight="1">
      <x:c r="A1" s="23" t="str">
        <x:v>Настя: расчёт конструкций танкера</x:v>
      </x:c>
      <x:c r="B1" s="24"/>
      <x:c r="C1" s="24"/>
      <x:c r="D1" s="24"/>
    </x:row>
    <x:row r="2" ht="12" customHeight="1">
      <x:c r="A2" s="24"/>
      <x:c r="B2" s="24"/>
      <x:c r="C2" s="24"/>
      <x:c r="D2" s="24"/>
    </x:row>
    <x:row r="3" ht="32" customHeight="1">
      <x:c r="A3" s="24"/>
      <x:c r="B3" s="24"/>
      <x:c r="C3" s="24"/>
      <x:c r="D3" s="24"/>
    </x:row>
    <x:row r="4" ht="44" customHeight="1">
      <x:c r="A4" s="26" t="str">
        <x:v>Параметр</x:v>
      </x:c>
      <x:c r="B4" s="26" t="str">
        <x:v>Принято</x:v>
      </x:c>
      <x:c r="C4" s="26" t="str">
        <x:v>Ед.</x:v>
      </x:c>
      <x:c r="D4" s="28"/>
    </x:row>
    <x:row r="5" ht="44" customHeight="1">
      <x:c r="A5" s="24" t="str">
        <x:v>L</x:v>
      </x:c>
      <x:c r="B5" s="27" t="n">
        <x:f>'Исходные данные'!B8</x:f>
        <x:v>132</x:v>
      </x:c>
      <x:c r="C5" s="24" t="str">
        <x:v>м</x:v>
      </x:c>
      <x:c r="D5" s="29"/>
    </x:row>
    <x:row r="6" ht="44" customHeight="1">
      <x:c r="A6" s="24" t="str">
        <x:v>B</x:v>
      </x:c>
      <x:c r="B6" s="27" t="n">
        <x:f>'Исходные данные'!B9</x:f>
        <x:v>23.9</x:v>
      </x:c>
      <x:c r="C6" s="24" t="str">
        <x:v>м</x:v>
      </x:c>
      <x:c r="D6" s="29"/>
    </x:row>
    <x:row r="7" ht="44" customHeight="1">
      <x:c r="A7" s="24" t="str">
        <x:v>D</x:v>
      </x:c>
      <x:c r="B7" s="27" t="n">
        <x:f>'Исходные данные'!B10</x:f>
        <x:v>14.1</x:v>
      </x:c>
      <x:c r="C7" s="24" t="str">
        <x:v>м</x:v>
      </x:c>
      <x:c r="D7" s="29"/>
    </x:row>
    <x:row r="8" ht="44" customHeight="1">
      <x:c r="A8" s="24" t="str">
        <x:v>d</x:v>
      </x:c>
      <x:c r="B8" s="27" t="n">
        <x:f>'Исходные данные'!B11</x:f>
        <x:v>8.5</x:v>
      </x:c>
      <x:c r="C8" s="24" t="str">
        <x:v>м</x:v>
      </x:c>
      <x:c r="D8" s="29"/>
    </x:row>
    <x:row r="9" ht="44" customHeight="1">
      <x:c r="A9" s="24" t="str">
        <x:v>Cb</x:v>
      </x:c>
      <x:c r="B9" s="27" t="n">
        <x:f>'Исходные данные'!B12</x:f>
        <x:v>0.8</x:v>
      </x:c>
      <x:c r="C9" s="24" t="str">
        <x:v>—</x:v>
      </x:c>
      <x:c r="D9" s="29"/>
    </x:row>
    <x:row r="10" ht="44" customHeight="1">
      <x:c r="A10" s="24" t="str">
        <x:v>v</x:v>
      </x:c>
      <x:c r="B10" s="27" t="n">
        <x:f>'Исходные данные'!B13</x:f>
        <x:v>15</x:v>
      </x:c>
      <x:c r="C10" s="24" t="str">
        <x:v>уз</x:v>
      </x:c>
      <x:c r="D10" s="29"/>
    </x:row>
    <x:row r="11" ht="44" customHeight="1">
      <x:c r="A11" s="24"/>
      <x:c r="B11" s="27"/>
      <x:c r="C11" s="24"/>
      <x:c r="D11" s="29"/>
    </x:row>
    <x:row r="12" ht="44" customHeight="1">
      <x:c r="A12" s="24" t="str">
        <x:v>dB</x:v>
      </x:c>
      <x:c r="B12" s="27" t="n">
        <x:f>'Балластные случаи'!B5</x:f>
        <x:v>4.640000000000001</x:v>
      </x:c>
      <x:c r="C12" s="24" t="str">
        <x:v>m</x:v>
      </x:c>
      <x:c r="D12" s="29"/>
    </x:row>
    <x:row r="13" ht="44" customHeight="1">
      <x:c r="A13" s="24" t="str">
        <x:v>hDB</x:v>
      </x:c>
      <x:c r="B13" s="27" t="n">
        <x:f>'Исходные данные'!B14</x:f>
        <x:v>1.8</x:v>
      </x:c>
      <x:c r="C13" s="24" t="str">
        <x:v>m</x:v>
      </x:c>
      <x:c r="D13" s="29"/>
    </x:row>
    <x:row r="14" ht="44" customHeight="1">
      <x:c r="A14" s="24" t="str">
        <x:v>bDS</x:v>
      </x:c>
      <x:c r="B14" s="27" t="n">
        <x:f>'Исходные данные'!B15</x:f>
        <x:v>2</x:v>
      </x:c>
      <x:c r="C14" s="24" t="str">
        <x:v>m</x:v>
      </x:c>
      <x:c r="D14" s="29"/>
    </x:row>
    <x:row r="15" ht="44" customHeight="1">
      <x:c r="A15" s="24"/>
      <x:c r="B15" s="27"/>
      <x:c r="C15" s="24"/>
      <x:c r="D15" s="29"/>
    </x:row>
    <x:row r="16" ht="44" customHeight="1">
      <x:c r="A16" s="24" t="str">
        <x:v>sA</x:v>
      </x:c>
      <x:c r="B16" s="27" t="n">
        <x:f>'Листы'!D75</x:f>
        <x:v>15</x:v>
      </x:c>
      <x:c r="C16" s="24" t="str">
        <x:v>mm</x:v>
      </x:c>
      <x:c r="D16" s="29"/>
    </x:row>
    <x:row r="17" ht="44" customHeight="1">
      <x:c r="A17" s="24" t="str">
        <x:v>WB/Wreq</x:v>
      </x:c>
      <x:c r="B17" s="27" t="n">
        <x:f>'Изгиб корпуса'!B38</x:f>
        <x:v>2.1785890541623574</x:v>
      </x:c>
      <x:c r="C17" s="24" t="str">
        <x:v>—</x:v>
      </x:c>
      <x:c r="D17" s="29"/>
    </x:row>
    <x:row r="18" ht="44" customHeight="1">
      <x:c r="A18" s="24" t="str">
        <x:v>WD/Wreq</x:v>
      </x:c>
      <x:c r="B18" s="27" t="n">
        <x:f>'Изгиб корпуса'!B39</x:f>
        <x:v>1.3866739565236177</x:v>
      </x:c>
      <x:c r="C18" s="24" t="str">
        <x:v>—</x:v>
      </x:c>
      <x:c r="D18" s="29"/>
    </x:row>
    <x:row r="19" ht="44" customHeight="1">
      <x:c r="A19" s="24"/>
      <x:c r="B19" s="24"/>
      <x:c r="C19" s="24"/>
      <x:c r="D19" s="29"/>
    </x:row>
    <x:row r="20" ht="44" customHeight="1">
      <x:c r="A20" s="24"/>
      <x:c r="B20" s="24"/>
      <x:c r="C20" s="24"/>
      <x:c r="D20" s="29"/>
    </x:row>
    <x:row r="21" ht="44" customHeight="1">
      <x:c r="A21" s="24"/>
      <x:c r="B21" s="24"/>
      <x:c r="C21" s="24"/>
      <x:c r="D21" s="29"/>
    </x:row>
    <x:row r="22" ht="44" customHeight="1">
      <x:c r="A22" s="24"/>
      <x:c r="B22" s="24"/>
      <x:c r="C22" s="24"/>
      <x:c r="D22" s="29"/>
    </x:row>
    <x:row r="23" ht="44" customHeight="1">
      <x:c r="A23" s="24"/>
      <x:c r="B23" s="24"/>
      <x:c r="C23" s="24"/>
      <x:c r="D23" s="29"/>
    </x:row>
    <x:row r="24" ht="44" customHeight="1">
      <x:c r="A24" s="24"/>
      <x:c r="B24" s="24"/>
      <x:c r="C24" s="24"/>
      <x:c r="D24" s="29"/>
    </x:row>
    <x:row r="25" ht="32" customHeight="1">
      <x:c r="A25" s="24"/>
      <x:c r="B25" s="24"/>
      <x:c r="C25" s="24"/>
      <x:c r="D25" s="24"/>
    </x:row>
  </x:sheetData>
  <x:mergeCells>
    <x:mergeCell ref="A2:D2"/>
    <x:mergeCell ref="A20:D21"/>
    <x:mergeCell ref="A23:D24"/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3.1299991607666" hidden="0" customWidth="1"/>
    <x:col min="3" max="3" width="13.130000114440918" hidden="0" customWidth="1"/>
    <x:col min="4" max="4" width="47.5" hidden="0" customWidth="1"/>
  </x:cols>
  <x:sheetData>
    <x:row r="1" ht="42" customHeight="1">
      <x:c r="A1" s="4" t="str">
        <x:v>Лист A днища: нетто-давление и толщина</x:v>
      </x:c>
      <x:c r="B1" s="3"/>
      <x:c r="C1" s="3"/>
      <x:c r="D1" s="3"/>
    </x:row>
    <x:row r="2" ht="27" customHeight="1">
      <x:c r="A2" s="3"/>
      <x:c r="B2" s="3"/>
      <x:c r="C2" s="3"/>
      <x:c r="D2" s="3"/>
    </x:row>
    <x:row r="3" ht="27" customHeight="1">
      <x:c r="A3" s="3"/>
      <x:c r="B3" s="3"/>
      <x:c r="C3" s="3"/>
      <x:c r="D3" s="3"/>
    </x:row>
    <x:row r="4" ht="54" customHeight="1">
      <x:c r="A4" s="6" t="str">
        <x:v>Параметр / шаг</x:v>
      </x:c>
      <x:c r="B4" s="6" t="str">
        <x:v>Значение</x:v>
      </x:c>
      <x:c r="C4" s="6" t="str">
        <x:v>Ед.</x:v>
      </x:c>
      <x:c r="D4" s="6" t="str">
        <x:v>Формула</x:v>
      </x:c>
    </x:row>
    <x:row r="5" ht="50" customHeight="1">
      <x:c r="A5" s="3" t="str">
        <x:v>Шаг продольных балок a</x:v>
      </x:c>
      <x:c r="B5" s="10" t="n">
        <x:f>'Листы'!C13</x:f>
        <x:v>0.7</x:v>
      </x:c>
      <x:c r="C5" s="3" t="str">
        <x:v>m</x:v>
      </x:c>
      <x:c r="D5" s="3" t="str">
        <x:v>MAX(650;700)/1000</x:v>
      </x:c>
    </x:row>
    <x:row r="6" ht="50" customHeight="1">
      <x:c r="A6" s="3" t="str">
        <x:v>Пролёт b</x:v>
      </x:c>
      <x:c r="B6" s="10" t="n">
        <x:f>'Листы'!D13</x:f>
        <x:v>2.25</x:v>
      </x:c>
      <x:c r="C6" s="3" t="str">
        <x:v>m</x:v>
      </x:c>
      <x:c r="D6" s="3" t="str">
        <x:v>3 × 0.75</x:v>
      </x:c>
    </x:row>
    <x:row r="7" ht="50" customHeight="1">
      <x:c r="A7" s="7" t="str">
        <x:v>Расчётное давление p</x:v>
      </x:c>
      <x:c r="B7" s="14" t="n">
        <x:f>'Листы'!E13</x:f>
        <x:v>152.4735628325807</x:v>
      </x:c>
      <x:c r="C7" s="7" t="str">
        <x:v>kPa</x:v>
      </x:c>
      <x:c r="D7" s="7" t="str">
        <x:v>MAX(p внешнее, pнетто балласта)</x:v>
      </x:c>
    </x:row>
    <x:row r="8" ht="50" customHeight="1">
      <x:c r="A8" s="3" t="str">
        <x:v>Коэффициент панели k</x:v>
      </x:c>
      <x:c r="B8" s="10" t="n">
        <x:f>'Листы'!F13</x:f>
        <x:v>1</x:v>
      </x:c>
      <x:c r="C8" s="3" t="str">
        <x:v>—</x:v>
      </x:c>
      <x:c r="D8" s="3" t="str">
        <x:v>MIN(1.2 − 0.5a/b; 1)</x:v>
      </x:c>
    </x:row>
    <x:row r="9" ht="50" customHeight="1">
      <x:c r="A9" s="3" t="str">
        <x:v>Коэффициент kσ</x:v>
      </x:c>
      <x:c r="B9" s="10" t="n">
        <x:f>'Листы'!B44</x:f>
        <x:v>0.6</x:v>
      </x:c>
      <x:c r="C9" s="3" t="str">
        <x:v>—</x:v>
      </x:c>
      <x:c r="D9" s="3" t="str">
        <x:v>0.6</x:v>
      </x:c>
    </x:row>
    <x:row r="10" ht="50" customHeight="1">
      <x:c r="A10" s="3" t="str">
        <x:v>Нормативное напряжение σn</x:v>
      </x:c>
      <x:c r="B10" s="10" t="n">
        <x:f>'Исходные данные'!B35</x:f>
        <x:v>235</x:v>
      </x:c>
      <x:c r="C10" s="3" t="str">
        <x:v>MPa</x:v>
      </x:c>
      <x:c r="D10" s="3" t="str">
        <x:v>235</x:v>
      </x:c>
    </x:row>
    <x:row r="11" ht="50" customHeight="1">
      <x:c r="A11" s="3" t="str">
        <x:v>Скорость коррозии u</x:v>
      </x:c>
      <x:c r="B11" s="10" t="n">
        <x:f>'Листы'!C44</x:f>
        <x:v>0.2</x:v>
      </x:c>
      <x:c r="C11" s="3" t="str">
        <x:v>mm/yr</x:v>
      </x:c>
      <x:c r="D11" s="3" t="str">
        <x:v>0.2</x:v>
      </x:c>
    </x:row>
    <x:row r="12" ht="50" customHeight="1">
      <x:c r="A12" s="3" t="str">
        <x:v>Срок службы</x:v>
      </x:c>
      <x:c r="B12" s="15" t="n">
        <x:f>'Исходные данные'!B31</x:f>
        <x:v>25</x:v>
      </x:c>
      <x:c r="C12" s="3" t="str">
        <x:v>yr</x:v>
      </x:c>
      <x:c r="D12" s="3" t="str">
        <x:v>25</x:v>
      </x:c>
    </x:row>
    <x:row r="13" ht="50" customHeight="1">
      <x:c r="A13" s="3" t="str">
        <x:v>Начало учёта коррозии</x:v>
      </x:c>
      <x:c r="B13" s="15" t="n">
        <x:f>'Исходные данные'!B32</x:f>
        <x:v>12</x:v>
      </x:c>
      <x:c r="C13" s="3" t="str">
        <x:v>yr</x:v>
      </x:c>
      <x:c r="D13" s="3" t="str">
        <x:v>12</x:v>
      </x:c>
    </x:row>
    <x:row r="14" ht="50" customHeight="1">
      <x:c r="A14" s="3" t="str">
        <x:v>Чистая толщина s′</x:v>
      </x:c>
      <x:c r="B14" s="10" t="n">
        <x:f>'Листы'!E44</x:f>
        <x:v>11.501191770040993</x:v>
      </x:c>
      <x:c r="C14" s="3" t="str">
        <x:v>mm</x:v>
      </x:c>
      <x:c r="D14" s="3" t="str">
        <x:v>15.8ak × SQRT(p/(kσ × σn))</x:v>
      </x:c>
    </x:row>
    <x:row r="15" ht="50" customHeight="1">
      <x:c r="A15" s="3" t="str">
        <x:v>Прибавка Δs</x:v>
      </x:c>
      <x:c r="B15" s="10" t="n">
        <x:f>'Листы'!D44</x:f>
        <x:v>2.6</x:v>
      </x:c>
      <x:c r="C15" s="3" t="str">
        <x:v>mm</x:v>
      </x:c>
      <x:c r="D15" s="3" t="str">
        <x:v>u × (25 − 12)</x:v>
      </x:c>
    </x:row>
    <x:row r="16" ht="50" customHeight="1">
      <x:c r="A16" s="3" t="str">
        <x:v>Толщина с прибавкой</x:v>
      </x:c>
      <x:c r="B16" s="10" t="n">
        <x:f>'Листы'!F44</x:f>
        <x:v>14.101191770040993</x:v>
      </x:c>
      <x:c r="C16" s="3" t="str">
        <x:v>mm</x:v>
      </x:c>
      <x:c r="D16" s="3" t="str">
        <x:v>s′ + Δs</x:v>
      </x:c>
    </x:row>
    <x:row r="17" ht="50" customHeight="1">
      <x:c r="A17" s="3" t="str">
        <x:v>Минимум smin</x:v>
      </x:c>
      <x:c r="B17" s="10" t="n">
        <x:f>'Листы'!B75</x:f>
        <x:v>10.780000000000001</x:v>
      </x:c>
      <x:c r="C17" s="3" t="str">
        <x:v>mm</x:v>
      </x:c>
      <x:c r="D17" s="3" t="str">
        <x:v>5.5 + 0.04L</x:v>
      </x:c>
    </x:row>
    <x:row r="18" ht="50" customHeight="1">
      <x:c r="A18" s="3" t="str">
        <x:v>Требуемая sreq</x:v>
      </x:c>
      <x:c r="B18" s="10" t="n">
        <x:f>'Листы'!C75</x:f>
        <x:v>14.5</x:v>
      </x:c>
      <x:c r="C18" s="3" t="str">
        <x:v>mm</x:v>
      </x:c>
      <x:c r="D18" s="3" t="str">
        <x:v>CEILING(MAX(s′+Δs;smin);0.5)</x:v>
      </x:c>
    </x:row>
    <x:row r="19" ht="50" customHeight="1">
      <x:c r="A19" s="7" t="str">
        <x:v>Принятая толщина s</x:v>
      </x:c>
      <x:c r="B19" s="16" t="n">
        <x:f>'Листы'!D75</x:f>
        <x:v>15</x:v>
      </x:c>
      <x:c r="C19" s="7" t="str">
        <x:v>mm</x:v>
      </x:c>
      <x:c r="D19" s="7" t="str">
        <x:v>CEILING(sreq;1)</x:v>
      </x:c>
    </x:row>
    <x:row r="20" ht="32" customHeight="1">
      <x:c r="A20" s="3"/>
      <x:c r="B20" s="3"/>
      <x:c r="C20" s="3"/>
      <x:c r="D20" s="3"/>
    </x:row>
    <x:row r="21" ht="35" customHeight="1">
      <x:c r="A21" s="3"/>
      <x:c r="B21" s="3"/>
      <x:c r="C21" s="3"/>
      <x:c r="D21" s="3"/>
    </x:row>
    <x:row r="22" ht="35" customHeight="1">
      <x:c r="A22" s="3"/>
      <x:c r="B22" s="3"/>
      <x:c r="C22" s="3"/>
      <x:c r="D22" s="3"/>
    </x:row>
    <x:row r="23" ht="32" customHeight="1">
      <x:c r="A23" s="3"/>
      <x:c r="B23" s="3"/>
      <x:c r="C23" s="3"/>
      <x:c r="D23" s="3"/>
    </x:row>
  </x:sheetData>
  <x:mergeCells>
    <x:mergeCell ref="A1:D1"/>
    <x:mergeCell ref="A2:D3"/>
    <x:mergeCell ref="A21:D2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5" hidden="0" customWidth="1"/>
    <x:col min="2" max="2" width="23.1299991607666" hidden="0" customWidth="1"/>
    <x:col min="3" max="3" width="13.130000114440918" hidden="0" customWidth="1"/>
    <x:col min="4" max="4" width="47.5" hidden="0" customWidth="1"/>
  </x:cols>
  <x:sheetData>
    <x:row r="1" ht="42" customHeight="1">
      <x:c r="A1" s="4" t="str">
        <x:v>Исходные данные</x:v>
      </x:c>
      <x:c r="B1" s="3"/>
      <x:c r="C1" s="3"/>
      <x:c r="D1" s="3"/>
    </x:row>
    <x:row r="2" ht="24" customHeight="1">
      <x:c r="A2" s="3"/>
      <x:c r="B2" s="3"/>
      <x:c r="C2" s="3"/>
      <x:c r="D2" s="3"/>
    </x:row>
    <x:row r="3" ht="24" customHeight="1">
      <x:c r="A3" s="3"/>
      <x:c r="B3" s="3"/>
      <x:c r="C3" s="3"/>
      <x:c r="D3" s="3"/>
    </x:row>
    <x:row r="4" ht="32" customHeight="1">
      <x:c r="A4" s="3"/>
      <x:c r="B4" s="3"/>
      <x:c r="C4" s="3"/>
      <x:c r="D4" s="3"/>
    </x:row>
    <x:row r="5" ht="32" customHeight="1">
      <x:c r="A5" s="3"/>
      <x:c r="B5" s="3"/>
      <x:c r="C5" s="3"/>
      <x:c r="D5" s="3"/>
    </x:row>
    <x:row r="6" ht="32" customHeight="1">
      <x:c r="A6" s="3"/>
      <x:c r="B6" s="3"/>
      <x:c r="C6" s="3"/>
      <x:c r="D6" s="3"/>
    </x:row>
    <x:row r="7" ht="54" customHeight="1">
      <x:c r="A7" s="6" t="str">
        <x:v>Параметр</x:v>
      </x:c>
      <x:c r="B7" s="6" t="str">
        <x:v>Значение</x:v>
      </x:c>
      <x:c r="C7" s="6" t="str">
        <x:v>Ед.</x:v>
      </x:c>
      <x:c r="D7" s="28"/>
    </x:row>
    <x:row r="8" ht="32" customHeight="1">
      <x:c r="A8" s="3" t="str">
        <x:v>L</x:v>
      </x:c>
      <x:c r="B8" s="9" t="n">
        <x:v>132</x:v>
      </x:c>
      <x:c r="C8" s="3" t="str">
        <x:v>м</x:v>
      </x:c>
      <x:c r="D8" s="29"/>
    </x:row>
    <x:row r="9" ht="32" customHeight="1">
      <x:c r="A9" s="3" t="str">
        <x:v>B</x:v>
      </x:c>
      <x:c r="B9" s="9" t="n">
        <x:v>23.9</x:v>
      </x:c>
      <x:c r="C9" s="3" t="str">
        <x:v>м</x:v>
      </x:c>
      <x:c r="D9" s="29"/>
    </x:row>
    <x:row r="10" ht="32" customHeight="1">
      <x:c r="A10" s="3" t="str">
        <x:v>D</x:v>
      </x:c>
      <x:c r="B10" s="9" t="n">
        <x:v>14.1</x:v>
      </x:c>
      <x:c r="C10" s="3" t="str">
        <x:v>м</x:v>
      </x:c>
      <x:c r="D10" s="29"/>
    </x:row>
    <x:row r="11" ht="32" customHeight="1">
      <x:c r="A11" s="3" t="str">
        <x:v>d</x:v>
      </x:c>
      <x:c r="B11" s="9" t="n">
        <x:v>8.5</x:v>
      </x:c>
      <x:c r="C11" s="3" t="str">
        <x:v>м</x:v>
      </x:c>
      <x:c r="D11" s="29"/>
    </x:row>
    <x:row r="12" ht="32" customHeight="1">
      <x:c r="A12" s="3" t="str">
        <x:v>Cb</x:v>
      </x:c>
      <x:c r="B12" s="9" t="n">
        <x:v>0.8</x:v>
      </x:c>
      <x:c r="C12" s="3" t="str">
        <x:v>—</x:v>
      </x:c>
      <x:c r="D12" s="29"/>
    </x:row>
    <x:row r="13" ht="32" customHeight="1">
      <x:c r="A13" s="3" t="str">
        <x:v>v</x:v>
      </x:c>
      <x:c r="B13" s="9" t="n">
        <x:v>15</x:v>
      </x:c>
      <x:c r="C13" s="3" t="str">
        <x:v>уз</x:v>
      </x:c>
      <x:c r="D13" s="29"/>
    </x:row>
    <x:row r="14" ht="32" customHeight="1">
      <x:c r="A14" s="3" t="str">
        <x:v>hдд</x:v>
      </x:c>
      <x:c r="B14" s="9" t="n">
        <x:v>1.8</x:v>
      </x:c>
      <x:c r="C14" s="3" t="str">
        <x:v>м</x:v>
      </x:c>
      <x:c r="D14" s="29"/>
    </x:row>
    <x:row r="15" ht="32" customHeight="1">
      <x:c r="A15" s="3" t="str">
        <x:v>bдв.борта</x:v>
      </x:c>
      <x:c r="B15" s="9" t="n">
        <x:v>2</x:v>
      </x:c>
      <x:c r="C15" s="3" t="str">
        <x:v>м</x:v>
      </x:c>
      <x:c r="D15" s="29"/>
    </x:row>
    <x:row r="16" ht="32" customHeight="1">
      <x:c r="A16" s="3" t="str">
        <x:v>R скулы</x:v>
      </x:c>
      <x:c r="B16" s="9" t="n">
        <x:v>1.4</x:v>
      </x:c>
      <x:c r="C16" s="3" t="str">
        <x:v>м</x:v>
      </x:c>
      <x:c r="D16" s="29"/>
    </x:row>
    <x:row r="17" ht="32" customHeight="1">
      <x:c r="A17" s="3" t="str">
        <x:v>Погибь</x:v>
      </x:c>
      <x:c r="B17" s="10" t="n">
        <x:f>0.02*'Исходные данные'!$B$9</x:f>
        <x:v>0.478</x:v>
      </x:c>
      <x:c r="C17" s="3" t="str">
        <x:v>м</x:v>
      </x:c>
      <x:c r="D17" s="29"/>
    </x:row>
    <x:row r="18" ht="32" customHeight="1">
      <x:c r="A18" s="3" t="str">
        <x:v>Шпация</x:v>
      </x:c>
      <x:c r="B18" s="9" t="n">
        <x:v>0.75</x:v>
      </x:c>
      <x:c r="C18" s="3" t="str">
        <x:v>м</x:v>
      </x:c>
      <x:c r="D18" s="29"/>
    </x:row>
    <x:row r="19" ht="32" customHeight="1">
      <x:c r="A19" s="3" t="str">
        <x:v>Шпаций между флорами</x:v>
      </x:c>
      <x:c r="B19" s="9" t="n">
        <x:v>3</x:v>
      </x:c>
      <x:c r="C19" s="3" t="str">
        <x:v>—</x:v>
      </x:c>
      <x:c r="D19" s="29"/>
    </x:row>
    <x:row r="20" ht="32" customHeight="1">
      <x:c r="A20" s="3" t="str">
        <x:v>Пролёт продольной балки</x:v>
      </x:c>
      <x:c r="B20" s="10" t="n">
        <x:f>'Исходные данные'!$B$18*'Исходные данные'!$B$19</x:f>
        <x:v>2.25</x:v>
      </x:c>
      <x:c r="C20" s="3" t="str">
        <x:v>м</x:v>
      </x:c>
      <x:c r="D20" s="29"/>
    </x:row>
    <x:row r="21" ht="32" customHeight="1">
      <x:c r="A21" s="3" t="str">
        <x:v>Число интервалов в полуширине танка</x:v>
      </x:c>
      <x:c r="B21" s="9" t="n">
        <x:v>15</x:v>
      </x:c>
      <x:c r="C21" s="3" t="str">
        <x:v>—</x:v>
      </x:c>
      <x:c r="D21" s="29"/>
    </x:row>
    <x:row r="22" ht="32" customHeight="1">
      <x:c r="A22" s="3" t="str">
        <x:v>Максимальный шаг a</x:v>
      </x:c>
      <x:c r="B22" s="10" t="n">
        <x:v>0.7</x:v>
      </x:c>
      <x:c r="C22" s="3" t="str">
        <x:v>м</x:v>
      </x:c>
      <x:c r="D22" s="29"/>
    </x:row>
    <x:row r="23" ht="32" customHeight="1">
      <x:c r="A23" s="3" t="str">
        <x:v>Платформа 1</x:v>
      </x:c>
      <x:c r="B23" s="9" t="n">
        <x:v>4.8</x:v>
      </x:c>
      <x:c r="C23" s="3" t="str">
        <x:v>м</x:v>
      </x:c>
      <x:c r="D23" s="29"/>
    </x:row>
    <x:row r="24" ht="32" customHeight="1">
      <x:c r="A24" s="3" t="str">
        <x:v>Платформа 2</x:v>
      </x:c>
      <x:c r="B24" s="9" t="n">
        <x:v>7.9</x:v>
      </x:c>
      <x:c r="C24" s="3" t="str">
        <x:v>м</x:v>
      </x:c>
      <x:c r="D24" s="29"/>
    </x:row>
    <x:row r="25" ht="32" customHeight="1">
      <x:c r="A25" s="3" t="str">
        <x:v>Платформа 3</x:v>
      </x:c>
      <x:c r="B25" s="9" t="n">
        <x:v>11</x:v>
      </x:c>
      <x:c r="C25" s="3" t="str">
        <x:v>м</x:v>
      </x:c>
      <x:c r="D25" s="29"/>
    </x:row>
    <x:row r="26" ht="32" customHeight="1">
      <x:c r="A26" s="3" t="str">
        <x:v>Длина танка</x:v>
      </x:c>
      <x:c r="B26" s="9" t="n">
        <x:v>15.5</x:v>
      </x:c>
      <x:c r="C26" s="3" t="str">
        <x:v>м</x:v>
      </x:c>
      <x:c r="D26" s="29"/>
    </x:row>
    <x:row r="27" ht="52" customHeight="1">
      <x:c r="A27" s="3" t="str">
        <x:v>Расчётная ширина цистерны</x:v>
      </x:c>
      <x:c r="B27" s="10" t="n">
        <x:f>'Балластные случаи'!B7</x:f>
        <x:v>11.95</x:v>
      </x:c>
      <x:c r="C27" s="3" t="str">
        <x:v>м</x:v>
      </x:c>
      <x:c r="D27" s="29"/>
    </x:row>
    <x:row r="28" ht="32" customHeight="1">
      <x:c r="A28" s="3" t="str">
        <x:v>ρ</x:v>
      </x:c>
      <x:c r="B28" s="9" t="n">
        <x:v>1.025</x:v>
      </x:c>
      <x:c r="C28" s="3" t="str">
        <x:v>т/м3</x:v>
      </x:c>
      <x:c r="D28" s="29"/>
    </x:row>
    <x:row r="29" ht="32" customHeight="1">
      <x:c r="A29" s="3" t="str">
        <x:v>Δz воздушной трубы</x:v>
      </x:c>
      <x:c r="B29" s="9" t="n">
        <x:v>2.5</x:v>
      </x:c>
      <x:c r="C29" s="3" t="str">
        <x:v>м</x:v>
      </x:c>
      <x:c r="D29" s="29"/>
    </x:row>
    <x:row r="30" ht="32" customHeight="1">
      <x:c r="A30" s="3" t="str">
        <x:v>p клапана</x:v>
      </x:c>
      <x:c r="B30" s="9" t="n">
        <x:v>25</x:v>
      </x:c>
      <x:c r="C30" s="3" t="str">
        <x:v>кПа</x:v>
      </x:c>
      <x:c r="D30" s="29"/>
    </x:row>
    <x:row r="31" ht="32" customHeight="1">
      <x:c r="A31" s="3" t="str">
        <x:v>Срок службы</x:v>
      </x:c>
      <x:c r="B31" s="9" t="n">
        <x:v>25</x:v>
      </x:c>
      <x:c r="C31" s="3" t="str">
        <x:v>лет</x:v>
      </x:c>
      <x:c r="D31" s="29"/>
    </x:row>
    <x:row r="32" ht="32" customHeight="1">
      <x:c r="A32" s="3" t="str">
        <x:v>Начало учёта коррозии</x:v>
      </x:c>
      <x:c r="B32" s="9" t="n">
        <x:v>12</x:v>
      </x:c>
      <x:c r="C32" s="3" t="str">
        <x:v>лет</x:v>
      </x:c>
      <x:c r="D32" s="29"/>
    </x:row>
    <x:row r="33" ht="32" customHeight="1">
      <x:c r="A33" s="3" t="str">
        <x:v>ReH</x:v>
      </x:c>
      <x:c r="B33" s="9" t="n">
        <x:v>235</x:v>
      </x:c>
      <x:c r="C33" s="3" t="str">
        <x:v>МПа</x:v>
      </x:c>
      <x:c r="D33" s="29"/>
    </x:row>
    <x:row r="34" ht="32" customHeight="1">
      <x:c r="A34" s="3" t="str">
        <x:v>η</x:v>
      </x:c>
      <x:c r="B34" s="9" t="n">
        <x:v>1</x:v>
      </x:c>
      <x:c r="C34" s="3" t="str">
        <x:v>—</x:v>
      </x:c>
      <x:c r="D34" s="29"/>
    </x:row>
    <x:row r="35" ht="32" customHeight="1">
      <x:c r="A35" s="3" t="str">
        <x:v>σn</x:v>
      </x:c>
      <x:c r="B35" s="10" t="n">
        <x:f>235/'Исходные данные'!$B$34</x:f>
        <x:v>235</x:v>
      </x:c>
      <x:c r="C35" s="3" t="str">
        <x:v>МПа</x:v>
      </x:c>
      <x:c r="D35" s="29"/>
    </x:row>
    <x:row r="36" ht="32" customHeight="1">
      <x:c r="A36" s="3" t="str">
        <x:v>ax</x:v>
      </x:c>
      <x:c r="B36" s="9" t="n">
        <x:v>0.267</x:v>
      </x:c>
      <x:c r="C36" s="3" t="str">
        <x:v>—</x:v>
      </x:c>
      <x:c r="D36" s="29"/>
    </x:row>
    <x:row r="37" ht="32" customHeight="1">
      <x:c r="A37" s="3" t="str">
        <x:v>avax</x:v>
      </x:c>
      <x:c r="B37" s="9" t="n">
        <x:v>0.6</x:v>
      </x:c>
      <x:c r="C37" s="3" t="str">
        <x:v>—</x:v>
      </x:c>
      <x:c r="D37" s="29"/>
    </x:row>
    <x:row r="38" ht="32" customHeight="1">
      <x:c r="A38" s="3" t="str">
        <x:v>g</x:v>
      </x:c>
      <x:c r="B38" s="9" t="n">
        <x:v>9.81</x:v>
      </x:c>
      <x:c r="C38" s="3" t="str">
        <x:v>м/с2</x:v>
      </x:c>
      <x:c r="D38" s="29"/>
    </x:row>
    <x:row r="39" ht="32" customHeight="1">
      <x:c r="A39" s="3" t="str">
        <x:v>Cm для оценки R</x:v>
      </x:c>
      <x:c r="B39" s="9" t="n">
        <x:v>0.996</x:v>
      </x:c>
      <x:c r="C39" s="3" t="str">
        <x:v>—</x:v>
      </x:c>
      <x:c r="D39" s="29"/>
    </x:row>
    <x:row r="40" ht="32" customHeight="1">
      <x:c r="A40" s="3" t="str">
        <x:v>R расчётный</x:v>
      </x:c>
      <x:c r="B40" s="10" t="n">
        <x:f>1.527*('Исходные данные'!$B$9*'Исходные данные'!$B$11*(1-'Исходные данные'!$B$39))^0.5</x:f>
        <x:v>1.3765038995222647</x:v>
      </x:c>
      <x:c r="C40" s="3" t="str">
        <x:v>м</x:v>
      </x:c>
      <x:c r="D40" s="29"/>
    </x:row>
    <x:row r="41" ht="32" customHeight="1">
      <x:c r="A41" s="3" t="str">
        <x:v>hдд по Правилам</x:v>
      </x:c>
      <x:c r="B41" s="10" t="n">
        <x:f>('Исходные данные'!$B$8-40)/570+0.04*'Исходные данные'!$B$9+3.5*'Исходные данные'!$B$11/'Исходные данные'!$B$8</x:f>
        <x:v>1.3427822966507177</x:v>
      </x:c>
      <x:c r="C41" s="3" t="str">
        <x:v>м</x:v>
      </x:c>
      <x:c r="D41" s="29"/>
    </x:row>
    <x:row r="42" ht="32" customHeight="1">
      <x:c r="A42" s="3" t="str">
        <x:v>hдд минимальная</x:v>
      </x:c>
      <x:c r="B42" s="10" t="n">
        <x:f>MAX('Исходные данные'!$B$9/15,'Исходные данные'!$B$41,1)</x:f>
        <x:v>1.5933333333333333</x:v>
      </x:c>
      <x:c r="C42" s="3" t="str">
        <x:v>м</x:v>
      </x:c>
      <x:c r="D42" s="29"/>
    </x:row>
    <x:row r="43" ht="32" customHeight="1">
      <x:c r="A43" s="3" t="str">
        <x:v>Водоизмещение</x:v>
      </x:c>
      <x:c r="B43" s="10" t="n">
        <x:f>1.025*'Исходные данные'!$B$8*'Исходные данные'!$B$9*'Исходные данные'!$B$11*'Исходные данные'!$B$12</x:f>
        <x:v>21988.956</x:v>
      </x:c>
      <x:c r="C43" s="3" t="str">
        <x:v>т</x:v>
      </x:c>
      <x:c r="D43" s="29"/>
    </x:row>
    <x:row r="44" ht="32" customHeight="1">
      <x:c r="A44" s="3" t="str">
        <x:v>Коэффициент массы</x:v>
      </x:c>
      <x:c r="B44" s="10" t="n">
        <x:f>6.05*'Исходные данные'!$B$8^-0.66</x:f>
        <x:v>0.24108854728202728</x:v>
      </x:c>
      <x:c r="C44" s="3" t="str">
        <x:v>—</x:v>
      </x:c>
      <x:c r="D44" s="29"/>
    </x:row>
    <x:row r="45" ht="32" customHeight="1">
      <x:c r="A45" s="3" t="str">
        <x:v>Дедвейт</x:v>
      </x:c>
      <x:c r="B45" s="10" t="n">
        <x:f>'Исходные данные'!$B$43*(1-'Исходные данные'!$B$44)</x:f>
        <x:v>16687.67054171158</x:v>
      </x:c>
      <x:c r="C45" s="3" t="str">
        <x:v>т</x:v>
      </x:c>
      <x:c r="D45" s="29"/>
    </x:row>
    <x:row r="46" ht="32" customHeight="1">
      <x:c r="A46" s="3" t="str">
        <x:v>bдв.борта минимальная</x:v>
      </x:c>
      <x:c r="B46" s="10" t="n">
        <x:f>MAX(1,0.5+'Исходные данные'!$B$45/20000)</x:f>
        <x:v>1.334383527085579</x:v>
      </x:c>
      <x:c r="C46" s="3" t="str">
        <x:v>м</x:v>
      </x:c>
      <x:c r="D46" s="29"/>
    </x:row>
    <x:row r="47" ht="32" customHeight="1">
      <x:c r="A47" s="3" t="str">
        <x:v>Проверка hдд</x:v>
      </x:c>
      <x:c r="B47" s="10" t="str">
        <x:f>IF('Исходные данные'!$B$14&gt;='Исходные данные'!$B$42,"Выполнено","Недостаточно")</x:f>
        <x:v>Выполнено</x:v>
      </x:c>
      <x:c r="C47" s="3"/>
      <x:c r="D47" s="29"/>
    </x:row>
    <x:row r="48" ht="32" customHeight="1">
      <x:c r="A48" s="3" t="str">
        <x:v>Проверка двойного борта</x:v>
      </x:c>
      <x:c r="B48" s="10" t="str">
        <x:f>IF('Исходные данные'!$B$15&gt;='Исходные данные'!$B$46,"Выполнено","Недостаточно")</x:f>
        <x:v>Выполнено</x:v>
      </x:c>
      <x:c r="C48" s="3"/>
      <x:c r="D48" s="29"/>
    </x:row>
    <x:row r="49" ht="32" customHeight="1">
      <x:c r="A49" s="3" t="str">
        <x:v>Ширина киля / ширстрека</x:v>
      </x:c>
      <x:c r="B49" s="10" t="n">
        <x:f>(800+5*'Исходные данные'!$B$8)/1000</x:f>
        <x:v>1.46</x:v>
      </x:c>
      <x:c r="C49" s="3" t="str">
        <x:v>м</x:v>
      </x:c>
      <x:c r="D49" s="29"/>
    </x:row>
    <x:row r="50" ht="32" customHeight="1">
      <x:c r="A50" s="3" t="str">
        <x:v>Верх цистерны для нагрузки</x:v>
      </x:c>
      <x:c r="B50" s="10" t="n">
        <x:f>'Исходные данные'!$B$10+'Исходные данные'!$B$17</x:f>
        <x:v>14.578</x:v>
      </x:c>
      <x:c r="C50" s="3" t="str">
        <x:v>м</x:v>
      </x:c>
      <x:c r="D50" s="29"/>
    </x:row>
    <x:row r="51" ht="32" customHeight="1">
      <x:c r="A51" s="3" t="str">
        <x:v>k1 флора</x:v>
      </x:c>
      <x:c r="B51" s="9" t="n">
        <x:v>1.45</x:v>
      </x:c>
      <x:c r="C51" s="3" t="str">
        <x:v>—</x:v>
      </x:c>
      <x:c r="D51" s="29"/>
    </x:row>
    <x:row r="52" ht="32" customHeight="1">
      <x:c r="A52" s="3" t="str">
        <x:v>k2 флора</x:v>
      </x:c>
      <x:c r="B52" s="9" t="n">
        <x:v>0.93</x:v>
      </x:c>
      <x:c r="C52" s="3" t="str">
        <x:v>—</x:v>
      </x:c>
      <x:c r="D52" s="29"/>
    </x:row>
    <x:row r="53" ht="32" customHeight="1">
      <x:c r="A53" s="3"/>
      <x:c r="B53" s="3"/>
      <x:c r="C53" s="3"/>
      <x:c r="D53" s="3"/>
    </x:row>
  </x:sheetData>
  <x:mergeCells>
    <x:mergeCell ref="A1:D1"/>
    <x:mergeCell ref="A2:D3"/>
    <x:mergeCell ref="A5:D5"/>
    <x:mergeCell ref="A6:D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42" customHeight="1">
      <x:c r="A1" s="4" t="str">
        <x:v>Нагрузки</x:v>
      </x:c>
      <x:c r="B1" s="3"/>
      <x:c r="C1" s="3"/>
      <x:c r="D1" s="3"/>
      <x:c r="E1" s="3"/>
      <x:c r="F1" s="3"/>
    </x:row>
    <x:row r="2" ht="24" customHeight="1">
      <x:c r="A2" s="7"/>
      <x:c r="B2" s="7"/>
      <x:c r="C2" s="7"/>
      <x:c r="D2" s="7"/>
      <x:c r="E2" s="7"/>
      <x:c r="F2" s="7"/>
    </x:row>
    <x:row r="3" ht="24" customHeight="1">
      <x:c r="A3" s="7"/>
      <x:c r="B3" s="7"/>
      <x:c r="C3" s="7"/>
      <x:c r="D3" s="7"/>
      <x:c r="E3" s="7"/>
      <x:c r="F3" s="7"/>
    </x:row>
    <x:row r="4" ht="32" customHeight="1">
      <x:c r="A4" s="3"/>
      <x:c r="B4" s="3"/>
      <x:c r="C4" s="3"/>
      <x:c r="D4" s="3"/>
      <x:c r="E4" s="3"/>
      <x:c r="F4" s="3"/>
    </x:row>
    <x:row r="5" ht="32" customHeight="1">
      <x:c r="A5" s="3"/>
      <x:c r="B5" s="3"/>
      <x:c r="C5" s="3"/>
      <x:c r="D5" s="3"/>
      <x:c r="E5" s="3"/>
      <x:c r="F5" s="3"/>
    </x:row>
    <x:row r="6" ht="32" customHeight="1">
      <x:c r="A6" s="3" t="str">
        <x:v>cW</x:v>
      </x:c>
      <x:c r="B6" s="10" t="n">
        <x:f>IF('Исходные данные'!$B$8&lt;=90,0.0856*'Исходные данные'!$B$8,10.75-((300-'Исходные данные'!$B$8)/100)^1.5)</x:f>
        <x:v>8.572471125334959</x:v>
      </x:c>
      <x:c r="C6" s="3"/>
      <x:c r="D6" s="3"/>
      <x:c r="E6" s="3"/>
      <x:c r="F6" s="3"/>
    </x:row>
    <x:row r="7" ht="32" customHeight="1">
      <x:c r="A7" s="3" t="str">
        <x:v>pw0</x:v>
      </x:c>
      <x:c r="B7" s="10" t="n">
        <x:f>5*'Нагрузки'!$B$6*'Исходные данные'!$B$37</x:f>
        <x:v>25.717413376004874</x:v>
      </x:c>
      <x:c r="C7" s="3"/>
      <x:c r="D7" s="3"/>
      <x:c r="E7" s="3"/>
      <x:c r="F7" s="3"/>
    </x:row>
    <x:row r="8" ht="32" customHeight="1">
      <x:c r="A8" s="3" t="str">
        <x:v>az</x:v>
      </x:c>
      <x:c r="B8" s="10" t="n">
        <x:f>'Исходные данные'!$B$38*0.9/'Исходные данные'!$B$8^0.333</x:f>
        <x:v>1.7368423404283715</x:v>
      </x:c>
      <x:c r="C8" s="3"/>
      <x:c r="D8" s="3"/>
      <x:c r="E8" s="3"/>
      <x:c r="F8" s="3"/>
    </x:row>
    <x:row r="9" ht="32" customHeight="1">
      <x:c r="A9" s="3" t="str">
        <x:v>θ</x:v>
      </x:c>
      <x:c r="B9" s="10" t="n">
        <x:f>0.6/(1+0.5*'Исходные данные'!$B$8*10^-2)</x:f>
        <x:v>0.36144578313253006</x:v>
      </x:c>
      <x:c r="C9" s="3"/>
      <x:c r="D9" s="3"/>
      <x:c r="E9" s="3"/>
      <x:c r="F9" s="3"/>
    </x:row>
    <x:row r="10" ht="32" customHeight="1">
      <x:c r="A10" s="3" t="str">
        <x:v>ψ</x:v>
      </x:c>
      <x:c r="B10" s="10" t="n">
        <x:f>0.23/(1+'Исходные данные'!$B$8*10^-2)</x:f>
        <x:v>0.09913793103448275</x:v>
      </x:c>
      <x:c r="C10" s="3"/>
      <x:c r="D10" s="3"/>
      <x:c r="E10" s="3"/>
      <x:c r="F10" s="3"/>
    </x:row>
    <x:row r="11" ht="32" customHeight="1">
      <x:c r="A11" s="3"/>
      <x:c r="B11" s="3"/>
      <x:c r="C11" s="3"/>
      <x:c r="D11" s="3"/>
      <x:c r="E11" s="3"/>
      <x:c r="F11" s="3"/>
    </x:row>
    <x:row r="12" ht="32" customHeight="1">
      <x:c r="A12" s="3"/>
      <x:c r="B12" s="3"/>
      <x:c r="C12" s="3"/>
      <x:c r="D12" s="3"/>
      <x:c r="E12" s="3"/>
      <x:c r="F12" s="3"/>
    </x:row>
    <x:row r="13" ht="32" customHeight="1">
      <x:c r="A13" s="3"/>
      <x:c r="B13" s="3"/>
      <x:c r="C13" s="3"/>
      <x:c r="D13" s="3"/>
      <x:c r="E13" s="3"/>
      <x:c r="F13" s="3"/>
    </x:row>
    <x:row r="14" ht="32" customHeight="1">
      <x:c r="A14" s="3"/>
      <x:c r="B14" s="3"/>
      <x:c r="C14" s="3"/>
      <x:c r="D14" s="3"/>
      <x:c r="E14" s="3"/>
      <x:c r="F14" s="3"/>
    </x:row>
    <x:row r="15" ht="36" customHeight="1">
      <x:c r="A15" s="11" t="str">
        <x:v>1. Высота и давление моря</x:v>
      </x:c>
      <x:c r="B15" s="11"/>
      <x:c r="C15" s="11"/>
      <x:c r="D15" s="11"/>
      <x:c r="E15" s="11"/>
      <x:c r="F15" s="11"/>
    </x:row>
    <x:row r="16" ht="54" customHeight="1">
      <x:c r="A16" s="6" t="str">
        <x:v>Точка</x:v>
      </x:c>
      <x:c r="B16" s="6" t="str">
        <x:v>z, м</x:v>
      </x:c>
      <x:c r="C16" s="6" t="str">
        <x:v>pст, кПа</x:v>
      </x:c>
      <x:c r="D16" s="6" t="str">
        <x:v>pв, кПа</x:v>
      </x:c>
      <x:c r="E16" s="6" t="str">
        <x:v>pморе</x:v>
      </x:c>
      <x:c r="F16" s="6" t="str">
        <x:v>h балласта, м</x:v>
      </x:c>
    </x:row>
    <x:row r="17" ht="32" customHeight="1">
      <x:c r="A17" s="3" t="str">
        <x:v>Днище</x:v>
      </x:c>
      <x:c r="B17" s="9" t="n">
        <x:v>0</x:v>
      </x:c>
      <x:c r="C17" s="10" t="n">
        <x:f>10*MAX('Исходные данные'!$B$11-'Нагрузки'!$B$17,0)</x:f>
        <x:v>85</x:v>
      </x:c>
      <x:c r="D17" s="10" t="n">
        <x:f>MAX(0,IF('Нагрузки'!$B$17&lt;='Исходные данные'!$B$11,'Нагрузки'!$B$7-1.5*'Нагрузки'!$B$6*('Исходные данные'!$B$11-'Нагрузки'!$B$17)/'Исходные данные'!$B$11,'Нагрузки'!$B$7-7.5*'Исходные данные'!$B$36*('Нагрузки'!$B$17-'Исходные данные'!$B$11)))</x:f>
        <x:v>12.858706688002435</x:v>
      </x:c>
      <x:c r="E17" s="10" t="n">
        <x:f>'Нагрузки'!$C$17+'Нагрузки'!$D$17</x:f>
        <x:v>97.85870668800243</x:v>
      </x:c>
      <x:c r="F17" s="10" t="n">
        <x:f>MAX('Балластные случаи'!B9-'Нагрузки'!B17,0)</x:f>
        <x:v>14.18</x:v>
      </x:c>
    </x:row>
    <x:row r="18" ht="32" customHeight="1">
      <x:c r="A18" s="3" t="str">
        <x:v>Второе дно</x:v>
      </x:c>
      <x:c r="B18" s="10" t="n">
        <x:f>'Исходные данные'!B14</x:f>
        <x:v>1.8</x:v>
      </x:c>
      <x:c r="C18" s="10" t="n">
        <x:f>10*MAX('Исходные данные'!$B$11-'Нагрузки'!$B$18,0)</x:f>
        <x:v>67</x:v>
      </x:c>
      <x:c r="D18" s="10" t="n">
        <x:f>MAX(0,IF('Нагрузки'!$B$18&lt;='Исходные данные'!$B$11,'Нагрузки'!$B$7-1.5*'Нагрузки'!$B$6*('Исходные данные'!$B$11-'Нагрузки'!$B$18)/'Исходные данные'!$B$11,'Нагрузки'!$B$7-7.5*'Исходные данные'!$B$36*('Нагрузки'!$B$18-'Исходные данные'!$B$11)))</x:f>
        <x:v>15.581726927814717</x:v>
      </x:c>
      <x:c r="E18" s="10" t="n">
        <x:f>'Нагрузки'!$C$18+'Нагрузки'!$D$18</x:f>
        <x:v>82.58172692781471</x:v>
      </x:c>
      <x:c r="F18" s="10" t="n">
        <x:f>MAX('Балластные случаи'!B9-'Нагрузки'!B18,0)</x:f>
        <x:v>12.379999999999999</x:v>
      </x:c>
    </x:row>
    <x:row r="19" ht="32" customHeight="1">
      <x:c r="A19" s="3" t="str">
        <x:v>Верхняя палуба</x:v>
      </x:c>
      <x:c r="B19" s="10" t="n">
        <x:f>'Исходные данные'!B10</x:f>
        <x:v>14.1</x:v>
      </x:c>
      <x:c r="C19" s="10" t="n">
        <x:f>10*MAX('Исходные данные'!$B$11-'Нагрузки'!$B$19,0)</x:f>
        <x:v>0</x:v>
      </x:c>
      <x:c r="D19" s="10" t="n">
        <x:f>MAX(0,IF('Нагрузки'!$B$19&lt;='Исходные данные'!$B$11,'Нагрузки'!$B$7-1.5*'Нагрузки'!$B$6*('Исходные данные'!$B$11-'Нагрузки'!$B$19)/'Исходные данные'!$B$11,'Нагрузки'!$B$7-7.5*'Исходные данные'!$B$36*('Нагрузки'!$B$19-'Исходные данные'!$B$11)))</x:f>
        <x:v>14.503413376004875</x:v>
      </x:c>
      <x:c r="E19" s="10" t="n">
        <x:f>'Нагрузки'!$C$19+'Нагрузки'!$D$19</x:f>
        <x:v>14.503413376004875</x:v>
      </x:c>
      <x:c r="F19" s="10" t="n">
        <x:f>MAX('Балластные случаи'!B9-'Нагрузки'!B19,0)</x:f>
        <x:v>0.08000000000000007</x:v>
      </x:c>
    </x:row>
    <x:row r="20" ht="32" customHeight="1">
      <x:c r="A20" s="3" t="str">
        <x:v>Обшивка F</x:v>
      </x:c>
      <x:c r="B20" s="9" t="n">
        <x:f>'Эквивалентный брус'!F19/100</x:f>
        <x:v>0.15997258920232318</x:v>
      </x:c>
      <x:c r="C20" s="10" t="n">
        <x:f>10*MAX('Исходные данные'!$B$11-'Нагрузки'!$B$20,0)</x:f>
        <x:v>83.40027410797676</x:v>
      </x:c>
      <x:c r="D20" s="10" t="n">
        <x:f>MAX(0,IF('Нагрузки'!$B$20&lt;='Исходные данные'!$B$11,'Нагрузки'!$B$7-1.5*'Нагрузки'!$B$6*('Исходные данные'!$B$11-'Нагрузки'!$B$20)/'Исходные данные'!$B$11,'Нагрузки'!$B$7-7.5*'Исходные данные'!$B$36*('Нагрузки'!$B$20-'Исходные данные'!$B$11)))</x:f>
        <x:v>13.100711464787492</x:v>
      </x:c>
      <x:c r="E20" s="10" t="n">
        <x:f>'Нагрузки'!$C$20+'Нагрузки'!$D$20</x:f>
        <x:v>96.50098557276425</x:v>
      </x:c>
      <x:c r="F20" s="10" t="n">
        <x:f>MAX('Балластные случаи'!B9-'Нагрузки'!B20,0)</x:f>
        <x:v>14.020027410797676</x:v>
      </x:c>
    </x:row>
    <x:row r="21" ht="32" customHeight="1">
      <x:c r="A21" s="3" t="str">
        <x:v>Обшивка G</x:v>
      </x:c>
      <x:c r="B21" s="9" t="n">
        <x:f>'Эквивалентный брус'!F20/100</x:f>
        <x:v>0.9125498842484754</x:v>
      </x:c>
      <x:c r="C21" s="10" t="n">
        <x:f>10*MAX('Исходные данные'!$B$11-'Нагрузки'!$B$21,0)</x:f>
        <x:v>75.87450115751524</x:v>
      </x:c>
      <x:c r="D21" s="10" t="n">
        <x:f>MAX(0,IF('Нагрузки'!$B$21&lt;='Исходные данные'!$B$11,'Нагрузки'!$B$7-1.5*'Нагрузки'!$B$6*('Исходные данные'!$B$11-'Нагрузки'!$B$21)/'Исходные данные'!$B$11,'Нагрузки'!$B$7-7.5*'Исходные данные'!$B$36*('Нагрузки'!$B$21-'Исходные данные'!$B$11)))</x:f>
        <x:v>14.23920213502852</x:v>
      </x:c>
      <x:c r="E21" s="10" t="n">
        <x:f>'Нагрузки'!$C$21+'Нагрузки'!$D$21</x:f>
        <x:v>90.11370329254376</x:v>
      </x:c>
      <x:c r="F21" s="10" t="n">
        <x:f>MAX('Балластные случаи'!B9-'Нагрузки'!B21,0)</x:f>
        <x:v>13.267450115751524</x:v>
      </x:c>
    </x:row>
    <x:row r="22" ht="32" customHeight="1">
      <x:c r="A22" s="3" t="str">
        <x:v>Обшивка H</x:v>
      </x:c>
      <x:c r="B22" s="9" t="n">
        <x:f>'Эквивалентный брус'!F22/100</x:f>
        <x:v>3.1808851424871465</x:v>
      </x:c>
      <x:c r="C22" s="10" t="n">
        <x:f>10*MAX('Исходные данные'!$B$11-'Нагрузки'!$B$22,0)</x:f>
        <x:v>53.19114857512854</x:v>
      </x:c>
      <x:c r="D22" s="10" t="n">
        <x:f>MAX(0,IF('Нагрузки'!$B$22&lt;='Исходные данные'!$B$11,'Нагрузки'!$B$7-1.5*'Нагрузки'!$B$6*('Исходные данные'!$B$11-'Нагрузки'!$B$22)/'Исходные данные'!$B$11,'Нагрузки'!$B$7-7.5*'Исходные данные'!$B$36*('Нагрузки'!$B$22-'Исходные данные'!$B$11)))</x:f>
        <x:v>17.670714812175028</x:v>
      </x:c>
      <x:c r="E22" s="10" t="n">
        <x:f>'Нагрузки'!$C$22+'Нагрузки'!$D$22</x:f>
        <x:v>70.86186338730357</x:v>
      </x:c>
      <x:c r="F22" s="10" t="n">
        <x:f>MAX('Балластные случаи'!B9-'Нагрузки'!B22,0)</x:f>
        <x:v>10.999114857512854</x:v>
      </x:c>
    </x:row>
    <x:row r="23" ht="32" customHeight="1">
      <x:c r="A23" s="3" t="str">
        <x:v>Обшивка I</x:v>
      </x:c>
      <x:c r="B23" s="9" t="n">
        <x:f>'Эквивалентный брус'!F23/100</x:f>
        <x:v>4.780885142487147</x:v>
      </x:c>
      <x:c r="C23" s="10" t="n">
        <x:f>10*MAX('Исходные данные'!$B$11-'Нагрузки'!$B$23,0)</x:f>
        <x:v>37.19114857512853</x:v>
      </x:c>
      <x:c r="D23" s="10" t="n">
        <x:f>MAX(0,IF('Нагрузки'!$B$23&lt;='Исходные данные'!$B$11,'Нагрузки'!$B$7-1.5*'Нагрузки'!$B$6*('Исходные данные'!$B$11-'Нагрузки'!$B$23)/'Исходные данные'!$B$11,'Нагрузки'!$B$7-7.5*'Исходные данные'!$B$36*('Нагрузки'!$B$23-'Исходные данные'!$B$11)))</x:f>
        <x:v>20.091177247563728</x:v>
      </x:c>
      <x:c r="E23" s="10" t="n">
        <x:f>'Нагрузки'!$C$23+'Нагрузки'!$D$23</x:f>
        <x:v>57.28232582269226</x:v>
      </x:c>
      <x:c r="F23" s="10" t="n">
        <x:f>MAX('Балластные случаи'!B9-'Нагрузки'!B23,0)</x:f>
        <x:v>9.399114857512853</x:v>
      </x:c>
    </x:row>
    <x:row r="24" ht="32" customHeight="1">
      <x:c r="A24" s="3" t="str">
        <x:v>Обшивка J</x:v>
      </x:c>
      <x:c r="B24" s="9" t="n">
        <x:f>'Эквивалентный брус'!F24/100</x:f>
        <x:v>6.380885142487147</x:v>
      </x:c>
      <x:c r="C24" s="10" t="n">
        <x:f>10*MAX('Исходные данные'!$B$11-'Нагрузки'!$B$24,0)</x:f>
        <x:v>21.191148575128533</x:v>
      </x:c>
      <x:c r="D24" s="10" t="n">
        <x:f>MAX(0,IF('Нагрузки'!$B$24&lt;='Исходные данные'!$B$11,'Нагрузки'!$B$7-1.5*'Нагрузки'!$B$6*('Исходные данные'!$B$11-'Нагрузки'!$B$24)/'Исходные данные'!$B$11,'Нагрузки'!$B$7-7.5*'Исходные данные'!$B$36*('Нагрузки'!$B$24-'Исходные данные'!$B$11)))</x:f>
        <x:v>22.51163968295242</x:v>
      </x:c>
      <x:c r="E24" s="10" t="n">
        <x:f>'Нагрузки'!$C$24+'Нагрузки'!$D$24</x:f>
        <x:v>43.70278825808096</x:v>
      </x:c>
      <x:c r="F24" s="10" t="n">
        <x:f>MAX('Балластные случаи'!B9-'Нагрузки'!B24,0)</x:f>
        <x:v>7.799114857512853</x:v>
      </x:c>
    </x:row>
    <x:row r="25" ht="32" customHeight="1">
      <x:c r="A25" s="3" t="str">
        <x:v>Обшивка K</x:v>
      </x:c>
      <x:c r="B25" s="9" t="n">
        <x:f>'Эквивалентный брус'!F25/100</x:f>
        <x:v>7.980885142487146</x:v>
      </x:c>
      <x:c r="C25" s="10" t="n">
        <x:f>10*MAX('Исходные данные'!$B$11-'Нагрузки'!$B$25,0)</x:f>
        <x:v>5.191148575128537</x:v>
      </x:c>
      <x:c r="D25" s="10" t="n">
        <x:f>MAX(0,IF('Нагрузки'!$B$25&lt;='Исходные данные'!$B$11,'Нагрузки'!$B$7-1.5*'Нагрузки'!$B$6*('Исходные данные'!$B$11-'Нагрузки'!$B$25)/'Исходные данные'!$B$11,'Нагрузки'!$B$7-7.5*'Исходные данные'!$B$36*('Нагрузки'!$B$25-'Исходные данные'!$B$11)))</x:f>
        <x:v>24.932102118341113</x:v>
      </x:c>
      <x:c r="E25" s="10" t="n">
        <x:f>'Нагрузки'!$C$25+'Нагрузки'!$D$25</x:f>
        <x:v>30.12325069346965</x:v>
      </x:c>
      <x:c r="F25" s="10" t="n">
        <x:f>MAX('Балластные случаи'!B9-'Нагрузки'!B25,0)</x:f>
        <x:v>6.199114857512853</x:v>
      </x:c>
    </x:row>
    <x:row r="26" ht="32" customHeight="1">
      <x:c r="A26" s="3" t="str">
        <x:v>Обшивка L</x:v>
      </x:c>
      <x:c r="B26" s="9" t="n">
        <x:f>'Эквивалентный брус'!F26/100</x:f>
        <x:v>9.580885142487146</x:v>
      </x:c>
      <x:c r="C26" s="10" t="n">
        <x:f>10*MAX('Исходные данные'!$B$11-'Нагрузки'!$B$26,0)</x:f>
        <x:v>0</x:v>
      </x:c>
      <x:c r="D26" s="10" t="n">
        <x:f>MAX(0,IF('Нагрузки'!$B$26&lt;='Исходные данные'!$B$11,'Нагрузки'!$B$7-1.5*'Нагрузки'!$B$6*('Исходные данные'!$B$11-'Нагрузки'!$B$26)/'Исходные данные'!$B$11,'Нагрузки'!$B$7-7.5*'Исходные данные'!$B$36*('Нагрузки'!$B$26-'Исходные данные'!$B$11)))</x:f>
        <x:v>23.552940878174365</x:v>
      </x:c>
      <x:c r="E26" s="10" t="n">
        <x:f>'Нагрузки'!$C$26+'Нагрузки'!$D$26</x:f>
        <x:v>23.552940878174365</x:v>
      </x:c>
      <x:c r="F26" s="10" t="n">
        <x:f>MAX('Балластные случаи'!B9-'Нагрузки'!B26,0)</x:f>
        <x:v>4.599114857512854</x:v>
      </x:c>
    </x:row>
    <x:row r="27" ht="32" customHeight="1">
      <x:c r="A27" s="3" t="str">
        <x:v>Обшивка M</x:v>
      </x:c>
      <x:c r="B27" s="9" t="n">
        <x:f>'Эквивалентный брус'!F27/100</x:f>
        <x:v>10.94566385686536</x:v>
      </x:c>
      <x:c r="C27" s="10" t="n">
        <x:f>10*MAX('Исходные данные'!$B$11-'Нагрузки'!$B$27,0)</x:f>
        <x:v>0</x:v>
      </x:c>
      <x:c r="D27" s="10" t="n">
        <x:f>MAX(0,IF('Нагрузки'!$B$27&lt;='Исходные данные'!$B$11,'Нагрузки'!$B$7-1.5*'Нагрузки'!$B$6*('Исходные данные'!$B$11-'Нагрузки'!$B$27)/'Исходные данные'!$B$11,'Нагрузки'!$B$7-7.5*'Исходные данные'!$B$36*('Нагрузки'!$B$27-'Исходные данные'!$B$11)))</x:f>
        <x:v>20.81997150263199</x:v>
      </x:c>
      <x:c r="E27" s="10" t="n">
        <x:f>'Нагрузки'!$C$27+'Нагрузки'!$D$27</x:f>
        <x:v>20.81997150263199</x:v>
      </x:c>
      <x:c r="F27" s="10" t="n">
        <x:f>MAX('Балластные случаи'!B9-'Нагрузки'!B27,0)</x:f>
        <x:v>3.234336143134639</x:v>
      </x:c>
    </x:row>
    <x:row r="28" ht="32" customHeight="1">
      <x:c r="A28" s="3" t="str">
        <x:v>Обшивка N</x:v>
      </x:c>
      <x:c r="B28" s="9" t="n">
        <x:f>'Эквивалентный брус'!F28/100</x:f>
        <x:v>12.075221285621787</x:v>
      </x:c>
      <x:c r="C28" s="10" t="n">
        <x:f>10*MAX('Исходные данные'!$B$11-'Нагрузки'!$B$28,0)</x:f>
        <x:v>0</x:v>
      </x:c>
      <x:c r="D28" s="10" t="n">
        <x:f>MAX(0,IF('Нагрузки'!$B$28&lt;='Исходные данные'!$B$11,'Нагрузки'!$B$7-1.5*'Нагрузки'!$B$6*('Исходные данные'!$B$11-'Нагрузки'!$B$28)/'Исходные данные'!$B$11,'Нагрузки'!$B$7-7.5*'Исходные данные'!$B$36*('Нагрузки'!$B$28-'Исходные данные'!$B$11)))</x:f>
        <x:v>18.558032751547245</x:v>
      </x:c>
      <x:c r="E28" s="10" t="n">
        <x:f>'Нагрузки'!$C$28+'Нагрузки'!$D$28</x:f>
        <x:v>18.558032751547245</x:v>
      </x:c>
      <x:c r="F28" s="10" t="n">
        <x:f>MAX('Балластные случаи'!B9-'Нагрузки'!B28,0)</x:f>
        <x:v>2.104778714378213</x:v>
      </x:c>
    </x:row>
    <x:row r="29" ht="32" customHeight="1">
      <x:c r="A29" s="3" t="str">
        <x:v>Обшивка SH</x:v>
      </x:c>
      <x:c r="B29" s="9" t="n">
        <x:f>'Эквивалентный брус'!F29/100</x:f>
        <x:v>13.37</x:v>
      </x:c>
      <x:c r="C29" s="10" t="n">
        <x:f>10*MAX('Исходные данные'!$B$11-'Нагрузки'!$B$29,0)</x:f>
        <x:v>0</x:v>
      </x:c>
      <x:c r="D29" s="10" t="n">
        <x:f>MAX(0,IF('Нагрузки'!$B$29&lt;='Исходные данные'!$B$11,'Нагрузки'!$B$7-1.5*'Нагрузки'!$B$6*('Исходные данные'!$B$11-'Нагрузки'!$B$29)/'Исходные данные'!$B$11,'Нагрузки'!$B$7-7.5*'Исходные данные'!$B$36*('Нагрузки'!$B$29-'Исходные данные'!$B$11)))</x:f>
        <x:v>15.965238376004876</x:v>
      </x:c>
      <x:c r="E29" s="10" t="n">
        <x:f>'Нагрузки'!$C$29+'Нагрузки'!$D$29</x:f>
        <x:v>15.965238376004876</x:v>
      </x:c>
      <x:c r="F29" s="10" t="n">
        <x:f>MAX('Балластные случаи'!B9-'Нагрузки'!B29,0)</x:f>
        <x:v>0.8100000000000005</x:v>
      </x:c>
    </x:row>
    <x:row r="30" ht="32" customHeight="1">
      <x:c r="A30" s="3" t="str">
        <x:v>ISG</x:v>
      </x:c>
      <x:c r="B30" s="9" t="n">
        <x:f>'Эквивалентный брус'!F33/100</x:f>
        <x:v>2.65</x:v>
      </x:c>
      <x:c r="C30" s="10" t="n">
        <x:f>10*MAX('Исходные данные'!$B$11-'Нагрузки'!$B$30,0)</x:f>
        <x:v>58.5</x:v>
      </x:c>
      <x:c r="D30" s="10" t="n">
        <x:f>MAX(0,IF('Нагрузки'!$B$30&lt;='Исходные данные'!$B$11,'Нагрузки'!$B$7-1.5*'Нагрузки'!$B$6*('Исходные данные'!$B$11-'Нагрузки'!$B$30)/'Исходные данные'!$B$11,'Нагрузки'!$B$7-7.5*'Исходные данные'!$B$36*('Нагрузки'!$B$30-'Исходные данные'!$B$11)))</x:f>
        <x:v>16.86759759661496</x:v>
      </x:c>
      <x:c r="E30" s="10" t="n">
        <x:f>'Нагрузки'!$C$30+'Нагрузки'!$D$30</x:f>
        <x:v>75.36759759661496</x:v>
      </x:c>
      <x:c r="F30" s="10" t="n">
        <x:f>MAX('Балластные случаи'!B9-'Нагрузки'!B30,0)</x:f>
        <x:v>11.53</x:v>
      </x:c>
    </x:row>
    <x:row r="31" ht="32" customHeight="1">
      <x:c r="A31" s="3" t="str">
        <x:v>ISF</x:v>
      </x:c>
      <x:c r="B31" s="9" t="n">
        <x:f>'Эквивалентный брус'!F34/100</x:f>
        <x:v>4.35</x:v>
      </x:c>
      <x:c r="C31" s="10" t="n">
        <x:f>10*MAX('Исходные данные'!$B$11-'Нагрузки'!$B$31,0)</x:f>
        <x:v>41.5</x:v>
      </x:c>
      <x:c r="D31" s="10" t="n">
        <x:f>MAX(0,IF('Нагрузки'!$B$31&lt;='Исходные данные'!$B$11,'Нагрузки'!$B$7-1.5*'Нагрузки'!$B$6*('Исходные данные'!$B$11-'Нагрузки'!$B$31)/'Исходные данные'!$B$11,'Нагрузки'!$B$7-7.5*'Исходные данные'!$B$36*('Нагрузки'!$B$31-'Исходные данные'!$B$11)))</x:f>
        <x:v>19.43933893421545</x:v>
      </x:c>
      <x:c r="E31" s="10" t="n">
        <x:f>'Нагрузки'!$C$31+'Нагрузки'!$D$31</x:f>
        <x:v>60.93933893421545</x:v>
      </x:c>
      <x:c r="F31" s="10" t="n">
        <x:f>MAX('Балластные случаи'!B9-'Нагрузки'!B31,0)</x:f>
        <x:v>9.83</x:v>
      </x:c>
    </x:row>
    <x:row r="32" ht="32" customHeight="1">
      <x:c r="A32" s="3" t="str">
        <x:v>ISE</x:v>
      </x:c>
      <x:c r="B32" s="9" t="n">
        <x:f>'Эквивалентный брус'!F35/100</x:f>
        <x:v>6.05</x:v>
      </x:c>
      <x:c r="C32" s="10" t="n">
        <x:f>10*MAX('Исходные данные'!$B$11-'Нагрузки'!$B$32,0)</x:f>
        <x:v>24.5</x:v>
      </x:c>
      <x:c r="D32" s="10" t="n">
        <x:f>MAX(0,IF('Нагрузки'!$B$32&lt;='Исходные данные'!$B$11,'Нагрузки'!$B$7-1.5*'Нагрузки'!$B$6*('Исходные данные'!$B$11-'Нагрузки'!$B$32)/'Исходные данные'!$B$11,'Нагрузки'!$B$7-7.5*'Исходные данные'!$B$36*('Нагрузки'!$B$32-'Исходные данные'!$B$11)))</x:f>
        <x:v>22.011080271815935</x:v>
      </x:c>
      <x:c r="E32" s="10" t="n">
        <x:f>'Нагрузки'!$C$32+'Нагрузки'!$D$32</x:f>
        <x:v>46.511080271815935</x:v>
      </x:c>
      <x:c r="F32" s="10" t="n">
        <x:f>MAX('Балластные случаи'!B9-'Нагрузки'!B32,0)</x:f>
        <x:v>8.129999999999999</x:v>
      </x:c>
    </x:row>
    <x:row r="33" ht="32" customHeight="1">
      <x:c r="A33" s="3" t="str">
        <x:v>ISD</x:v>
      </x:c>
      <x:c r="B33" s="9" t="n">
        <x:f>'Эквивалентный брус'!F36/100</x:f>
        <x:v>7.75</x:v>
      </x:c>
      <x:c r="C33" s="10" t="n">
        <x:f>10*MAX('Исходные данные'!$B$11-'Нагрузки'!$B$33,0)</x:f>
        <x:v>7.5</x:v>
      </x:c>
      <x:c r="D33" s="10" t="n">
        <x:f>MAX(0,IF('Нагрузки'!$B$33&lt;='Исходные данные'!$B$11,'Нагрузки'!$B$7-1.5*'Нагрузки'!$B$6*('Исходные данные'!$B$11-'Нагрузки'!$B$33)/'Исходные данные'!$B$11,'Нагрузки'!$B$7-7.5*'Исходные данные'!$B$36*('Нагрузки'!$B$33-'Исходные данные'!$B$11)))</x:f>
        <x:v>24.582821609416424</x:v>
      </x:c>
      <x:c r="E33" s="10" t="n">
        <x:f>'Нагрузки'!$C$33+'Нагрузки'!$D$33</x:f>
        <x:v>32.08282160941643</x:v>
      </x:c>
      <x:c r="F33" s="10" t="n">
        <x:f>MAX('Балластные случаи'!B9-'Нагрузки'!B33,0)</x:f>
        <x:v>6.43</x:v>
      </x:c>
    </x:row>
    <x:row r="34" ht="32" customHeight="1">
      <x:c r="A34" s="3" t="str">
        <x:v>ISC</x:v>
      </x:c>
      <x:c r="B34" s="9" t="n">
        <x:f>'Эквивалентный брус'!F37/100</x:f>
        <x:v>9.45</x:v>
      </x:c>
      <x:c r="C34" s="10" t="n">
        <x:f>10*MAX('Исходные данные'!$B$11-'Нагрузки'!$B$34,0)</x:f>
        <x:v>0</x:v>
      </x:c>
      <x:c r="D34" s="10" t="n">
        <x:f>MAX(0,IF('Нагрузки'!$B$34&lt;='Исходные данные'!$B$11,'Нагрузки'!$B$7-1.5*'Нагрузки'!$B$6*('Исходные данные'!$B$11-'Нагрузки'!$B$34)/'Исходные данные'!$B$11,'Нагрузки'!$B$7-7.5*'Исходные данные'!$B$36*('Нагрузки'!$B$34-'Исходные данные'!$B$11)))</x:f>
        <x:v>23.815038376004875</x:v>
      </x:c>
      <x:c r="E34" s="10" t="n">
        <x:f>'Нагрузки'!$C$34+'Нагрузки'!$D$34</x:f>
        <x:v>23.815038376004875</x:v>
      </x:c>
      <x:c r="F34" s="10" t="n">
        <x:f>MAX('Балластные случаи'!B9-'Нагрузки'!B34,0)</x:f>
        <x:v>4.73</x:v>
      </x:c>
    </x:row>
    <x:row r="35" ht="32" customHeight="1">
      <x:c r="A35" s="3" t="str">
        <x:v>ISB</x:v>
      </x:c>
      <x:c r="B35" s="9" t="n">
        <x:f>'Эквивалентный брус'!F38/100</x:f>
        <x:v>11.15</x:v>
      </x:c>
      <x:c r="C35" s="10" t="n">
        <x:f>10*MAX('Исходные данные'!$B$11-'Нагрузки'!$B$35,0)</x:f>
        <x:v>0</x:v>
      </x:c>
      <x:c r="D35" s="10" t="n">
        <x:f>MAX(0,IF('Нагрузки'!$B$35&lt;='Исходные данные'!$B$11,'Нагрузки'!$B$7-1.5*'Нагрузки'!$B$6*('Исходные данные'!$B$11-'Нагрузки'!$B$35)/'Исходные данные'!$B$11,'Нагрузки'!$B$7-7.5*'Исходные данные'!$B$36*('Нагрузки'!$B$35-'Исходные данные'!$B$11)))</x:f>
        <x:v>20.410788376004874</x:v>
      </x:c>
      <x:c r="E35" s="10" t="n">
        <x:f>'Нагрузки'!$C$35+'Нагрузки'!$D$35</x:f>
        <x:v>20.410788376004874</x:v>
      </x:c>
      <x:c r="F35" s="10" t="n">
        <x:f>MAX('Балластные случаи'!B9-'Нагрузки'!B35,0)</x:f>
        <x:v>3.0299999999999994</x:v>
      </x:c>
    </x:row>
    <x:row r="36" ht="32" customHeight="1">
      <x:c r="A36" s="3" t="str">
        <x:v>ISA</x:v>
      </x:c>
      <x:c r="B36" s="9" t="n">
        <x:f>'Эквивалентный брус'!F39/100</x:f>
        <x:v>13.09</x:v>
      </x:c>
      <x:c r="C36" s="10" t="n">
        <x:f>10*MAX('Исходные данные'!$B$11-'Нагрузки'!$B$36,0)</x:f>
        <x:v>0</x:v>
      </x:c>
      <x:c r="D36" s="10" t="n">
        <x:f>MAX(0,IF('Нагрузки'!$B$36&lt;='Исходные данные'!$B$11,'Нагрузки'!$B$7-1.5*'Нагрузки'!$B$6*('Исходные данные'!$B$11-'Нагрузки'!$B$36)/'Исходные данные'!$B$11,'Нагрузки'!$B$7-7.5*'Исходные данные'!$B$36*('Нагрузки'!$B$36-'Исходные данные'!$B$11)))</x:f>
        <x:v>16.525938376004873</x:v>
      </x:c>
      <x:c r="E36" s="10" t="n">
        <x:f>'Нагрузки'!$C$36+'Нагрузки'!$D$36</x:f>
        <x:v>16.525938376004873</x:v>
      </x:c>
      <x:c r="F36" s="10" t="n">
        <x:f>MAX('Балластные случаи'!B9-'Нагрузки'!B36,0)</x:f>
        <x:v>1.0899999999999999</x:v>
      </x:c>
    </x:row>
    <x:row r="37" ht="32" customHeight="1">
      <x:c r="A37" s="3" t="str">
        <x:v>OF1</x:v>
      </x:c>
      <x:c r="B37" s="9" t="n">
        <x:f>('Исходные данные'!B14+'Исходные данные'!B23)/2</x:f>
        <x:v>3.3</x:v>
      </x:c>
      <x:c r="C37" s="10" t="n">
        <x:f>10*MAX('Исходные данные'!$B$11-'Нагрузки'!$B$37,0)</x:f>
        <x:v>52</x:v>
      </x:c>
      <x:c r="D37" s="10" t="n">
        <x:f>MAX(0,IF('Нагрузки'!$B$37&lt;='Исходные данные'!$B$11,'Нагрузки'!$B$7-1.5*'Нагрузки'!$B$6*('Исходные данные'!$B$11-'Нагрузки'!$B$37)/'Исходные данные'!$B$11,'Нагрузки'!$B$7-7.5*'Исходные данные'!$B$36*('Нагрузки'!$B$37-'Исходные данные'!$B$11)))</x:f>
        <x:v>17.850910460991617</x:v>
      </x:c>
      <x:c r="E37" s="10" t="n">
        <x:f>'Нагрузки'!$C$37+'Нагрузки'!$D$37</x:f>
        <x:v>69.85091046099161</x:v>
      </x:c>
      <x:c r="F37" s="10" t="n">
        <x:f>MAX('Балластные случаи'!B9-'Нагрузки'!B37,0)</x:f>
        <x:v>10.879999999999999</x:v>
      </x:c>
    </x:row>
    <x:row r="38" ht="32" customHeight="1">
      <x:c r="A38" s="3" t="str">
        <x:v>OF2</x:v>
      </x:c>
      <x:c r="B38" s="9" t="n">
        <x:f>('Исходные данные'!B23+'Исходные данные'!B24)/2</x:f>
        <x:v>6.35</x:v>
      </x:c>
      <x:c r="C38" s="10" t="n">
        <x:f>10*MAX('Исходные данные'!$B$11-'Нагрузки'!$B$38,0)</x:f>
        <x:v>21.500000000000004</x:v>
      </x:c>
      <x:c r="D38" s="10" t="n">
        <x:f>MAX(0,IF('Нагрузки'!$B$38&lt;='Исходные данные'!$B$11,'Нагрузки'!$B$7-1.5*'Нагрузки'!$B$6*('Исходные данные'!$B$11-'Нагрузки'!$B$38)/'Исходные данные'!$B$11,'Нагрузки'!$B$7-7.5*'Исходные данные'!$B$36*('Нагрузки'!$B$38-'Исходные данные'!$B$11)))</x:f>
        <x:v>22.464916978451313</x:v>
      </x:c>
      <x:c r="E38" s="10" t="n">
        <x:f>'Нагрузки'!$C$38+'Нагрузки'!$D$38</x:f>
        <x:v>43.96491697845131</x:v>
      </x:c>
      <x:c r="F38" s="10" t="n">
        <x:f>MAX('Балластные случаи'!B9-'Нагрузки'!B38,0)</x:f>
        <x:v>7.83</x:v>
      </x:c>
    </x:row>
    <x:row r="39" ht="32" customHeight="1">
      <x:c r="A39" s="3" t="str">
        <x:v>OF3</x:v>
      </x:c>
      <x:c r="B39" s="9" t="n">
        <x:f>('Исходные данные'!B24+'Исходные данные'!B25)/2</x:f>
        <x:v>9.45</x:v>
      </x:c>
      <x:c r="C39" s="10" t="n">
        <x:f>10*MAX('Исходные данные'!$B$11-'Нагрузки'!$B$39,0)</x:f>
        <x:v>0</x:v>
      </x:c>
      <x:c r="D39" s="10" t="n">
        <x:f>MAX(0,IF('Нагрузки'!$B$39&lt;='Исходные данные'!$B$11,'Нагрузки'!$B$7-1.5*'Нагрузки'!$B$6*('Исходные данные'!$B$11-'Нагрузки'!$B$39)/'Исходные данные'!$B$11,'Нагрузки'!$B$7-7.5*'Исходные данные'!$B$36*('Нагрузки'!$B$39-'Исходные данные'!$B$11)))</x:f>
        <x:v>23.815038376004875</x:v>
      </x:c>
      <x:c r="E39" s="10" t="n">
        <x:f>'Нагрузки'!$C$39+'Нагрузки'!$D$39</x:f>
        <x:v>23.815038376004875</x:v>
      </x:c>
      <x:c r="F39" s="10" t="n">
        <x:f>MAX('Балластные случаи'!B9-'Нагрузки'!B39,0)</x:f>
        <x:v>4.73</x:v>
      </x:c>
    </x:row>
    <x:row r="40" ht="32" customHeight="1">
      <x:c r="A40" s="3" t="str">
        <x:v>OF4</x:v>
      </x:c>
      <x:c r="B40" s="9" t="n">
        <x:f>('Исходные данные'!B25+'Исходные данные'!B10)/2</x:f>
        <x:v>12.55</x:v>
      </x:c>
      <x:c r="C40" s="10" t="n">
        <x:f>10*MAX('Исходные данные'!$B$11-'Нагрузки'!$B$40,0)</x:f>
        <x:v>0</x:v>
      </x:c>
      <x:c r="D40" s="10" t="n">
        <x:f>MAX(0,IF('Нагрузки'!$B$40&lt;='Исходные данные'!$B$11,'Нагрузки'!$B$7-1.5*'Нагрузки'!$B$6*('Исходные данные'!$B$11-'Нагрузки'!$B$40)/'Исходные данные'!$B$11,'Нагрузки'!$B$7-7.5*'Исходные данные'!$B$36*('Нагрузки'!$B$40-'Исходные данные'!$B$11)))</x:f>
        <x:v>17.607288376004874</x:v>
      </x:c>
      <x:c r="E40" s="10" t="n">
        <x:f>'Нагрузки'!$C$40+'Нагрузки'!$D$40</x:f>
        <x:v>17.607288376004874</x:v>
      </x:c>
      <x:c r="F40" s="10" t="n">
        <x:f>MAX('Балластные случаи'!B9-'Нагрузки'!B40,0)</x:f>
        <x:v>1.629999999999999</x:v>
      </x:c>
    </x:row>
    <x:row r="41" ht="32" customHeight="1">
      <x:c r="A41" s="3" t="str">
        <x:v>IF1</x:v>
      </x:c>
      <x:c r="B41" s="9" t="n">
        <x:f>('Исходные данные'!B14+'Исходные данные'!B23)/2</x:f>
        <x:v>3.3</x:v>
      </x:c>
      <x:c r="C41" s="10" t="n">
        <x:f>10*MAX('Исходные данные'!$B$11-'Нагрузки'!$B$41,0)</x:f>
        <x:v>52</x:v>
      </x:c>
      <x:c r="D41" s="10" t="n">
        <x:f>MAX(0,IF('Нагрузки'!$B$41&lt;='Исходные данные'!$B$11,'Нагрузки'!$B$7-1.5*'Нагрузки'!$B$6*('Исходные данные'!$B$11-'Нагрузки'!$B$41)/'Исходные данные'!$B$11,'Нагрузки'!$B$7-7.5*'Исходные данные'!$B$36*('Нагрузки'!$B$41-'Исходные данные'!$B$11)))</x:f>
        <x:v>17.850910460991617</x:v>
      </x:c>
      <x:c r="E41" s="10" t="n">
        <x:f>'Нагрузки'!$C$41+'Нагрузки'!$D$41</x:f>
        <x:v>69.85091046099161</x:v>
      </x:c>
      <x:c r="F41" s="10" t="n">
        <x:f>MAX('Балластные случаи'!B9-'Нагрузки'!B41,0)</x:f>
        <x:v>10.879999999999999</x:v>
      </x:c>
    </x:row>
    <x:row r="42" ht="32" customHeight="1">
      <x:c r="A42" s="3" t="str">
        <x:v>IF2</x:v>
      </x:c>
      <x:c r="B42" s="9" t="n">
        <x:f>('Исходные данные'!B23+'Исходные данные'!B24)/2</x:f>
        <x:v>6.35</x:v>
      </x:c>
      <x:c r="C42" s="10" t="n">
        <x:f>10*MAX('Исходные данные'!$B$11-'Нагрузки'!$B$42,0)</x:f>
        <x:v>21.500000000000004</x:v>
      </x:c>
      <x:c r="D42" s="10" t="n">
        <x:f>MAX(0,IF('Нагрузки'!$B$42&lt;='Исходные данные'!$B$11,'Нагрузки'!$B$7-1.5*'Нагрузки'!$B$6*('Исходные данные'!$B$11-'Нагрузки'!$B$42)/'Исходные данные'!$B$11,'Нагрузки'!$B$7-7.5*'Исходные данные'!$B$36*('Нагрузки'!$B$42-'Исходные данные'!$B$11)))</x:f>
        <x:v>22.464916978451313</x:v>
      </x:c>
      <x:c r="E42" s="10" t="n">
        <x:f>'Нагрузки'!$C$42+'Нагрузки'!$D$42</x:f>
        <x:v>43.96491697845131</x:v>
      </x:c>
      <x:c r="F42" s="10" t="n">
        <x:f>MAX('Балластные случаи'!B9-'Нагрузки'!B42,0)</x:f>
        <x:v>7.83</x:v>
      </x:c>
    </x:row>
    <x:row r="43" ht="32" customHeight="1">
      <x:c r="A43" s="3" t="str">
        <x:v>IF3</x:v>
      </x:c>
      <x:c r="B43" s="9" t="n">
        <x:f>('Исходные данные'!B24+'Исходные данные'!B25)/2</x:f>
        <x:v>9.45</x:v>
      </x:c>
      <x:c r="C43" s="10" t="n">
        <x:f>10*MAX('Исходные данные'!$B$11-'Нагрузки'!$B$43,0)</x:f>
        <x:v>0</x:v>
      </x:c>
      <x:c r="D43" s="10" t="n">
        <x:f>MAX(0,IF('Нагрузки'!$B$43&lt;='Исходные данные'!$B$11,'Нагрузки'!$B$7-1.5*'Нагрузки'!$B$6*('Исходные данные'!$B$11-'Нагрузки'!$B$43)/'Исходные данные'!$B$11,'Нагрузки'!$B$7-7.5*'Исходные данные'!$B$36*('Нагрузки'!$B$43-'Исходные данные'!$B$11)))</x:f>
        <x:v>23.815038376004875</x:v>
      </x:c>
      <x:c r="E43" s="10" t="n">
        <x:f>'Нагрузки'!$C$43+'Нагрузки'!$D$43</x:f>
        <x:v>23.815038376004875</x:v>
      </x:c>
      <x:c r="F43" s="10" t="n">
        <x:f>MAX('Балластные случаи'!B9-'Нагрузки'!B43,0)</x:f>
        <x:v>4.73</x:v>
      </x:c>
    </x:row>
    <x:row r="44" ht="32" customHeight="1">
      <x:c r="A44" s="3" t="str">
        <x:v>IF4</x:v>
      </x:c>
      <x:c r="B44" s="9" t="n">
        <x:f>('Исходные данные'!B25+('Исходные данные'!B10+'Исходные данные'!B17*'Исходные данные'!B15/('Исходные данные'!B9/2)))/2</x:f>
        <x:v>12.59</x:v>
      </x:c>
      <x:c r="C44" s="10" t="n">
        <x:f>10*MAX('Исходные данные'!$B$11-'Нагрузки'!$B$44,0)</x:f>
        <x:v>0</x:v>
      </x:c>
      <x:c r="D44" s="10" t="n">
        <x:f>MAX(0,IF('Нагрузки'!$B$44&lt;='Исходные данные'!$B$11,'Нагрузки'!$B$7-1.5*'Нагрузки'!$B$6*('Исходные данные'!$B$11-'Нагрузки'!$B$44)/'Исходные данные'!$B$11,'Нагрузки'!$B$7-7.5*'Исходные данные'!$B$36*('Нагрузки'!$B$44-'Исходные данные'!$B$11)))</x:f>
        <x:v>17.527188376004872</x:v>
      </x:c>
      <x:c r="E44" s="10" t="n">
        <x:f>'Нагрузки'!$C$44+'Нагрузки'!$D$44</x:f>
        <x:v>17.527188376004872</x:v>
      </x:c>
      <x:c r="F44" s="10" t="n">
        <x:f>MAX('Балластные случаи'!B9-'Нагрузки'!B44,0)</x:f>
        <x:v>1.5899999999999999</x:v>
      </x:c>
    </x:row>
    <x:row r="45" ht="32" customHeight="1">
      <x:c r="A45" s="3"/>
      <x:c r="B45" s="3"/>
      <x:c r="C45" s="3"/>
      <x:c r="D45" s="3"/>
      <x:c r="E45" s="3"/>
      <x:c r="F45" s="3"/>
    </x:row>
    <x:row r="46" ht="32" customHeight="1">
      <x:c r="A46" s="3"/>
      <x:c r="B46" s="3"/>
      <x:c r="C46" s="3"/>
      <x:c r="D46" s="3"/>
      <x:c r="E46" s="3"/>
      <x:c r="F46" s="3"/>
    </x:row>
    <x:row r="47" ht="32" customHeight="1">
      <x:c r="A47" s="3"/>
      <x:c r="B47" s="3"/>
      <x:c r="C47" s="3"/>
      <x:c r="D47" s="3"/>
      <x:c r="E47" s="3"/>
      <x:c r="F47" s="3"/>
    </x:row>
    <x:row r="48" ht="36" customHeight="1">
      <x:c r="A48" s="11" t="str">
        <x:v>2. Внутреннее давление: случаи 1–4</x:v>
      </x:c>
      <x:c r="B48" s="11"/>
      <x:c r="C48" s="11"/>
      <x:c r="D48" s="11"/>
      <x:c r="E48" s="11"/>
      <x:c r="F48" s="11"/>
    </x:row>
    <x:row r="49" ht="54" customHeight="1">
      <x:c r="A49" s="6" t="str">
        <x:v>Марка</x:v>
      </x:c>
      <x:c r="B49" s="6" t="str">
        <x:v>p1, кПа</x:v>
      </x:c>
      <x:c r="C49" s="6" t="str">
        <x:v>p2, кПа</x:v>
      </x:c>
      <x:c r="D49" s="6" t="str">
        <x:v>p3, кПа</x:v>
      </x:c>
      <x:c r="E49" s="6" t="str">
        <x:v>p4, кПа</x:v>
      </x:c>
      <x:c r="F49" s="6" t="str">
        <x:v>p5, кПа</x:v>
      </x:c>
    </x:row>
    <x:row r="50" ht="32" customHeight="1">
      <x:c r="A50" s="13" t="str">
        <x:f>'Нагрузки'!$A$17</x:f>
        <x:v>Днище</x:v>
      </x:c>
      <x:c r="B50" s="10" t="n">
        <x:f>'Исходные данные'!$B$28*'Исходные данные'!$B$38*(1+'Нагрузки'!$B$8/'Исходные данные'!$B$38)*'Нагрузки'!$F$17</x:f>
        <x:v>167.82757999695613</x:v>
      </x:c>
      <x:c r="C50" s="10" t="n">
        <x:f>'Исходные данные'!$B$28*'Исходные данные'!$B$38*('Нагрузки'!$F$17+'Исходные данные'!$B$27*'Нагрузки'!$B$9)</x:f>
        <x:v>186.0148561445783</x:v>
      </x:c>
      <x:c r="D50" s="10" t="n">
        <x:f>'Исходные данные'!$B$28*'Исходные данные'!$B$38*('Нагрузки'!$F$17+'Исходные данные'!$B$26*'Нагрузки'!$B$10)</x:f>
        <x:v>158.03472355603446</x:v>
      </x:c>
      <x:c r="E50" s="10" t="n">
        <x:f>0.75*'Исходные данные'!$B$28*'Исходные данные'!$B$38*('Нагрузки'!$F$17+'Исходные данные'!$B$29)</x:f>
        <x:v>125.79117749999999</x:v>
      </x:c>
      <x:c r="F50" s="10" t="n">
        <x:f>'Исходные данные'!$B$28*'Исходные данные'!$B$38*'Нагрузки'!$F$17+'Исходные данные'!$B$30</x:f>
        <x:v>167.58344499999998</x:v>
      </x:c>
    </x:row>
    <x:row r="51" ht="32" customHeight="1">
      <x:c r="A51" s="13" t="str">
        <x:f>'Нагрузки'!$A$18</x:f>
        <x:v>Второе дно</x:v>
      </x:c>
      <x:c r="B51" s="10" t="n">
        <x:f>'Исходные данные'!$B$28*'Исходные данные'!$B$38*(1+'Нагрузки'!$B$8/'Исходные данные'!$B$38)*'Нагрузки'!$F$18</x:f>
        <x:v>146.52365587886578</x:v>
      </x:c>
      <x:c r="C51" s="10" t="n">
        <x:f>'Исходные данные'!$B$28*'Исходные данные'!$B$38*('Нагрузки'!$F$18+'Исходные данные'!$B$27*'Нагрузки'!$B$9)</x:f>
        <x:v>167.91540614457827</x:v>
      </x:c>
      <x:c r="D51" s="10" t="n">
        <x:f>'Исходные данные'!$B$28*'Исходные данные'!$B$38*('Нагрузки'!$F$18+'Исходные данные'!$B$26*'Нагрузки'!$B$10)</x:f>
        <x:v>139.93527355603445</x:v>
      </x:c>
      <x:c r="E51" s="10" t="n">
        <x:f>0.75*'Исходные данные'!$B$28*'Исходные данные'!$B$38*('Нагрузки'!$F$18+'Исходные данные'!$B$29)</x:f>
        <x:v>112.21659</x:v>
      </x:c>
      <x:c r="F51" s="10" t="n">
        <x:f>'Исходные данные'!$B$28*'Исходные данные'!$B$38*'Нагрузки'!$F$18+'Исходные данные'!$B$30</x:f>
        <x:v>149.483995</x:v>
      </x:c>
    </x:row>
    <x:row r="52" ht="32" customHeight="1">
      <x:c r="A52" s="13" t="str">
        <x:f>'Нагрузки'!$A$19</x:f>
        <x:v>Верхняя палуба</x:v>
      </x:c>
      <x:c r="B52" s="10" t="n">
        <x:f>'Исходные данные'!$B$28*'Исходные данные'!$B$38*(1+'Нагрузки'!$B$8/'Исходные данные'!$B$38)*'Нагрузки'!$F$19</x:f>
        <x:v>0.9468410719151271</x:v>
      </x:c>
      <x:c r="C52" s="10" t="n">
        <x:f>'Исходные данные'!$B$28*'Исходные данные'!$B$38*('Нагрузки'!$F$19+'Исходные данные'!$B$27*'Нагрузки'!$B$9)</x:f>
        <x:v>44.2358311445783</x:v>
      </x:c>
      <x:c r="D52" s="10" t="n">
        <x:f>'Исходные данные'!$B$28*'Исходные данные'!$B$38*('Нагрузки'!$F$19+'Исходные данные'!$B$26*'Нагрузки'!$B$10)</x:f>
        <x:v>16.25569855603448</x:v>
      </x:c>
      <x:c r="E52" s="10" t="n">
        <x:f>0.75*'Исходные данные'!$B$28*'Исходные данные'!$B$38*('Нагрузки'!$F$19+'Исходные данные'!$B$29)</x:f>
        <x:v>19.45690875</x:v>
      </x:c>
      <x:c r="F52" s="10" t="n">
        <x:f>'Исходные данные'!$B$28*'Исходные данные'!$B$38*'Нагрузки'!$F$19+'Исходные данные'!$B$30</x:f>
        <x:v>25.80442</x:v>
      </x:c>
    </x:row>
    <x:row r="53" ht="32" customHeight="1">
      <x:c r="A53" s="13" t="str">
        <x:f>'Нагрузки'!$A$20</x:f>
        <x:v>Обшивка F</x:v>
      </x:c>
      <x:c r="B53" s="10" t="n">
        <x:f>'Исходные данные'!$B$28*'Исходные данные'!$B$38*(1+'Нагрузки'!$B$8/'Исходные данные'!$B$38)*'Нагрузки'!$F$20</x:f>
        <x:v>165.93422227398904</x:v>
      </x:c>
      <x:c r="C53" s="10" t="n">
        <x:f>'Исходные данные'!$B$28*'Исходные данные'!$B$38*('Нагрузки'!$F$20+'Исходные данные'!$B$27*'Нагрузки'!$B$9)</x:f>
        <x:v>184.4062917670016</x:v>
      </x:c>
      <x:c r="D53" s="10" t="n">
        <x:f>'Исходные данные'!$B$28*'Исходные данные'!$B$38*('Нагрузки'!$F$20+'Исходные данные'!$B$26*'Нагрузки'!$B$10)</x:f>
        <x:v>156.4261591784578</x:v>
      </x:c>
      <x:c r="E53" s="10" t="n">
        <x:f>0.75*'Исходные данные'!$B$28*'Исходные данные'!$B$38*('Нагрузки'!$F$20+'Исходные данные'!$B$29)</x:f>
        <x:v>124.58475421681747</x:v>
      </x:c>
      <x:c r="F53" s="10" t="n">
        <x:f>'Исходные данные'!$B$28*'Исходные данные'!$B$38*'Нагрузки'!$F$20+'Исходные данные'!$B$30</x:f>
        <x:v>165.9748806224233</x:v>
      </x:c>
    </x:row>
    <x:row r="54" ht="32" customHeight="1">
      <x:c r="A54" s="13" t="str">
        <x:f>'Нагрузки'!$A$21</x:f>
        <x:v>Обшивка G</x:v>
      </x:c>
      <x:c r="B54" s="10" t="n">
        <x:f>'Исходные данные'!$B$28*'Исходные данные'!$B$38*(1+'Нагрузки'!$B$8/'Исходные данные'!$B$38)*'Нагрузки'!$F$21</x:f>
        <x:v>157.027083614733</x:v>
      </x:c>
      <x:c r="C54" s="10" t="n">
        <x:f>'Исходные данные'!$B$28*'Исходные данные'!$B$38*('Нагрузки'!$F$21+'Исходные данные'!$B$27*'Нагрузки'!$B$9)</x:f>
        <x:v>176.8389389209888</x:v>
      </x:c>
      <x:c r="D54" s="10" t="n">
        <x:f>'Исходные данные'!$B$28*'Исходные данные'!$B$38*('Нагрузки'!$F$21+'Исходные данные'!$B$26*'Нагрузки'!$B$10)</x:f>
        <x:v>148.85880633244497</x:v>
      </x:c>
      <x:c r="E54" s="10" t="n">
        <x:f>0.75*'Исходные данные'!$B$28*'Исходные данные'!$B$38*('Нагрузки'!$F$21+'Исходные данные'!$B$29)</x:f>
        <x:v>118.90923958230788</x:v>
      </x:c>
      <x:c r="F54" s="10" t="n">
        <x:f>'Исходные данные'!$B$28*'Исходные данные'!$B$38*'Нагрузки'!$F$21+'Исходные данные'!$B$30</x:f>
        <x:v>158.4075277764105</x:v>
      </x:c>
    </x:row>
    <x:row r="55" ht="32" customHeight="1">
      <x:c r="A55" s="13" t="str">
        <x:f>'Нагрузки'!$A$22</x:f>
        <x:v>Обшивка H</x:v>
      </x:c>
      <x:c r="B55" s="10" t="n">
        <x:f>'Исходные данные'!$B$28*'Исходные данные'!$B$38*(1+'Нагрузки'!$B$8/'Исходные данные'!$B$38)*'Нагрузки'!$F$22</x:f>
        <x:v>130.18017127256329</x:v>
      </x:c>
      <x:c r="C55" s="10" t="n">
        <x:f>'Исходные данные'!$B$28*'Исходные данные'!$B$38*('Нагрузки'!$F$22+'Исходные данные'!$B$27*'Нагрузки'!$B$9)</x:f>
        <x:v>154.03026081558443</x:v>
      </x:c>
      <x:c r="D55" s="10" t="n">
        <x:f>'Исходные данные'!$B$28*'Исходные данные'!$B$38*('Нагрузки'!$F$22+'Исходные данные'!$B$26*'Нагрузки'!$B$10)</x:f>
        <x:v>126.05012822704059</x:v>
      </x:c>
      <x:c r="E55" s="10" t="n">
        <x:f>0.75*'Исходные данные'!$B$28*'Исходные данные'!$B$38*('Нагрузки'!$F$22+'Исходные данные'!$B$29)</x:f>
        <x:v>101.80273100325459</x:v>
      </x:c>
      <x:c r="F55" s="10" t="n">
        <x:f>'Исходные данные'!$B$28*'Исходные данные'!$B$38*'Нагрузки'!$F$22+'Исходные данные'!$B$30</x:f>
        <x:v>135.59884967100612</x:v>
      </x:c>
    </x:row>
    <x:row r="56" ht="32" customHeight="1">
      <x:c r="A56" s="13" t="str">
        <x:f>'Нагрузки'!$A$23</x:f>
        <x:v>Обшивка I</x:v>
      </x:c>
      <x:c r="B56" s="10" t="n">
        <x:f>'Исходные данные'!$B$28*'Исходные данные'!$B$38*(1+'Нагрузки'!$B$8/'Исходные данные'!$B$38)*'Нагрузки'!$F$23</x:f>
        <x:v>111.24334983426073</x:v>
      </x:c>
      <x:c r="C56" s="10" t="n">
        <x:f>'Исходные данные'!$B$28*'Исходные данные'!$B$38*('Нагрузки'!$F$23+'Исходные данные'!$B$27*'Нагрузки'!$B$9)</x:f>
        <x:v>137.94186081558442</x:v>
      </x:c>
      <x:c r="D56" s="10" t="n">
        <x:f>'Исходные данные'!$B$28*'Исходные данные'!$B$38*('Нагрузки'!$F$23+'Исходные данные'!$B$26*'Нагрузки'!$B$10)</x:f>
        <x:v>109.96172822704058</x:v>
      </x:c>
      <x:c r="E56" s="10" t="n">
        <x:f>0.75*'Исходные данные'!$B$28*'Исходные данные'!$B$38*('Нагрузки'!$F$23+'Исходные данные'!$B$29)</x:f>
        <x:v>89.73643100325458</x:v>
      </x:c>
      <x:c r="F56" s="10" t="n">
        <x:f>'Исходные данные'!$B$28*'Исходные данные'!$B$38*'Нагрузки'!$F$23+'Исходные данные'!$B$30</x:f>
        <x:v>119.5104496710061</x:v>
      </x:c>
    </x:row>
    <x:row r="57" ht="32" customHeight="1">
      <x:c r="A57" s="13" t="str">
        <x:f>'Нагрузки'!$A$24</x:f>
        <x:v>Обшивка J</x:v>
      </x:c>
      <x:c r="B57" s="10" t="n">
        <x:f>'Исходные данные'!$B$28*'Исходные данные'!$B$38*(1+'Нагрузки'!$B$8/'Исходные данные'!$B$38)*'Нагрузки'!$F$24</x:f>
        <x:v>92.30652839595821</x:v>
      </x:c>
      <x:c r="C57" s="10" t="n">
        <x:f>'Исходные данные'!$B$28*'Исходные данные'!$B$38*('Нагрузки'!$F$24+'Исходные данные'!$B$27*'Нагрузки'!$B$9)</x:f>
        <x:v>121.8534608155844</x:v>
      </x:c>
      <x:c r="D57" s="10" t="n">
        <x:f>'Исходные данные'!$B$28*'Исходные данные'!$B$38*('Нагрузки'!$F$24+'Исходные данные'!$B$26*'Нагрузки'!$B$10)</x:f>
        <x:v>93.87332822704059</x:v>
      </x:c>
      <x:c r="E57" s="10" t="n">
        <x:f>0.75*'Исходные данные'!$B$28*'Исходные данные'!$B$38*('Нагрузки'!$F$24+'Исходные данные'!$B$29)</x:f>
        <x:v>77.67013100325458</x:v>
      </x:c>
      <x:c r="F57" s="10" t="n">
        <x:f>'Исходные данные'!$B$28*'Исходные данные'!$B$38*'Нагрузки'!$F$24+'Исходные данные'!$B$30</x:f>
        <x:v>103.4220496710061</x:v>
      </x:c>
    </x:row>
    <x:row r="58" ht="32" customHeight="1">
      <x:c r="A58" s="13" t="str">
        <x:f>'Нагрузки'!$A$25</x:f>
        <x:v>Обшивка K</x:v>
      </x:c>
      <x:c r="B58" s="10" t="n">
        <x:f>'Исходные данные'!$B$28*'Исходные данные'!$B$38*(1+'Нагрузки'!$B$8/'Исходные данные'!$B$38)*'Нагрузки'!$F$25</x:f>
        <x:v>73.3697069576557</x:v>
      </x:c>
      <x:c r="C58" s="10" t="n">
        <x:f>'Исходные данные'!$B$28*'Исходные данные'!$B$38*('Нагрузки'!$F$25+'Исходные данные'!$B$27*'Нагрузки'!$B$9)</x:f>
        <x:v>105.76506081558442</x:v>
      </x:c>
      <x:c r="D58" s="10" t="n">
        <x:f>'Исходные данные'!$B$28*'Исходные данные'!$B$38*('Нагрузки'!$F$25+'Исходные данные'!$B$26*'Нагрузки'!$B$10)</x:f>
        <x:v>77.7849282270406</x:v>
      </x:c>
      <x:c r="E58" s="10" t="n">
        <x:f>0.75*'Исходные данные'!$B$28*'Исходные данные'!$B$38*('Нагрузки'!$F$25+'Исходные данные'!$B$29)</x:f>
        <x:v>65.60383100325458</x:v>
      </x:c>
      <x:c r="F58" s="10" t="n">
        <x:f>'Исходные данные'!$B$28*'Исходные данные'!$B$38*'Нагрузки'!$F$25+'Исходные данные'!$B$30</x:f>
        <x:v>87.33364967100611</x:v>
      </x:c>
    </x:row>
    <x:row r="59" ht="32" customHeight="1">
      <x:c r="A59" s="13" t="str">
        <x:f>'Нагрузки'!$A$26</x:f>
        <x:v>Обшивка L</x:v>
      </x:c>
      <x:c r="B59" s="10" t="n">
        <x:f>'Исходные данные'!$B$28*'Исходные данные'!$B$38*(1+'Нагрузки'!$B$8/'Исходные данные'!$B$38)*'Нагрузки'!$F$26</x:f>
        <x:v>54.43288551935317</x:v>
      </x:c>
      <x:c r="C59" s="10" t="n">
        <x:f>'Исходные данные'!$B$28*'Исходные данные'!$B$38*('Нагрузки'!$F$26+'Исходные данные'!$B$27*'Нагрузки'!$B$9)</x:f>
        <x:v>89.67666081558441</x:v>
      </x:c>
      <x:c r="D59" s="10" t="n">
        <x:f>'Исходные данные'!$B$28*'Исходные данные'!$B$38*('Нагрузки'!$F$26+'Исходные данные'!$B$26*'Нагрузки'!$B$10)</x:f>
        <x:v>61.696528227040595</x:v>
      </x:c>
      <x:c r="E59" s="10" t="n">
        <x:f>0.75*'Исходные данные'!$B$28*'Исходные данные'!$B$38*('Нагрузки'!$F$26+'Исходные данные'!$B$29)</x:f>
        <x:v>53.53753100325459</x:v>
      </x:c>
      <x:c r="F59" s="10" t="n">
        <x:f>'Исходные данные'!$B$28*'Исходные данные'!$B$38*'Нагрузки'!$F$26+'Исходные данные'!$B$30</x:f>
        <x:v>71.24524967100612</x:v>
      </x:c>
    </x:row>
    <x:row r="60" ht="32" customHeight="1">
      <x:c r="A60" s="13" t="str">
        <x:f>'Нагрузки'!$A$27</x:f>
        <x:v>Обшивка M</x:v>
      </x:c>
      <x:c r="B60" s="10" t="n">
        <x:f>'Исходные данные'!$B$28*'Исходные данные'!$B$38*(1+'Нагрузки'!$B$8/'Исходные данные'!$B$38)*'Нагрузки'!$F$27</x:f>
        <x:v>38.28002875874296</x:v>
      </x:c>
      <x:c r="C60" s="10" t="n">
        <x:f>'Исходные данные'!$B$28*'Исходные данные'!$B$38*('Нагрузки'!$F$27+'Исходные данные'!$B$27*'Нагрузки'!$B$9)</x:f>
        <x:v>75.95346964783288</x:v>
      </x:c>
      <x:c r="D60" s="10" t="n">
        <x:f>'Исходные данные'!$B$28*'Исходные данные'!$B$38*('Нагрузки'!$F$27+'Исходные данные'!$B$26*'Нагрузки'!$B$10)</x:f>
        <x:v>47.97333705928905</x:v>
      </x:c>
      <x:c r="E60" s="10" t="n">
        <x:f>0.75*'Исходные данные'!$B$28*'Исходные данные'!$B$38*('Нагрузки'!$F$27+'Исходные данные'!$B$29)</x:f>
        <x:v>43.24513762744093</x:v>
      </x:c>
      <x:c r="F60" s="10" t="n">
        <x:f>'Исходные данные'!$B$28*'Исходные данные'!$B$38*'Нагрузки'!$F$27+'Исходные данные'!$B$30</x:f>
        <x:v>57.52205850325458</x:v>
      </x:c>
    </x:row>
    <x:row r="61" ht="32" customHeight="1">
      <x:c r="A61" s="13" t="str">
        <x:f>'Нагрузки'!$A$28</x:f>
        <x:v>Обшивка N</x:v>
      </x:c>
      <x:c r="B61" s="10" t="n">
        <x:f>'Исходные данные'!$B$28*'Исходные данные'!$B$38*(1+'Нагрузки'!$B$8/'Исходные данные'!$B$38)*'Нагрузки'!$F$28</x:f>
        <x:v>24.91113667582511</x:v>
      </x:c>
      <x:c r="C61" s="10" t="n">
        <x:f>'Исходные данные'!$B$28*'Исходные данные'!$B$38*('Нагрузки'!$F$28+'Исходные данные'!$B$27*'Нагрузки'!$B$9)</x:f>
        <x:v>64.59548731232982</x:v>
      </x:c>
      <x:c r="D61" s="10" t="n">
        <x:f>'Исходные данные'!$B$28*'Исходные данные'!$B$38*('Нагрузки'!$F$28+'Исходные данные'!$B$26*'Нагрузки'!$B$10)</x:f>
        <x:v>36.615354723786005</x:v>
      </x:c>
      <x:c r="E61" s="10" t="n">
        <x:f>0.75*'Исходные данные'!$B$28*'Исходные данные'!$B$38*('Нагрузки'!$F$28+'Исходные данные'!$B$29)</x:f>
        <x:v>34.72665087581365</x:v>
      </x:c>
      <x:c r="F61" s="10" t="n">
        <x:f>'Исходные данные'!$B$28*'Исходные данные'!$B$38*'Нагрузки'!$F$28+'Исходные данные'!$B$30</x:f>
        <x:v>46.164076167751524</x:v>
      </x:c>
    </x:row>
    <x:row r="62" ht="32" customHeight="1">
      <x:c r="A62" s="13" t="str">
        <x:f>'Нагрузки'!$A$29</x:f>
        <x:v>Обшивка SH</x:v>
      </x:c>
      <x:c r="B62" s="10" t="n">
        <x:f>'Исходные данные'!$B$28*'Исходные данные'!$B$38*(1+'Нагрузки'!$B$8/'Исходные данные'!$B$38)*'Нагрузки'!$F$29</x:f>
        <x:v>9.586765853140658</x:v>
      </x:c>
      <x:c r="C62" s="10" t="n">
        <x:f>'Исходные данные'!$B$28*'Исходные данные'!$B$38*('Нагрузки'!$F$29+'Исходные данные'!$B$27*'Нагрузки'!$B$9)</x:f>
        <x:v>51.5761636445783</x:v>
      </x:c>
      <x:c r="D62" s="10" t="n">
        <x:f>'Исходные данные'!$B$28*'Исходные данные'!$B$38*('Нагрузки'!$F$29+'Исходные данные'!$B$26*'Нагрузки'!$B$10)</x:f>
        <x:v>23.596031056034484</x:v>
      </x:c>
      <x:c r="E62" s="10" t="n">
        <x:f>0.75*'Исходные данные'!$B$28*'Исходные данные'!$B$38*('Нагрузки'!$F$29+'Исходные данные'!$B$29)</x:f>
        <x:v>24.962158125000002</x:v>
      </x:c>
      <x:c r="F62" s="10" t="n">
        <x:f>'Исходные данные'!$B$28*'Исходные данные'!$B$38*'Нагрузки'!$F$29+'Исходные данные'!$B$30</x:f>
        <x:v>33.1447525</x:v>
      </x:c>
    </x:row>
    <x:row r="63" ht="32" customHeight="1">
      <x:c r="A63" s="13" t="str">
        <x:f>'Нагрузки'!$A$30</x:f>
        <x:v>ISG</x:v>
      </x:c>
      <x:c r="B63" s="10" t="n">
        <x:f>'Исходные данные'!$B$28*'Исходные данные'!$B$38*(1+'Нагрузки'!$B$8/'Исходные данные'!$B$38)*'Нагрузки'!$F$30</x:f>
        <x:v>136.46346948976756</x:v>
      </x:c>
      <x:c r="C63" s="10" t="n">
        <x:f>'Исходные данные'!$B$28*'Исходные данные'!$B$38*('Нагрузки'!$F$30+'Исходные данные'!$B$27*'Нагрузки'!$B$9)</x:f>
        <x:v>159.36844364457826</x:v>
      </x:c>
      <x:c r="D63" s="10" t="n">
        <x:f>'Исходные данные'!$B$28*'Исходные данные'!$B$38*('Нагрузки'!$F$30+'Исходные данные'!$B$26*'Нагрузки'!$B$10)</x:f>
        <x:v>131.38831105603447</x:v>
      </x:c>
      <x:c r="E63" s="10" t="n">
        <x:f>0.75*'Исходные данные'!$B$28*'Исходные данные'!$B$38*('Нагрузки'!$F$30+'Исходные данные'!$B$29)</x:f>
        <x:v>105.80636812499999</x:v>
      </x:c>
      <x:c r="F63" s="10" t="n">
        <x:f>'Исходные данные'!$B$28*'Исходные данные'!$B$38*'Нагрузки'!$F$30+'Исходные данные'!$B$30</x:f>
        <x:v>140.9370325</x:v>
      </x:c>
    </x:row>
    <x:row r="64" ht="32" customHeight="1">
      <x:c r="A64" s="13" t="str">
        <x:f>'Нагрузки'!$A$31</x:f>
        <x:v>ISF</x:v>
      </x:c>
      <x:c r="B64" s="10" t="n">
        <x:f>'Исходные данные'!$B$28*'Исходные данные'!$B$38*(1+'Нагрузки'!$B$8/'Исходные данные'!$B$38)*'Нагрузки'!$F$31</x:f>
        <x:v>116.34309671157114</x:v>
      </x:c>
      <x:c r="C64" s="10" t="n">
        <x:f>'Исходные данные'!$B$28*'Исходные данные'!$B$38*('Нагрузки'!$F$31+'Исходные данные'!$B$27*'Нагрузки'!$B$9)</x:f>
        <x:v>142.27451864457828</x:v>
      </x:c>
      <x:c r="D64" s="10" t="n">
        <x:f>'Исходные данные'!$B$28*'Исходные данные'!$B$38*('Нагрузки'!$F$31+'Исходные данные'!$B$26*'Нагрузки'!$B$10)</x:f>
        <x:v>114.29438605603447</x:v>
      </x:c>
      <x:c r="E64" s="10" t="n">
        <x:f>0.75*'Исходные данные'!$B$28*'Исходные данные'!$B$38*('Нагрузки'!$F$31+'Исходные данные'!$B$29)</x:f>
        <x:v>92.985924375</x:v>
      </x:c>
      <x:c r="F64" s="10" t="n">
        <x:f>'Исходные данные'!$B$28*'Исходные данные'!$B$38*'Нагрузки'!$F$31+'Исходные данные'!$B$30</x:f>
        <x:v>123.84310749999999</x:v>
      </x:c>
    </x:row>
    <x:row r="65" ht="32" customHeight="1">
      <x:c r="A65" s="13" t="str">
        <x:f>'Нагрузки'!$A$32</x:f>
        <x:v>ISE</x:v>
      </x:c>
      <x:c r="B65" s="10" t="n">
        <x:f>'Исходные данные'!$B$28*'Исходные данные'!$B$38*(1+'Нагрузки'!$B$8/'Исходные данные'!$B$38)*'Нагрузки'!$F$32</x:f>
        <x:v>96.2227239333747</x:v>
      </x:c>
      <x:c r="C65" s="10" t="n">
        <x:f>'Исходные данные'!$B$28*'Исходные данные'!$B$38*('Нагрузки'!$F$32+'Исходные данные'!$B$27*'Нагрузки'!$B$9)</x:f>
        <x:v>125.1805936445783</x:v>
      </x:c>
      <x:c r="D65" s="10" t="n">
        <x:f>'Исходные данные'!$B$28*'Исходные данные'!$B$38*('Нагрузки'!$F$32+'Исходные данные'!$B$26*'Нагрузки'!$B$10)</x:f>
        <x:v>97.20046105603446</x:v>
      </x:c>
      <x:c r="E65" s="10" t="n">
        <x:f>0.75*'Исходные данные'!$B$28*'Исходные данные'!$B$38*('Нагрузки'!$F$32+'Исходные данные'!$B$29)</x:f>
        <x:v>80.16548062499999</x:v>
      </x:c>
      <x:c r="F65" s="10" t="n">
        <x:f>'Исходные данные'!$B$28*'Исходные данные'!$B$38*'Нагрузки'!$F$32+'Исходные данные'!$B$30</x:f>
        <x:v>106.74918249999999</x:v>
      </x:c>
    </x:row>
    <x:row r="66" ht="32" customHeight="1">
      <x:c r="A66" s="13" t="str">
        <x:f>'Нагрузки'!$A$33</x:f>
        <x:v>ISD</x:v>
      </x:c>
      <x:c r="B66" s="10" t="n">
        <x:f>'Исходные данные'!$B$28*'Исходные данные'!$B$38*(1+'Нагрузки'!$B$8/'Исходные данные'!$B$38)*'Нагрузки'!$F$33</x:f>
        <x:v>76.10235115517827</x:v>
      </x:c>
      <x:c r="C66" s="10" t="n">
        <x:f>'Исходные данные'!$B$28*'Исходные данные'!$B$38*('Нагрузки'!$F$33+'Исходные данные'!$B$27*'Нагрузки'!$B$9)</x:f>
        <x:v>108.0866686445783</x:v>
      </x:c>
      <x:c r="D66" s="10" t="n">
        <x:f>'Исходные данные'!$B$28*'Исходные данные'!$B$38*('Нагрузки'!$F$33+'Исходные данные'!$B$26*'Нагрузки'!$B$10)</x:f>
        <x:v>80.10653605603447</x:v>
      </x:c>
      <x:c r="E66" s="10" t="n">
        <x:f>0.75*'Исходные данные'!$B$28*'Исходные данные'!$B$38*('Нагрузки'!$F$33+'Исходные данные'!$B$29)</x:f>
        <x:v>67.34503687499999</x:v>
      </x:c>
      <x:c r="F66" s="10" t="n">
        <x:f>'Исходные данные'!$B$28*'Исходные данные'!$B$38*'Нагрузки'!$F$33+'Исходные данные'!$B$30</x:f>
        <x:v>89.65525749999999</x:v>
      </x:c>
    </x:row>
    <x:row r="67" ht="32" customHeight="1">
      <x:c r="A67" s="13" t="str">
        <x:f>'Нагрузки'!$A$34</x:f>
        <x:v>ISC</x:v>
      </x:c>
      <x:c r="B67" s="10" t="n">
        <x:f>'Исходные данные'!$B$28*'Исходные данные'!$B$38*(1+'Нагрузки'!$B$8/'Исходные данные'!$B$38)*'Нагрузки'!$F$34</x:f>
        <x:v>55.98197837698184</x:v>
      </x:c>
      <x:c r="C67" s="10" t="n">
        <x:f>'Исходные данные'!$B$28*'Исходные данные'!$B$38*('Нагрузки'!$F$34+'Исходные данные'!$B$27*'Нагрузки'!$B$9)</x:f>
        <x:v>90.99274364457831</x:v>
      </x:c>
      <x:c r="D67" s="10" t="n">
        <x:f>'Исходные данные'!$B$28*'Исходные данные'!$B$38*('Нагрузки'!$F$34+'Исходные данные'!$B$26*'Нагрузки'!$B$10)</x:f>
        <x:v>63.01261105603447</x:v>
      </x:c>
      <x:c r="E67" s="10" t="n">
        <x:f>0.75*'Исходные данные'!$B$28*'Исходные данные'!$B$38*('Нагрузки'!$F$34+'Исходные данные'!$B$29)</x:f>
        <x:v>54.524593125</x:v>
      </x:c>
      <x:c r="F67" s="10" t="n">
        <x:f>'Исходные данные'!$B$28*'Исходные данные'!$B$38*'Нагрузки'!$F$34+'Исходные данные'!$B$30</x:f>
        <x:v>72.56133249999999</x:v>
      </x:c>
    </x:row>
    <x:row r="68" ht="32" customHeight="1">
      <x:c r="A68" s="13" t="str">
        <x:f>'Нагрузки'!$A$35</x:f>
        <x:v>ISB</x:v>
      </x:c>
      <x:c r="B68" s="10" t="n">
        <x:f>'Исходные данные'!$B$28*'Исходные данные'!$B$38*(1+'Нагрузки'!$B$8/'Исходные данные'!$B$38)*'Нагрузки'!$F$35</x:f>
        <x:v>35.861605598785395</x:v>
      </x:c>
      <x:c r="C68" s="10" t="n">
        <x:f>'Исходные данные'!$B$28*'Исходные данные'!$B$38*('Нагрузки'!$F$35+'Исходные данные'!$B$27*'Нагрузки'!$B$9)</x:f>
        <x:v>73.89881864457828</x:v>
      </x:c>
      <x:c r="D68" s="10" t="n">
        <x:f>'Исходные данные'!$B$28*'Исходные данные'!$B$38*('Нагрузки'!$F$35+'Исходные данные'!$B$26*'Нагрузки'!$B$10)</x:f>
        <x:v>45.91868605603447</x:v>
      </x:c>
      <x:c r="E68" s="10" t="n">
        <x:f>0.75*'Исходные данные'!$B$28*'Исходные данные'!$B$38*('Нагрузки'!$F$35+'Исходные данные'!$B$29)</x:f>
        <x:v>41.70414937499999</x:v>
      </x:c>
      <x:c r="F68" s="10" t="n">
        <x:f>'Исходные данные'!$B$28*'Исходные данные'!$B$38*'Нагрузки'!$F$35+'Исходные данные'!$B$30</x:f>
        <x:v>55.46740749999999</x:v>
      </x:c>
    </x:row>
    <x:row r="69" ht="32" customHeight="1">
      <x:c r="A69" s="13" t="str">
        <x:f>'Нагрузки'!$A$36</x:f>
        <x:v>ISA</x:v>
      </x:c>
      <x:c r="B69" s="10" t="n">
        <x:f>'Исходные данные'!$B$28*'Исходные данные'!$B$38*(1+'Нагрузки'!$B$8/'Исходные данные'!$B$38)*'Нагрузки'!$F$36</x:f>
        <x:v>12.900709604843593</x:v>
      </x:c>
      <x:c r="C69" s="10" t="n">
        <x:f>'Исходные данные'!$B$28*'Исходные данные'!$B$38*('Нагрузки'!$F$36+'Исходные данные'!$B$27*'Нагрузки'!$B$9)</x:f>
        <x:v>54.39163364457829</x:v>
      </x:c>
      <x:c r="D69" s="10" t="n">
        <x:f>'Исходные данные'!$B$28*'Исходные данные'!$B$38*('Нагрузки'!$F$36+'Исходные данные'!$B$26*'Нагрузки'!$B$10)</x:f>
        <x:v>26.411501056034478</x:v>
      </x:c>
      <x:c r="E69" s="10" t="n">
        <x:f>0.75*'Исходные данные'!$B$28*'Исходные данные'!$B$38*('Нагрузки'!$F$36+'Исходные данные'!$B$29)</x:f>
        <x:v>27.073760625</x:v>
      </x:c>
      <x:c r="F69" s="10" t="n">
        <x:f>'Исходные данные'!$B$28*'Исходные данные'!$B$38*'Нагрузки'!$F$36+'Исходные данные'!$B$30</x:f>
        <x:v>35.9602225</x:v>
      </x:c>
    </x:row>
    <x:row r="70" ht="32" customHeight="1">
      <x:c r="A70" s="13" t="str">
        <x:f>'Нагрузки'!$A$37</x:f>
        <x:v>OF1</x:v>
      </x:c>
      <x:c r="B70" s="10" t="n">
        <x:f>'Исходные данные'!$B$28*'Исходные данные'!$B$38*(1+'Нагрузки'!$B$8/'Исходные данные'!$B$38)*'Нагрузки'!$F$37</x:f>
        <x:v>128.77038578045716</x:v>
      </x:c>
      <x:c r="C70" s="10" t="n">
        <x:f>'Исходные данные'!$B$28*'Исходные данные'!$B$38*('Нагрузки'!$F$37+'Исходные данные'!$B$27*'Нагрузки'!$B$9)</x:f>
        <x:v>152.8325311445783</x:v>
      </x:c>
      <x:c r="D70" s="10" t="n">
        <x:f>'Исходные данные'!$B$28*'Исходные данные'!$B$38*('Нагрузки'!$F$37+'Исходные данные'!$B$26*'Нагрузки'!$B$10)</x:f>
        <x:v>124.85239855603446</x:v>
      </x:c>
      <x:c r="E70" s="10" t="n">
        <x:f>0.75*'Исходные данные'!$B$28*'Исходные данные'!$B$38*('Нагрузки'!$F$37+'Исходные данные'!$B$29)</x:f>
        <x:v>100.90443375</x:v>
      </x:c>
      <x:c r="F70" s="10" t="n">
        <x:f>'Исходные данные'!$B$28*'Исходные данные'!$B$38*'Нагрузки'!$F$37+'Исходные данные'!$B$30</x:f>
        <x:v>134.40112</x:v>
      </x:c>
    </x:row>
    <x:row r="71" ht="32" customHeight="1">
      <x:c r="A71" s="13" t="str">
        <x:f>'Нагрузки'!$A$38</x:f>
        <x:v>OF2</x:v>
      </x:c>
      <x:c r="B71" s="10" t="n">
        <x:f>'Исходные данные'!$B$28*'Исходные данные'!$B$38*(1+'Нагрузки'!$B$8/'Исходные данные'!$B$38)*'Нагрузки'!$F$38</x:f>
        <x:v>92.67206991369298</x:v>
      </x:c>
      <x:c r="C71" s="10" t="n">
        <x:f>'Исходные данные'!$B$28*'Исходные данные'!$B$38*('Нагрузки'!$F$38+'Исходные данные'!$B$27*'Нагрузки'!$B$9)</x:f>
        <x:v>122.16401864457828</x:v>
      </x:c>
      <x:c r="D71" s="10" t="n">
        <x:f>'Исходные данные'!$B$28*'Исходные данные'!$B$38*('Нагрузки'!$F$38+'Исходные данные'!$B$26*'Нагрузки'!$B$10)</x:f>
        <x:v>94.18388605603447</x:v>
      </x:c>
      <x:c r="E71" s="10" t="n">
        <x:f>0.75*'Исходные данные'!$B$28*'Исходные данные'!$B$38*('Нагрузки'!$F$38+'Исходные данные'!$B$29)</x:f>
        <x:v>77.903049375</x:v>
      </x:c>
      <x:c r="F71" s="10" t="n">
        <x:f>'Исходные данные'!$B$28*'Исходные данные'!$B$38*'Нагрузки'!$F$38+'Исходные данные'!$B$30</x:f>
        <x:v>103.7326075</x:v>
      </x:c>
    </x:row>
    <x:row r="72" ht="32" customHeight="1">
      <x:c r="A72" s="13" t="str">
        <x:f>'Нагрузки'!$A$39</x:f>
        <x:v>OF3</x:v>
      </x:c>
      <x:c r="B72" s="10" t="n">
        <x:f>'Исходные данные'!$B$28*'Исходные данные'!$B$38*(1+'Нагрузки'!$B$8/'Исходные данные'!$B$38)*'Нагрузки'!$F$39</x:f>
        <x:v>55.98197837698184</x:v>
      </x:c>
      <x:c r="C72" s="10" t="n">
        <x:f>'Исходные данные'!$B$28*'Исходные данные'!$B$38*('Нагрузки'!$F$39+'Исходные данные'!$B$27*'Нагрузки'!$B$9)</x:f>
        <x:v>90.99274364457831</x:v>
      </x:c>
      <x:c r="D72" s="10" t="n">
        <x:f>'Исходные данные'!$B$28*'Исходные данные'!$B$38*('Нагрузки'!$F$39+'Исходные данные'!$B$26*'Нагрузки'!$B$10)</x:f>
        <x:v>63.01261105603447</x:v>
      </x:c>
      <x:c r="E72" s="10" t="n">
        <x:f>0.75*'Исходные данные'!$B$28*'Исходные данные'!$B$38*('Нагрузки'!$F$39+'Исходные данные'!$B$29)</x:f>
        <x:v>54.524593125</x:v>
      </x:c>
      <x:c r="F72" s="10" t="n">
        <x:f>'Исходные данные'!$B$28*'Исходные данные'!$B$38*'Нагрузки'!$F$39+'Исходные данные'!$B$30</x:f>
        <x:v>72.56133249999999</x:v>
      </x:c>
    </x:row>
    <x:row r="73" ht="32" customHeight="1">
      <x:c r="A73" s="13" t="str">
        <x:f>'Нагрузки'!$A$40</x:f>
        <x:v>OF4</x:v>
      </x:c>
      <x:c r="B73" s="10" t="n">
        <x:f>'Исходные данные'!$B$28*'Исходные данные'!$B$38*(1+'Нагрузки'!$B$8/'Исходные данные'!$B$38)*'Нагрузки'!$F$40</x:f>
        <x:v>19.291886840270685</x:v>
      </x:c>
      <x:c r="C73" s="10" t="n">
        <x:f>'Исходные данные'!$B$28*'Исходные данные'!$B$38*('Нагрузки'!$F$40+'Исходные данные'!$B$27*'Нагрузки'!$B$9)</x:f>
        <x:v>59.82146864457828</x:v>
      </x:c>
      <x:c r="D73" s="10" t="n">
        <x:f>'Исходные данные'!$B$28*'Исходные данные'!$B$38*('Нагрузки'!$F$40+'Исходные данные'!$B$26*'Нагрузки'!$B$10)</x:f>
        <x:v>31.841336056034468</x:v>
      </x:c>
      <x:c r="E73" s="10" t="n">
        <x:f>0.75*'Исходные данные'!$B$28*'Исходные данные'!$B$38*('Нагрузки'!$F$40+'Исходные данные'!$B$29)</x:f>
        <x:v>31.146136874999993</x:v>
      </x:c>
      <x:c r="F73" s="10" t="n">
        <x:f>'Исходные данные'!$B$28*'Исходные данные'!$B$38*'Нагрузки'!$F$40+'Исходные данные'!$B$30</x:f>
        <x:v>41.39005749999998</x:v>
      </x:c>
    </x:row>
    <x:row r="74" ht="32" customHeight="1">
      <x:c r="A74" s="13" t="str">
        <x:f>'Нагрузки'!$A$41</x:f>
        <x:v>IF1</x:v>
      </x:c>
      <x:c r="B74" s="10" t="n">
        <x:f>'Исходные данные'!$B$28*'Исходные данные'!$B$38*(1+'Нагрузки'!$B$8/'Исходные данные'!$B$38)*'Нагрузки'!$F$41</x:f>
        <x:v>128.77038578045716</x:v>
      </x:c>
      <x:c r="C74" s="10" t="n">
        <x:f>'Исходные данные'!$B$28*'Исходные данные'!$B$38*('Нагрузки'!$F$41+'Исходные данные'!$B$27*'Нагрузки'!$B$9)</x:f>
        <x:v>152.8325311445783</x:v>
      </x:c>
      <x:c r="D74" s="10" t="n">
        <x:f>'Исходные данные'!$B$28*'Исходные данные'!$B$38*('Нагрузки'!$F$41+'Исходные данные'!$B$26*'Нагрузки'!$B$10)</x:f>
        <x:v>124.85239855603446</x:v>
      </x:c>
      <x:c r="E74" s="10" t="n">
        <x:f>0.75*'Исходные данные'!$B$28*'Исходные данные'!$B$38*('Нагрузки'!$F$41+'Исходные данные'!$B$29)</x:f>
        <x:v>100.90443375</x:v>
      </x:c>
      <x:c r="F74" s="10" t="n">
        <x:f>'Исходные данные'!$B$28*'Исходные данные'!$B$38*'Нагрузки'!$F$41+'Исходные данные'!$B$30</x:f>
        <x:v>134.40112</x:v>
      </x:c>
    </x:row>
    <x:row r="75" ht="32" customHeight="1">
      <x:c r="A75" s="13" t="str">
        <x:f>'Нагрузки'!$A$42</x:f>
        <x:v>IF2</x:v>
      </x:c>
      <x:c r="B75" s="10" t="n">
        <x:f>'Исходные данные'!$B$28*'Исходные данные'!$B$38*(1+'Нагрузки'!$B$8/'Исходные данные'!$B$38)*'Нагрузки'!$F$42</x:f>
        <x:v>92.67206991369298</x:v>
      </x:c>
      <x:c r="C75" s="10" t="n">
        <x:f>'Исходные данные'!$B$28*'Исходные данные'!$B$38*('Нагрузки'!$F$42+'Исходные данные'!$B$27*'Нагрузки'!$B$9)</x:f>
        <x:v>122.16401864457828</x:v>
      </x:c>
      <x:c r="D75" s="10" t="n">
        <x:f>'Исходные данные'!$B$28*'Исходные данные'!$B$38*('Нагрузки'!$F$42+'Исходные данные'!$B$26*'Нагрузки'!$B$10)</x:f>
        <x:v>94.18388605603447</x:v>
      </x:c>
      <x:c r="E75" s="10" t="n">
        <x:f>0.75*'Исходные данные'!$B$28*'Исходные данные'!$B$38*('Нагрузки'!$F$42+'Исходные данные'!$B$29)</x:f>
        <x:v>77.903049375</x:v>
      </x:c>
      <x:c r="F75" s="10" t="n">
        <x:f>'Исходные данные'!$B$28*'Исходные данные'!$B$38*'Нагрузки'!$F$42+'Исходные данные'!$B$30</x:f>
        <x:v>103.7326075</x:v>
      </x:c>
    </x:row>
    <x:row r="76" ht="32" customHeight="1">
      <x:c r="A76" s="13" t="str">
        <x:f>'Нагрузки'!$A$43</x:f>
        <x:v>IF3</x:v>
      </x:c>
      <x:c r="B76" s="10" t="n">
        <x:f>'Исходные данные'!$B$28*'Исходные данные'!$B$38*(1+'Нагрузки'!$B$8/'Исходные данные'!$B$38)*'Нагрузки'!$F$43</x:f>
        <x:v>55.98197837698184</x:v>
      </x:c>
      <x:c r="C76" s="10" t="n">
        <x:f>'Исходные данные'!$B$28*'Исходные данные'!$B$38*('Нагрузки'!$F$43+'Исходные данные'!$B$27*'Нагрузки'!$B$9)</x:f>
        <x:v>90.99274364457831</x:v>
      </x:c>
      <x:c r="D76" s="10" t="n">
        <x:f>'Исходные данные'!$B$28*'Исходные данные'!$B$38*('Нагрузки'!$F$43+'Исходные данные'!$B$26*'Нагрузки'!$B$10)</x:f>
        <x:v>63.01261105603447</x:v>
      </x:c>
      <x:c r="E76" s="10" t="n">
        <x:f>0.75*'Исходные данные'!$B$28*'Исходные данные'!$B$38*('Нагрузки'!$F$43+'Исходные данные'!$B$29)</x:f>
        <x:v>54.524593125</x:v>
      </x:c>
      <x:c r="F76" s="10" t="n">
        <x:f>'Исходные данные'!$B$28*'Исходные данные'!$B$38*'Нагрузки'!$F$43+'Исходные данные'!$B$30</x:f>
        <x:v>72.56133249999999</x:v>
      </x:c>
    </x:row>
    <x:row r="77" ht="32" customHeight="1">
      <x:c r="A77" s="13" t="str">
        <x:f>'Нагрузки'!$A$44</x:f>
        <x:v>IF4</x:v>
      </x:c>
      <x:c r="B77" s="10" t="n">
        <x:f>'Исходные данные'!$B$28*'Исходные данные'!$B$38*(1+'Нагрузки'!$B$8/'Исходные данные'!$B$38)*'Нагрузки'!$F$44</x:f>
        <x:v>18.818466304313134</x:v>
      </x:c>
      <x:c r="C77" s="10" t="n">
        <x:f>'Исходные данные'!$B$28*'Исходные данные'!$B$38*('Нагрузки'!$F$44+'Исходные данные'!$B$27*'Нагрузки'!$B$9)</x:f>
        <x:v>59.41925864457829</x:v>
      </x:c>
      <x:c r="D77" s="10" t="n">
        <x:f>'Исходные данные'!$B$28*'Исходные данные'!$B$38*('Нагрузки'!$F$44+'Исходные данные'!$B$26*'Нагрузки'!$B$10)</x:f>
        <x:v>31.43912605603448</x:v>
      </x:c>
      <x:c r="E77" s="10" t="n">
        <x:f>0.75*'Исходные данные'!$B$28*'Исходные данные'!$B$38*('Нагрузки'!$F$44+'Исходные данные'!$B$29)</x:f>
        <x:v>30.844479375</x:v>
      </x:c>
      <x:c r="F77" s="10" t="n">
        <x:f>'Исходные данные'!$B$28*'Исходные данные'!$B$38*'Нагрузки'!$F$44+'Исходные данные'!$B$30</x:f>
        <x:v>40.9878475</x:v>
      </x:c>
    </x:row>
    <x:row r="78" ht="32" customHeight="1">
      <x:c r="A78" s="3"/>
      <x:c r="B78" s="3"/>
      <x:c r="C78" s="3"/>
      <x:c r="D78" s="3"/>
      <x:c r="E78" s="3"/>
      <x:c r="F78" s="3"/>
    </x:row>
    <x:row r="79" ht="32" customHeight="1">
      <x:c r="A79" s="3"/>
      <x:c r="B79" s="3"/>
      <x:c r="C79" s="3"/>
      <x:c r="D79" s="3"/>
      <x:c r="E79" s="3"/>
      <x:c r="F79" s="3"/>
    </x:row>
    <x:row r="80" ht="32" customHeight="1">
      <x:c r="A80" s="3"/>
      <x:c r="B80" s="3"/>
      <x:c r="C80" s="3"/>
      <x:c r="D80" s="3"/>
      <x:c r="E80" s="3"/>
      <x:c r="F80" s="3"/>
    </x:row>
    <x:row r="81" ht="36" customHeight="1">
      <x:c r="A81" s="11" t="str">
        <x:v>3. Случай 5 и прежняя огибающая</x:v>
      </x:c>
      <x:c r="B81" s="11"/>
      <x:c r="C81" s="11"/>
      <x:c r="D81" s="11"/>
      <x:c r="E81" s="11"/>
      <x:c r="F81" s="11"/>
    </x:row>
    <x:row r="82" ht="54" customHeight="1">
      <x:c r="A82" s="6" t="str">
        <x:v>Марка</x:v>
      </x:c>
      <x:c r="B82" s="6" t="str">
        <x:v>p внутренних</x:v>
      </x:c>
      <x:c r="C82" s="6" t="str">
        <x:v>p обшивки</x:v>
      </x:c>
      <x:c r="D82" s="6" t="str">
        <x:v>pmin шпан.</x:v>
      </x:c>
      <x:c r="E82" s="6" t="str">
        <x:v>p шпан. (предв.), кПа</x:v>
      </x:c>
      <x:c r="F82" s="6" t="str">
        <x:v>Ед. кПа</x:v>
      </x:c>
    </x:row>
    <x:row r="83" ht="32" customHeight="1">
      <x:c r="A83" s="13" t="str">
        <x:f>'Нагрузки'!$A$17</x:f>
        <x:v>Днище</x:v>
      </x:c>
      <x:c r="B83" s="14" t="n">
        <x:f>MAX('Балластные случаи'!F109,'Балластные случаи'!F110,'Балластные случаи'!F111)</x:f>
        <x:v>186.0148561445783</x:v>
      </x:c>
      <x:c r="C83" s="14" t="n">
        <x:f>MAX('Балластные случаи'!D109,'Балластные случаи'!D110,'Балластные случаи'!D111)</x:f>
        <x:v>152.4735628325807</x:v>
      </x:c>
      <x:c r="D83" s="10" t="n">
        <x:f>MAX(0,10*('Исходные данные'!$B$11-'Нагрузки'!$B$17)+0.15*'Исходные данные'!$B$8+10)</x:f>
        <x:v>114.8</x:v>
      </x:c>
      <x:c r="E83" s="14" t="n">
        <x:f>MAX('Нагрузки'!C83,'Нагрузки'!D83)</x:f>
        <x:v>152.4735628325807</x:v>
      </x:c>
      <x:c r="F83" s="3"/>
    </x:row>
    <x:row r="84" ht="32" customHeight="1">
      <x:c r="A84" s="13" t="str">
        <x:f>'Нагрузки'!$A$18</x:f>
        <x:v>Второе дно</x:v>
      </x:c>
      <x:c r="B84" s="14" t="n">
        <x:f>MAX('Балластные случаи'!F112,'Балластные случаи'!F113,'Балластные случаи'!F114)</x:f>
        <x:v>167.91540614457827</x:v>
      </x:c>
      <x:c r="C84" s="14" t="n">
        <x:f>MAX('Балластные случаи'!D112,'Балластные случаи'!D113,'Балластные случаи'!D114)</x:f>
        <x:v>157.36240422016786</x:v>
      </x:c>
      <x:c r="D84" s="10" t="n">
        <x:f>MAX(0,10*('Исходные данные'!$B$11-'Нагрузки'!$B$18)+0.15*'Исходные данные'!$B$8+10)</x:f>
        <x:v>96.8</x:v>
      </x:c>
      <x:c r="E84" s="14" t="n">
        <x:f>MAX('Нагрузки'!C84,'Нагрузки'!D84)</x:f>
        <x:v>157.36240422016786</x:v>
      </x:c>
      <x:c r="F84" s="3"/>
    </x:row>
    <x:row r="85" ht="32" customHeight="1">
      <x:c r="A85" s="13" t="str">
        <x:f>'Нагрузки'!$A$19</x:f>
        <x:v>Верхняя палуба</x:v>
      </x:c>
      <x:c r="B85" s="14" t="n">
        <x:f>MAX('Балластные случаи'!F115,'Балластные случаи'!F116,'Балластные случаи'!F117)</x:f>
        <x:v>44.2358311445783</x:v>
      </x:c>
      <x:c r="C85" s="14" t="n">
        <x:f>MAX('Балластные случаи'!D115,'Балластные случаи'!D116,'Балластные случаи'!D117)</x:f>
        <x:v>44.2358311445783</x:v>
      </x:c>
      <x:c r="D85" s="10" t="n">
        <x:f>MAX(0,10*('Исходные данные'!$B$11-'Нагрузки'!$B$19)+0.15*'Исходные данные'!$B$8+10)</x:f>
        <x:v>0</x:v>
      </x:c>
      <x:c r="E85" s="14" t="n">
        <x:f>MAX('Нагрузки'!C85,'Нагрузки'!D85)</x:f>
        <x:v>44.2358311445783</x:v>
      </x:c>
      <x:c r="F85" s="3"/>
    </x:row>
    <x:row r="86" ht="32" customHeight="1">
      <x:c r="A86" s="13" t="str">
        <x:f>'Нагрузки'!$A$20</x:f>
        <x:v>Обшивка F</x:v>
      </x:c>
      <x:c r="B86" s="14" t="n">
        <x:f>MAX('Балластные случаи'!F118,'Балластные случаи'!F119,'Балластные случаи'!F120)</x:f>
        <x:v>186.0148561445783</x:v>
      </x:c>
      <x:c r="C86" s="14" t="n">
        <x:f>MAX('Балластные случаи'!D118,'Балластные случаи'!D119,'Балластные случаи'!D120)</x:f>
        <x:v>153.74611310752735</x:v>
      </x:c>
      <x:c r="D86" s="10" t="n">
        <x:f>MAX(0,10*('Исходные данные'!$B$11-'Нагрузки'!$B$20)+0.15*'Исходные данные'!$B$8+10)</x:f>
        <x:v>113.20027410797675</x:v>
      </x:c>
      <x:c r="E86" s="14" t="n">
        <x:f>MAX('Нагрузки'!C86,'Нагрузки'!D86)</x:f>
        <x:v>153.74611310752735</x:v>
      </x:c>
      <x:c r="F86" s="3"/>
    </x:row>
    <x:row r="87" ht="32" customHeight="1">
      <x:c r="A87" s="13" t="str">
        <x:f>'Нагрузки'!$A$21</x:f>
        <x:v>Обшивка G</x:v>
      </x:c>
      <x:c r="B87" s="14" t="n">
        <x:f>MAX('Балластные случаи'!F121,'Балластные случаи'!F122,'Балластные случаи'!F123)</x:f>
        <x:v>181.30362535432138</x:v>
      </x:c>
      <x:c r="C87" s="14" t="n">
        <x:f>MAX('Балластные случаи'!D121,'Балластные случаи'!D122,'Балластные случаи'!D123)</x:f>
        <x:v>158.94010162351543</x:v>
      </x:c>
      <x:c r="D87" s="10" t="n">
        <x:f>MAX(0,10*('Исходные данные'!$B$11-'Нагрузки'!$B$21)+0.15*'Исходные данные'!$B$8+10)</x:f>
        <x:v>105.67450115751524</x:v>
      </x:c>
      <x:c r="E87" s="14" t="n">
        <x:f>MAX('Нагрузки'!C87,'Нагрузки'!D87)</x:f>
        <x:v>158.94010162351543</x:v>
      </x:c>
      <x:c r="F87" s="3"/>
    </x:row>
    <x:row r="88" ht="32" customHeight="1">
      <x:c r="A88" s="13" t="str">
        <x:f>'Нагрузки'!$A$22</x:f>
        <x:v>Обшивка H</x:v>
      </x:c>
      <x:c r="B88" s="14" t="n">
        <x:f>MAX('Балластные случаи'!F124,'Балластные случаи'!F125,'Балластные случаи'!F126)</x:f>
        <x:v>162.0744608155844</x:v>
      </x:c>
      <x:c r="C88" s="14" t="n">
        <x:f>MAX('Балластные случаи'!D124,'Балластные случаи'!D125,'Балластные случаи'!D126)</x:f>
        <x:v>159.60667508403913</x:v>
      </x:c>
      <x:c r="D88" s="10" t="n">
        <x:f>MAX(0,10*('Исходные данные'!$B$11-'Нагрузки'!$B$22)+0.15*'Исходные данные'!$B$8+10)</x:f>
        <x:v>82.99114857512853</x:v>
      </x:c>
      <x:c r="E88" s="14" t="n">
        <x:f>MAX('Нагрузки'!C88,'Нагрузки'!D88)</x:f>
        <x:v>159.60667508403913</x:v>
      </x:c>
      <x:c r="F88" s="3"/>
    </x:row>
    <x:row r="89" ht="32" customHeight="1">
      <x:c r="A89" s="13" t="str">
        <x:f>'Нагрузки'!$A$23</x:f>
        <x:v>Обшивка I</x:v>
      </x:c>
      <x:c r="B89" s="14" t="n">
        <x:f>MAX('Балластные случаи'!F127,'Балластные случаи'!F128,'Балластные случаи'!F129)</x:f>
        <x:v>145.9860608155844</x:v>
      </x:c>
      <x:c r="C89" s="14" t="n">
        <x:f>MAX('Балластные случаи'!D127,'Балластные случаи'!D128,'Балластные случаи'!D129)</x:f>
        <x:v>145.9860608155844</x:v>
      </x:c>
      <x:c r="D89" s="10" t="n">
        <x:f>MAX(0,10*('Исходные данные'!$B$11-'Нагрузки'!$B$23)+0.15*'Исходные данные'!$B$8+10)</x:f>
        <x:v>66.99114857512853</x:v>
      </x:c>
      <x:c r="E89" s="14" t="n">
        <x:f>MAX('Нагрузки'!C89,'Нагрузки'!D89)</x:f>
        <x:v>145.9860608155844</x:v>
      </x:c>
      <x:c r="F89" s="3"/>
    </x:row>
    <x:row r="90" ht="32" customHeight="1">
      <x:c r="A90" s="13" t="str">
        <x:f>'Нагрузки'!$A$24</x:f>
        <x:v>Обшивка J</x:v>
      </x:c>
      <x:c r="B90" s="14" t="n">
        <x:f>MAX('Балластные случаи'!F130,'Балластные случаи'!F131,'Балластные случаи'!F132)</x:f>
        <x:v>129.8976608155844</x:v>
      </x:c>
      <x:c r="C90" s="14" t="n">
        <x:f>MAX('Балластные случаи'!D130,'Балластные случаи'!D131,'Балластные случаи'!D132)</x:f>
        <x:v>129.8976608155844</x:v>
      </x:c>
      <x:c r="D90" s="10" t="n">
        <x:f>MAX(0,10*('Исходные данные'!$B$11-'Нагрузки'!$B$24)+0.15*'Исходные данные'!$B$8+10)</x:f>
        <x:v>50.991148575128534</x:v>
      </x:c>
      <x:c r="E90" s="14" t="n">
        <x:f>MAX('Нагрузки'!C90,'Нагрузки'!D90)</x:f>
        <x:v>129.8976608155844</x:v>
      </x:c>
      <x:c r="F90" s="3"/>
    </x:row>
    <x:row r="91" ht="32" customHeight="1">
      <x:c r="A91" s="13" t="str">
        <x:f>'Нагрузки'!$A$25</x:f>
        <x:v>Обшивка K</x:v>
      </x:c>
      <x:c r="B91" s="14" t="n">
        <x:f>MAX('Балластные случаи'!F133,'Балластные случаи'!F134,'Балластные случаи'!F135)</x:f>
        <x:v>113.80926081558441</x:v>
      </x:c>
      <x:c r="C91" s="14" t="n">
        <x:f>MAX('Балластные случаи'!D133,'Балластные случаи'!D134,'Балластные случаи'!D135)</x:f>
        <x:v>113.80926081558441</x:v>
      </x:c>
      <x:c r="D91" s="10" t="n">
        <x:f>MAX(0,10*('Исходные данные'!$B$11-'Нагрузки'!$B$25)+0.15*'Исходные данные'!$B$8+10)</x:f>
        <x:v>34.991148575128534</x:v>
      </x:c>
      <x:c r="E91" s="14" t="n">
        <x:f>MAX('Нагрузки'!C91,'Нагрузки'!D91)</x:f>
        <x:v>113.80926081558441</x:v>
      </x:c>
      <x:c r="F91" s="3"/>
    </x:row>
    <x:row r="92" ht="32" customHeight="1">
      <x:c r="A92" s="13" t="str">
        <x:f>'Нагрузки'!$A$26</x:f>
        <x:v>Обшивка L</x:v>
      </x:c>
      <x:c r="B92" s="14" t="n">
        <x:f>MAX('Балластные случаи'!F136,'Балластные случаи'!F137,'Балластные случаи'!F138)</x:f>
        <x:v>97.72086081558442</x:v>
      </x:c>
      <x:c r="C92" s="14" t="n">
        <x:f>MAX('Балластные случаи'!D136,'Балластные случаи'!D137,'Балластные случаи'!D138)</x:f>
        <x:v>97.72086081558442</x:v>
      </x:c>
      <x:c r="D92" s="10" t="n">
        <x:f>MAX(0,10*('Исходные данные'!$B$11-'Нагрузки'!$B$26)+0.15*'Исходные данные'!$B$8+10)</x:f>
        <x:v>18.99114857512854</x:v>
      </x:c>
      <x:c r="E92" s="14" t="n">
        <x:f>MAX('Нагрузки'!C92,'Нагрузки'!D92)</x:f>
        <x:v>97.72086081558442</x:v>
      </x:c>
      <x:c r="F92" s="3"/>
    </x:row>
    <x:row r="93" ht="32" customHeight="1">
      <x:c r="A93" s="13" t="str">
        <x:f>'Нагрузки'!$A$27</x:f>
        <x:v>Обшивка M</x:v>
      </x:c>
      <x:c r="B93" s="14" t="n">
        <x:f>MAX('Балластные случаи'!F139,'Балластные случаи'!F140,'Балластные случаи'!F141)</x:f>
        <x:v>81.6324608155844</x:v>
      </x:c>
      <x:c r="C93" s="14" t="n">
        <x:f>MAX('Балластные случаи'!D139,'Балластные случаи'!D140,'Балластные случаи'!D141)</x:f>
        <x:v>81.6324608155844</x:v>
      </x:c>
      <x:c r="D93" s="10" t="n">
        <x:f>MAX(0,10*('Исходные данные'!$B$11-'Нагрузки'!$B$27)+0.15*'Исходные данные'!$B$8+10)</x:f>
        <x:v>5.343361431346395</x:v>
      </x:c>
      <x:c r="E93" s="14" t="n">
        <x:f>MAX('Нагрузки'!C93,'Нагрузки'!D93)</x:f>
        <x:v>81.6324608155844</x:v>
      </x:c>
      <x:c r="F93" s="3"/>
    </x:row>
    <x:row r="94" ht="32" customHeight="1">
      <x:c r="A94" s="13" t="str">
        <x:f>'Нагрузки'!$A$28</x:f>
        <x:v>Обшивка N</x:v>
      </x:c>
      <x:c r="B94" s="14" t="n">
        <x:f>MAX('Балластные случаи'!F142,'Балластные случаи'!F143,'Балластные случаи'!F144)</x:f>
        <x:v>70.27447848008134</x:v>
      </x:c>
      <x:c r="C94" s="14" t="n">
        <x:f>MAX('Балластные случаи'!D142,'Балластные случаи'!D143,'Балластные случаи'!D144)</x:f>
        <x:v>70.27447848008134</x:v>
      </x:c>
      <x:c r="D94" s="10" t="n">
        <x:f>MAX(0,10*('Исходные данные'!$B$11-'Нагрузки'!$B$28)+0.15*'Исходные данные'!$B$8+10)</x:f>
        <x:v>0</x:v>
      </x:c>
      <x:c r="E94" s="14" t="n">
        <x:f>MAX('Нагрузки'!C94,'Нагрузки'!D94)</x:f>
        <x:v>70.27447848008134</x:v>
      </x:c>
      <x:c r="F94" s="3"/>
    </x:row>
    <x:row r="95" ht="32" customHeight="1">
      <x:c r="A95" s="13" t="str">
        <x:f>'Нагрузки'!$A$29</x:f>
        <x:v>Обшивка SH</x:v>
      </x:c>
      <x:c r="B95" s="14" t="n">
        <x:f>MAX('Балластные случаи'!F145,'Балластные случаи'!F146,'Балластные случаи'!F147)</x:f>
        <x:v>58.91649614457829</x:v>
      </x:c>
      <x:c r="C95" s="14" t="n">
        <x:f>MAX('Балластные случаи'!D145,'Балластные случаи'!D146,'Балластные случаи'!D147)</x:f>
        <x:v>58.91649614457829</x:v>
      </x:c>
      <x:c r="D95" s="10" t="n">
        <x:f>MAX(0,10*('Исходные данные'!$B$11-'Нагрузки'!$B$29)+0.15*'Исходные данные'!$B$8+10)</x:f>
        <x:v>0</x:v>
      </x:c>
      <x:c r="E95" s="14" t="n">
        <x:f>MAX('Нагрузки'!C95,'Нагрузки'!D95)</x:f>
        <x:v>58.91649614457829</x:v>
      </x:c>
      <x:c r="F95" s="3"/>
    </x:row>
    <x:row r="96" ht="32" customHeight="1">
      <x:c r="A96" s="13" t="str">
        <x:f>'Нагрузки'!$A$30</x:f>
        <x:v>ISG</x:v>
      </x:c>
      <x:c r="B96" s="14" t="n">
        <x:f>MAX('Балластные случаи'!F148,'Балластные случаи'!F149,'Балластные случаи'!F150)</x:f>
        <x:v>167.91540614457827</x:v>
      </x:c>
      <x:c r="C96" s="14" t="n">
        <x:f>MAX('Балластные случаи'!D148,'Балластные случаи'!D149,'Балластные случаи'!D150)</x:f>
        <x:v>159.60667508403913</x:v>
      </x:c>
      <x:c r="D96" s="10" t="n">
        <x:f>MAX(0,10*('Исходные данные'!$B$11-'Нагрузки'!$B$30)+0.15*'Исходные данные'!$B$8+10)</x:f>
        <x:v>88.3</x:v>
      </x:c>
      <x:c r="E96" s="14" t="n">
        <x:f>MAX('Нагрузки'!C96,'Нагрузки'!D96)</x:f>
        <x:v>159.60667508403913</x:v>
      </x:c>
      <x:c r="F96" s="3"/>
    </x:row>
    <x:row r="97" ht="32" customHeight="1">
      <x:c r="A97" s="13" t="str">
        <x:f>'Нагрузки'!$A$31</x:f>
        <x:v>ISF</x:v>
      </x:c>
      <x:c r="B97" s="14" t="n">
        <x:f>MAX('Балластные случаи'!F151,'Балластные случаи'!F152,'Балластные случаи'!F153)</x:f>
        <x:v>150.82148114457829</x:v>
      </x:c>
      <x:c r="C97" s="14" t="n">
        <x:f>MAX('Балластные случаи'!D151,'Балластные случаи'!D152,'Балластные случаи'!D153)</x:f>
        <x:v>150.82148114457829</x:v>
      </x:c>
      <x:c r="D97" s="10" t="n">
        <x:f>MAX(0,10*('Исходные данные'!$B$11-'Нагрузки'!$B$31)+0.15*'Исходные данные'!$B$8+10)</x:f>
        <x:v>71.3</x:v>
      </x:c>
      <x:c r="E97" s="14" t="n">
        <x:f>MAX('Нагрузки'!C97,'Нагрузки'!D97)</x:f>
        <x:v>150.82148114457829</x:v>
      </x:c>
      <x:c r="F97" s="3"/>
    </x:row>
    <x:row r="98" ht="32" customHeight="1">
      <x:c r="A98" s="13" t="str">
        <x:f>'Нагрузки'!$A$32</x:f>
        <x:v>ISE</x:v>
      </x:c>
      <x:c r="B98" s="14" t="n">
        <x:f>MAX('Балластные случаи'!F154,'Балластные случаи'!F155,'Балластные случаи'!F156)</x:f>
        <x:v>133.7275561445783</x:v>
      </x:c>
      <x:c r="C98" s="14" t="n">
        <x:f>MAX('Балластные случаи'!D154,'Балластные случаи'!D155,'Балластные случаи'!D156)</x:f>
        <x:v>133.7275561445783</x:v>
      </x:c>
      <x:c r="D98" s="10" t="n">
        <x:f>MAX(0,10*('Исходные данные'!$B$11-'Нагрузки'!$B$32)+0.15*'Исходные данные'!$B$8+10)</x:f>
        <x:v>54.3</x:v>
      </x:c>
      <x:c r="E98" s="14" t="n">
        <x:f>MAX('Нагрузки'!C98,'Нагрузки'!D98)</x:f>
        <x:v>133.7275561445783</x:v>
      </x:c>
      <x:c r="F98" s="3"/>
    </x:row>
    <x:row r="99" ht="32" customHeight="1">
      <x:c r="A99" s="13" t="str">
        <x:f>'Нагрузки'!$A$33</x:f>
        <x:v>ISD</x:v>
      </x:c>
      <x:c r="B99" s="14" t="n">
        <x:f>MAX('Балластные случаи'!F157,'Балластные случаи'!F158,'Балластные случаи'!F159)</x:f>
        <x:v>116.63363114457827</x:v>
      </x:c>
      <x:c r="C99" s="14" t="n">
        <x:f>MAX('Балластные случаи'!D157,'Балластные случаи'!D158,'Балластные случаи'!D159)</x:f>
        <x:v>116.63363114457827</x:v>
      </x:c>
      <x:c r="D99" s="10" t="n">
        <x:f>MAX(0,10*('Исходные данные'!$B$11-'Нагрузки'!$B$33)+0.15*'Исходные данные'!$B$8+10)</x:f>
        <x:v>37.3</x:v>
      </x:c>
      <x:c r="E99" s="14" t="n">
        <x:f>MAX('Нагрузки'!C99,'Нагрузки'!D99)</x:f>
        <x:v>116.63363114457827</x:v>
      </x:c>
      <x:c r="F99" s="3"/>
    </x:row>
    <x:row r="100" ht="32" customHeight="1">
      <x:c r="A100" s="13" t="str">
        <x:f>'Нагрузки'!$A$34</x:f>
        <x:v>ISC</x:v>
      </x:c>
      <x:c r="B100" s="14" t="n">
        <x:f>MAX('Балластные случаи'!F160,'Балластные случаи'!F161,'Балластные случаи'!F162)</x:f>
        <x:v>99.53970614457829</x:v>
      </x:c>
      <x:c r="C100" s="14" t="n">
        <x:f>MAX('Балластные случаи'!D160,'Балластные случаи'!D161,'Балластные случаи'!D162)</x:f>
        <x:v>99.53970614457829</x:v>
      </x:c>
      <x:c r="D100" s="10" t="n">
        <x:f>MAX(0,10*('Исходные данные'!$B$11-'Нагрузки'!$B$34)+0.15*'Исходные данные'!$B$8+10)</x:f>
        <x:v>20.300000000000008</x:v>
      </x:c>
      <x:c r="E100" s="14" t="n">
        <x:f>MAX('Нагрузки'!C100,'Нагрузки'!D100)</x:f>
        <x:v>99.53970614457829</x:v>
      </x:c>
      <x:c r="F100" s="3"/>
    </x:row>
    <x:row r="101" ht="32" customHeight="1">
      <x:c r="A101" s="13" t="str">
        <x:f>'Нагрузки'!$A$35</x:f>
        <x:v>ISB</x:v>
      </x:c>
      <x:c r="B101" s="14" t="n">
        <x:f>MAX('Балластные случаи'!F163,'Балластные случаи'!F164,'Балластные случаи'!F165)</x:f>
        <x:v>82.44578114457829</x:v>
      </x:c>
      <x:c r="C101" s="14" t="n">
        <x:f>MAX('Балластные случаи'!D163,'Балластные случаи'!D164,'Балластные случаи'!D165)</x:f>
        <x:v>82.44578114457829</x:v>
      </x:c>
      <x:c r="D101" s="10" t="n">
        <x:f>MAX(0,10*('Исходные данные'!$B$11-'Нагрузки'!$B$35)+0.15*'Исходные данные'!$B$8+10)</x:f>
        <x:v>3.299999999999997</x:v>
      </x:c>
      <x:c r="E101" s="14" t="n">
        <x:f>MAX('Нагрузки'!C101,'Нагрузки'!D101)</x:f>
        <x:v>82.44578114457829</x:v>
      </x:c>
      <x:c r="F101" s="3"/>
    </x:row>
    <x:row r="102" ht="32" customHeight="1">
      <x:c r="A102" s="13" t="str">
        <x:f>'Нагрузки'!$A$36</x:f>
        <x:v>ISA</x:v>
      </x:c>
      <x:c r="B102" s="14" t="n">
        <x:f>MAX('Балластные случаи'!F166,'Балластные случаи'!F167,'Балластные случаи'!F168)</x:f>
        <x:v>65.35185614457829</x:v>
      </x:c>
      <x:c r="C102" s="14" t="n">
        <x:f>MAX('Балластные случаи'!D166,'Балластные случаи'!D167,'Балластные случаи'!D168)</x:f>
        <x:v>65.35185614457829</x:v>
      </x:c>
      <x:c r="D102" s="10" t="n">
        <x:f>MAX(0,10*('Исходные данные'!$B$11-'Нагрузки'!$B$36)+0.15*'Исходные данные'!$B$8+10)</x:f>
        <x:v>0</x:v>
      </x:c>
      <x:c r="E102" s="14" t="n">
        <x:f>MAX('Нагрузки'!C102,'Нагрузки'!D102)</x:f>
        <x:v>65.35185614457829</x:v>
      </x:c>
      <x:c r="F102" s="3"/>
    </x:row>
    <x:row r="103" ht="32" customHeight="1">
      <x:c r="A103" s="13" t="str">
        <x:f>'Нагрузки'!$A$37</x:f>
        <x:v>OF1</x:v>
      </x:c>
      <x:c r="B103" s="14" t="n">
        <x:f>MAX('Балластные случаи'!F169,'Балластные случаи'!F170,'Балластные случаи'!F171)</x:f>
        <x:v>152.8325311445783</x:v>
      </x:c>
      <x:c r="C103" s="14" t="n">
        <x:f>MAX('Балластные случаи'!D169,'Балластные случаи'!D170,'Балластные случаи'!D171)</x:f>
        <x:v>152.8325311445783</x:v>
      </x:c>
      <x:c r="D103" s="10" t="n">
        <x:f>MAX(0,10*('Исходные данные'!$B$11-'Нагрузки'!$B$37)+0.15*'Исходные данные'!$B$8+10)</x:f>
        <x:v>81.8</x:v>
      </x:c>
      <x:c r="E103" s="14" t="n">
        <x:f>MAX('Нагрузки'!C103,'Нагрузки'!D103)</x:f>
        <x:v>152.8325311445783</x:v>
      </x:c>
      <x:c r="F103" s="3"/>
    </x:row>
    <x:row r="104" ht="32" customHeight="1">
      <x:c r="A104" s="13" t="str">
        <x:f>'Нагрузки'!$A$38</x:f>
        <x:v>OF2</x:v>
      </x:c>
      <x:c r="B104" s="14" t="n">
        <x:f>MAX('Балластные случаи'!F172,'Балластные случаи'!F173,'Балластные случаи'!F174)</x:f>
        <x:v>122.16401864457828</x:v>
      </x:c>
      <x:c r="C104" s="14" t="n">
        <x:f>MAX('Балластные случаи'!D172,'Балластные случаи'!D173,'Балластные случаи'!D174)</x:f>
        <x:v>122.16401864457828</x:v>
      </x:c>
      <x:c r="D104" s="10" t="n">
        <x:f>MAX(0,10*('Исходные данные'!$B$11-'Нагрузки'!$B$38)+0.15*'Исходные данные'!$B$8+10)</x:f>
        <x:v>51.300000000000004</x:v>
      </x:c>
      <x:c r="E104" s="14" t="n">
        <x:f>MAX('Нагрузки'!C104,'Нагрузки'!D104)</x:f>
        <x:v>122.16401864457828</x:v>
      </x:c>
      <x:c r="F104" s="3"/>
    </x:row>
    <x:row r="105" ht="32" customHeight="1">
      <x:c r="A105" s="13" t="str">
        <x:f>'Нагрузки'!$A$39</x:f>
        <x:v>OF3</x:v>
      </x:c>
      <x:c r="B105" s="14" t="n">
        <x:f>MAX('Балластные случаи'!F175,'Балластные случаи'!F176,'Балластные случаи'!F177)</x:f>
        <x:v>90.99274364457831</x:v>
      </x:c>
      <x:c r="C105" s="14" t="n">
        <x:f>MAX('Балластные случаи'!D175,'Балластные случаи'!D176,'Балластные случаи'!D177)</x:f>
        <x:v>90.99274364457831</x:v>
      </x:c>
      <x:c r="D105" s="10" t="n">
        <x:f>MAX(0,10*('Исходные данные'!$B$11-'Нагрузки'!$B$39)+0.15*'Исходные данные'!$B$8+10)</x:f>
        <x:v>20.300000000000008</x:v>
      </x:c>
      <x:c r="E105" s="14" t="n">
        <x:f>MAX('Нагрузки'!C105,'Нагрузки'!D105)</x:f>
        <x:v>90.99274364457831</x:v>
      </x:c>
      <x:c r="F105" s="3"/>
    </x:row>
    <x:row r="106" ht="32" customHeight="1">
      <x:c r="A106" s="13" t="str">
        <x:f>'Нагрузки'!$A$40</x:f>
        <x:v>OF4</x:v>
      </x:c>
      <x:c r="B106" s="14" t="n">
        <x:f>MAX('Балластные случаи'!F178,'Балластные случаи'!F179,'Балластные случаи'!F180)</x:f>
        <x:v>59.82146864457828</x:v>
      </x:c>
      <x:c r="C106" s="14" t="n">
        <x:f>MAX('Балластные случаи'!D178,'Балластные случаи'!D179,'Балластные случаи'!D180)</x:f>
        <x:v>59.82146864457828</x:v>
      </x:c>
      <x:c r="D106" s="10" t="n">
        <x:f>MAX(0,10*('Исходные данные'!$B$11-'Нагрузки'!$B$40)+0.15*'Исходные данные'!$B$8+10)</x:f>
        <x:v>0</x:v>
      </x:c>
      <x:c r="E106" s="14" t="n">
        <x:f>MAX('Нагрузки'!C106,'Нагрузки'!D106)</x:f>
        <x:v>59.82146864457828</x:v>
      </x:c>
      <x:c r="F106" s="3"/>
    </x:row>
    <x:row r="107" ht="32" customHeight="1">
      <x:c r="A107" s="13" t="str">
        <x:f>'Нагрузки'!$A$41</x:f>
        <x:v>IF1</x:v>
      </x:c>
      <x:c r="B107" s="14" t="n">
        <x:f>MAX('Балластные случаи'!F181,'Балластные случаи'!F182,'Балластные случаи'!F183)</x:f>
        <x:v>152.8325311445783</x:v>
      </x:c>
      <x:c r="C107" s="14" t="n">
        <x:f>MAX('Балластные случаи'!D181,'Балластные случаи'!D182,'Балластные случаи'!D183)</x:f>
        <x:v>152.8325311445783</x:v>
      </x:c>
      <x:c r="D107" s="10" t="n">
        <x:f>MAX(0,10*('Исходные данные'!$B$11-'Нагрузки'!$B$41)+0.15*'Исходные данные'!$B$8+10)</x:f>
        <x:v>81.8</x:v>
      </x:c>
      <x:c r="E107" s="14" t="n">
        <x:f>MAX('Нагрузки'!C107,'Нагрузки'!D107)</x:f>
        <x:v>152.8325311445783</x:v>
      </x:c>
      <x:c r="F107" s="3"/>
    </x:row>
    <x:row r="108" ht="32" customHeight="1">
      <x:c r="A108" s="13" t="str">
        <x:f>'Нагрузки'!$A$42</x:f>
        <x:v>IF2</x:v>
      </x:c>
      <x:c r="B108" s="14" t="n">
        <x:f>MAX('Балластные случаи'!F184,'Балластные случаи'!F185,'Балластные случаи'!F186)</x:f>
        <x:v>122.16401864457828</x:v>
      </x:c>
      <x:c r="C108" s="14" t="n">
        <x:f>MAX('Балластные случаи'!D184,'Балластные случаи'!D185,'Балластные случаи'!D186)</x:f>
        <x:v>122.16401864457828</x:v>
      </x:c>
      <x:c r="D108" s="10" t="n">
        <x:f>MAX(0,10*('Исходные данные'!$B$11-'Нагрузки'!$B$42)+0.15*'Исходные данные'!$B$8+10)</x:f>
        <x:v>51.300000000000004</x:v>
      </x:c>
      <x:c r="E108" s="14" t="n">
        <x:f>MAX('Нагрузки'!C108,'Нагрузки'!D108)</x:f>
        <x:v>122.16401864457828</x:v>
      </x:c>
      <x:c r="F108" s="3"/>
    </x:row>
    <x:row r="109" ht="32" customHeight="1">
      <x:c r="A109" s="13" t="str">
        <x:f>'Нагрузки'!$A$43</x:f>
        <x:v>IF3</x:v>
      </x:c>
      <x:c r="B109" s="14" t="n">
        <x:f>MAX('Балластные случаи'!F187,'Балластные случаи'!F188,'Балластные случаи'!F189)</x:f>
        <x:v>90.99274364457831</x:v>
      </x:c>
      <x:c r="C109" s="14" t="n">
        <x:f>MAX('Балластные случаи'!D187,'Балластные случаи'!D188,'Балластные случаи'!D189)</x:f>
        <x:v>90.99274364457831</x:v>
      </x:c>
      <x:c r="D109" s="10" t="n">
        <x:f>MAX(0,10*('Исходные данные'!$B$11-'Нагрузки'!$B$43)+0.15*'Исходные данные'!$B$8+10)</x:f>
        <x:v>20.300000000000008</x:v>
      </x:c>
      <x:c r="E109" s="14" t="n">
        <x:f>MAX('Нагрузки'!C109,'Нагрузки'!D109)</x:f>
        <x:v>90.99274364457831</x:v>
      </x:c>
      <x:c r="F109" s="3"/>
    </x:row>
    <x:row r="110" ht="32" customHeight="1">
      <x:c r="A110" s="13" t="str">
        <x:f>'Нагрузки'!$A$44</x:f>
        <x:v>IF4</x:v>
      </x:c>
      <x:c r="B110" s="14" t="n">
        <x:f>MAX('Балластные случаи'!F190,'Балластные случаи'!F191,'Балластные случаи'!F192)</x:f>
        <x:v>59.41925864457829</x:v>
      </x:c>
      <x:c r="C110" s="14" t="n">
        <x:f>MAX('Балластные случаи'!D190,'Балластные случаи'!D191,'Балластные случаи'!D192)</x:f>
        <x:v>59.41925864457829</x:v>
      </x:c>
      <x:c r="D110" s="10" t="n">
        <x:f>MAX(0,10*('Исходные данные'!$B$11-'Нагрузки'!$B$44)+0.15*'Исходные данные'!$B$8+10)</x:f>
        <x:v>0</x:v>
      </x:c>
      <x:c r="E110" s="14" t="n">
        <x:f>MAX('Нагрузки'!C110,'Нагрузки'!D110)</x:f>
        <x:v>59.41925864457829</x:v>
      </x:c>
      <x:c r="F110" s="3"/>
    </x:row>
    <x:row r="111" ht="32" customHeight="1">
      <x:c r="A111" s="3"/>
      <x:c r="B111" s="3"/>
      <x:c r="C111" s="3"/>
      <x:c r="D111" s="3"/>
      <x:c r="E111" s="3"/>
      <x:c r="F111" s="3"/>
    </x:row>
    <x:row r="112" ht="32" customHeight="1">
      <x:c r="A112" s="3"/>
      <x:c r="B112" s="3"/>
      <x:c r="C112" s="3"/>
      <x:c r="D112" s="3"/>
      <x:c r="E112" s="3"/>
      <x:c r="F112" s="3"/>
    </x:row>
    <x:row r="113" ht="32" customHeight="1">
      <x:c r="A113" s="3"/>
      <x:c r="B113" s="3"/>
      <x:c r="C113" s="3"/>
      <x:c r="D113" s="3"/>
      <x:c r="E113" s="3"/>
      <x:c r="F113" s="3"/>
    </x:row>
    <x:row r="114" ht="32" customHeight="1">
      <x:c r="A114" s="3"/>
      <x:c r="B114" s="3"/>
      <x:c r="C114" s="3"/>
      <x:c r="D114" s="3"/>
      <x:c r="E114" s="3"/>
      <x:c r="F114" s="3"/>
    </x:row>
    <x:row r="115" ht="32" customHeight="1">
      <x:c r="A115" s="3"/>
      <x:c r="B115" s="3"/>
      <x:c r="C115" s="3"/>
      <x:c r="D115" s="3"/>
      <x:c r="E115" s="3"/>
      <x:c r="F115" s="3"/>
    </x:row>
  </x:sheetData>
  <x:mergeCells>
    <x:mergeCell ref="A1:F1"/>
    <x:mergeCell ref="A2:F3"/>
    <x:mergeCell ref="A5:F5"/>
    <x:mergeCell ref="A11:F11"/>
    <x:mergeCell ref="A12:F12"/>
    <x:mergeCell ref="A15:F15"/>
    <x:mergeCell ref="A48:F48"/>
    <x:mergeCell ref="A81:F8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42" customHeight="1">
      <x:c r="A1" s="4" t="str">
        <x:v>Листы</x:v>
      </x:c>
      <x:c r="B1" s="3"/>
      <x:c r="C1" s="3"/>
      <x:c r="D1" s="3"/>
      <x:c r="E1" s="3"/>
      <x:c r="F1" s="3"/>
    </x:row>
    <x:row r="2" ht="24" customHeight="1">
      <x:c r="A2" s="7"/>
      <x:c r="B2" s="7"/>
      <x:c r="C2" s="7"/>
      <x:c r="D2" s="7"/>
      <x:c r="E2" s="7"/>
      <x:c r="F2" s="7"/>
    </x:row>
    <x:row r="3" ht="24" customHeight="1">
      <x:c r="A3" s="7"/>
      <x:c r="B3" s="7"/>
      <x:c r="C3" s="7"/>
      <x:c r="D3" s="7"/>
      <x:c r="E3" s="7"/>
      <x:c r="F3" s="7"/>
    </x:row>
    <x:row r="4" ht="32" customHeight="1">
      <x:c r="A4" s="3"/>
      <x:c r="B4" s="3"/>
      <x:c r="C4" s="3"/>
      <x:c r="D4" s="3"/>
      <x:c r="E4" s="3"/>
      <x:c r="F4" s="3"/>
    </x:row>
    <x:row r="5" ht="32" customHeight="1">
      <x:c r="A5" s="3"/>
      <x:c r="B5" s="3"/>
      <x:c r="C5" s="3"/>
      <x:c r="D5" s="3"/>
      <x:c r="E5" s="3"/>
      <x:c r="F5" s="3"/>
    </x:row>
    <x:row r="6" ht="32" customHeight="1">
      <x:c r="A6" s="3"/>
      <x:c r="B6" s="3"/>
      <x:c r="C6" s="3"/>
      <x:c r="D6" s="3"/>
      <x:c r="E6" s="3"/>
      <x:c r="F6" s="3"/>
    </x:row>
    <x:row r="7" ht="32" customHeight="1">
      <x:c r="A7" s="3"/>
      <x:c r="B7" s="3"/>
      <x:c r="C7" s="3"/>
      <x:c r="D7" s="3"/>
      <x:c r="E7" s="3"/>
      <x:c r="F7" s="3"/>
    </x:row>
    <x:row r="8" ht="32" customHeight="1">
      <x:c r="A8" s="3"/>
      <x:c r="B8" s="3"/>
      <x:c r="C8" s="3"/>
      <x:c r="D8" s="3"/>
      <x:c r="E8" s="3"/>
      <x:c r="F8" s="3"/>
    </x:row>
    <x:row r="9" ht="32" customHeight="1">
      <x:c r="A9" s="3"/>
      <x:c r="B9" s="3"/>
      <x:c r="C9" s="3"/>
      <x:c r="D9" s="3"/>
      <x:c r="E9" s="3"/>
      <x:c r="F9" s="3"/>
    </x:row>
    <x:row r="10" ht="36" customHeight="1">
      <x:c r="A10" s="11" t="str">
        <x:v>1. Размеры и давление</x:v>
      </x:c>
      <x:c r="B10" s="11"/>
      <x:c r="C10" s="11"/>
      <x:c r="D10" s="11"/>
      <x:c r="E10" s="11"/>
      <x:c r="F10" s="11"/>
    </x:row>
    <x:row r="11" ht="54" customHeight="1">
      <x:c r="A11" s="6" t="str">
        <x:v>Марка</x:v>
      </x:c>
      <x:c r="B11" s="6" t="str">
        <x:v>Наименование</x:v>
      </x:c>
      <x:c r="C11" s="6" t="str">
        <x:v>a, м</x:v>
      </x:c>
      <x:c r="D11" s="6" t="str">
        <x:v>b, м</x:v>
      </x:c>
      <x:c r="E11" s="6" t="str">
        <x:v>p, кПа</x:v>
      </x:c>
      <x:c r="F11" s="6" t="str">
        <x:v>k</x:v>
      </x:c>
    </x:row>
    <x:row r="12" ht="32" customHeight="1">
      <x:c r="A12" s="3" t="str">
        <x:v>KL</x:v>
      </x:c>
      <x:c r="B12" s="3" t="str">
        <x:v>Горизонтальный киль</x:v>
      </x:c>
      <x:c r="C12" s="10" t="n">
        <x:f>'Исходные данные'!$B$22</x:f>
        <x:v>0.7</x:v>
      </x:c>
      <x:c r="D12" s="10" t="n">
        <x:f>'Исходные данные'!$B$20</x:f>
        <x:v>2.25</x:v>
      </x:c>
      <x:c r="E12" s="10" t="n">
        <x:f>'Нагрузки'!$C$83</x:f>
        <x:v>152.4735628325807</x:v>
      </x:c>
      <x:c r="F12" s="10" t="n">
        <x:f>MIN(1.2-0.5*'Листы'!$C$12/'Листы'!$D$12,1)</x:f>
        <x:v>1</x:v>
      </x:c>
    </x:row>
    <x:row r="13" ht="32" customHeight="1">
      <x:c r="A13" s="3" t="str">
        <x:v>A</x:v>
      </x:c>
      <x:c r="B13" s="3" t="str">
        <x:v>Наружная обшивка A</x:v>
      </x:c>
      <x:c r="C13" s="10" t="n">
        <x:f>'Исходные данные'!$B$22</x:f>
        <x:v>0.7</x:v>
      </x:c>
      <x:c r="D13" s="10" t="n">
        <x:f>'Исходные данные'!$B$20</x:f>
        <x:v>2.25</x:v>
      </x:c>
      <x:c r="E13" s="10" t="n">
        <x:f>'Нагрузки'!$C$83</x:f>
        <x:v>152.4735628325807</x:v>
      </x:c>
      <x:c r="F13" s="10" t="n">
        <x:f>MIN(1.2-0.5*'Листы'!$C$13/'Листы'!$D$13,1)</x:f>
        <x:v>1</x:v>
      </x:c>
    </x:row>
    <x:row r="14" ht="32" customHeight="1">
      <x:c r="A14" s="3" t="str">
        <x:v>B</x:v>
      </x:c>
      <x:c r="B14" s="3" t="str">
        <x:v>Наружная обшивка B</x:v>
      </x:c>
      <x:c r="C14" s="10" t="n">
        <x:f>'Исходные данные'!$B$22</x:f>
        <x:v>0.7</x:v>
      </x:c>
      <x:c r="D14" s="10" t="n">
        <x:f>'Исходные данные'!$B$20</x:f>
        <x:v>2.25</x:v>
      </x:c>
      <x:c r="E14" s="10" t="n">
        <x:f>'Нагрузки'!$C$83</x:f>
        <x:v>152.4735628325807</x:v>
      </x:c>
      <x:c r="F14" s="10" t="n">
        <x:f>MIN(1.2-0.5*'Листы'!$C$14/'Листы'!$D$14,1)</x:f>
        <x:v>1</x:v>
      </x:c>
    </x:row>
    <x:row r="15" ht="32" customHeight="1">
      <x:c r="A15" s="3" t="str">
        <x:v>C</x:v>
      </x:c>
      <x:c r="B15" s="3" t="str">
        <x:v>Наружная обшивка C</x:v>
      </x:c>
      <x:c r="C15" s="10" t="n">
        <x:f>'Исходные данные'!$B$22</x:f>
        <x:v>0.7</x:v>
      </x:c>
      <x:c r="D15" s="10" t="n">
        <x:f>'Исходные данные'!$B$20</x:f>
        <x:v>2.25</x:v>
      </x:c>
      <x:c r="E15" s="10" t="n">
        <x:f>'Нагрузки'!$C$83</x:f>
        <x:v>152.4735628325807</x:v>
      </x:c>
      <x:c r="F15" s="10" t="n">
        <x:f>MIN(1.2-0.5*'Листы'!$C$15/'Листы'!$D$15,1)</x:f>
        <x:v>1</x:v>
      </x:c>
    </x:row>
    <x:row r="16" ht="32" customHeight="1">
      <x:c r="A16" s="3" t="str">
        <x:v>D</x:v>
      </x:c>
      <x:c r="B16" s="3" t="str">
        <x:v>Наружная обшивка D</x:v>
      </x:c>
      <x:c r="C16" s="10" t="n">
        <x:f>'Исходные данные'!$B$22</x:f>
        <x:v>0.7</x:v>
      </x:c>
      <x:c r="D16" s="10" t="n">
        <x:f>'Исходные данные'!$B$20</x:f>
        <x:v>2.25</x:v>
      </x:c>
      <x:c r="E16" s="10" t="n">
        <x:f>'Нагрузки'!$C$83</x:f>
        <x:v>152.4735628325807</x:v>
      </x:c>
      <x:c r="F16" s="10" t="n">
        <x:f>MIN(1.2-0.5*'Листы'!$C$16/'Листы'!$D$16,1)</x:f>
        <x:v>1</x:v>
      </x:c>
    </x:row>
    <x:row r="17" ht="32" customHeight="1">
      <x:c r="A17" s="3" t="str">
        <x:v>E</x:v>
      </x:c>
      <x:c r="B17" s="3" t="str">
        <x:v>Наружная обшивка E</x:v>
      </x:c>
      <x:c r="C17" s="10" t="n">
        <x:f>'Исходные данные'!$B$22</x:f>
        <x:v>0.7</x:v>
      </x:c>
      <x:c r="D17" s="10" t="n">
        <x:f>'Исходные данные'!$B$20</x:f>
        <x:v>2.25</x:v>
      </x:c>
      <x:c r="E17" s="10" t="n">
        <x:f>'Нагрузки'!$C$83</x:f>
        <x:v>152.4735628325807</x:v>
      </x:c>
      <x:c r="F17" s="10" t="n">
        <x:f>MIN(1.2-0.5*'Листы'!$C$17/'Листы'!$D$17,1)</x:f>
        <x:v>1</x:v>
      </x:c>
    </x:row>
    <x:row r="18" ht="32" customHeight="1">
      <x:c r="A18" s="3" t="str">
        <x:v>F</x:v>
      </x:c>
      <x:c r="B18" s="3" t="str">
        <x:v>Наружная обшивка F</x:v>
      </x:c>
      <x:c r="C18" s="10" t="n">
        <x:f>'Исходные данные'!$B$18</x:f>
        <x:v>0.75</x:v>
      </x:c>
      <x:c r="D18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3.1000000000000005</x:v>
      </x:c>
      <x:c r="E18" s="10" t="n">
        <x:f>'Нагрузки'!$C$86</x:f>
        <x:v>153.74611310752735</x:v>
      </x:c>
      <x:c r="F18" s="10" t="n">
        <x:f>MIN(1.2-0.5*'Листы'!$C$18/'Листы'!$D$18,1)</x:f>
        <x:v>1</x:v>
      </x:c>
    </x:row>
    <x:row r="19" ht="32" customHeight="1">
      <x:c r="A19" s="3" t="str">
        <x:v>G</x:v>
      </x:c>
      <x:c r="B19" s="3" t="str">
        <x:v>Наружная обшивка G</x:v>
      </x:c>
      <x:c r="C19" s="10" t="n">
        <x:f>'Исходные данные'!$B$18</x:f>
        <x:v>0.75</x:v>
      </x:c>
      <x:c r="D19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3.1000000000000005</x:v>
      </x:c>
      <x:c r="E19" s="10" t="n">
        <x:f>'Нагрузки'!$C$87</x:f>
        <x:v>158.94010162351543</x:v>
      </x:c>
      <x:c r="F19" s="10" t="n">
        <x:f>MIN(1.2-0.5*'Листы'!$C$19/'Листы'!$D$19,1)</x:f>
        <x:v>1</x:v>
      </x:c>
    </x:row>
    <x:row r="20" ht="32" customHeight="1">
      <x:c r="A20" s="3" t="str">
        <x:v>H</x:v>
      </x:c>
      <x:c r="B20" s="3" t="str">
        <x:v>Наружная обшивка H</x:v>
      </x:c>
      <x:c r="C20" s="10" t="n">
        <x:f>'Исходные данные'!$B$18</x:f>
        <x:v>0.75</x:v>
      </x:c>
      <x:c r="D20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3.1000000000000005</x:v>
      </x:c>
      <x:c r="E20" s="10" t="n">
        <x:f>'Нагрузки'!$C$88</x:f>
        <x:v>159.60667508403913</x:v>
      </x:c>
      <x:c r="F20" s="10" t="n">
        <x:f>MIN(1.2-0.5*'Листы'!$C$20/'Листы'!$D$20,1)</x:f>
        <x:v>1</x:v>
      </x:c>
    </x:row>
    <x:row r="21" ht="32" customHeight="1">
      <x:c r="A21" s="3" t="str">
        <x:v>I</x:v>
      </x:c>
      <x:c r="B21" s="3" t="str">
        <x:v>Наружная обшивка I</x:v>
      </x:c>
      <x:c r="C21" s="10" t="n">
        <x:f>'Исходные данные'!$B$18</x:f>
        <x:v>0.75</x:v>
      </x:c>
      <x:c r="D21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3.1000000000000005</x:v>
      </x:c>
      <x:c r="E21" s="10" t="n">
        <x:f>'Нагрузки'!$C$89</x:f>
        <x:v>145.9860608155844</x:v>
      </x:c>
      <x:c r="F21" s="10" t="n">
        <x:f>MIN(1.2-0.5*'Листы'!$C$21/'Листы'!$D$21,1)</x:f>
        <x:v>1</x:v>
      </x:c>
    </x:row>
    <x:row r="22" ht="32" customHeight="1">
      <x:c r="A22" s="3" t="str">
        <x:v>J</x:v>
      </x:c>
      <x:c r="B22" s="3" t="str">
        <x:v>Наружная обшивка J</x:v>
      </x:c>
      <x:c r="C22" s="10" t="n">
        <x:f>'Исходные данные'!$B$18</x:f>
        <x:v>0.75</x:v>
      </x:c>
      <x:c r="D22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3.1000000000000005</x:v>
      </x:c>
      <x:c r="E22" s="10" t="n">
        <x:f>'Нагрузки'!$C$90</x:f>
        <x:v>129.8976608155844</x:v>
      </x:c>
      <x:c r="F22" s="10" t="n">
        <x:f>MIN(1.2-0.5*'Листы'!$C$22/'Листы'!$D$22,1)</x:f>
        <x:v>1</x:v>
      </x:c>
    </x:row>
    <x:row r="23" ht="32" customHeight="1">
      <x:c r="A23" s="3" t="str">
        <x:v>K</x:v>
      </x:c>
      <x:c r="B23" s="3" t="str">
        <x:v>Наружная обшивка K</x:v>
      </x:c>
      <x:c r="C23" s="10" t="n">
        <x:f>'Исходные данные'!$B$18</x:f>
        <x:v>0.75</x:v>
      </x:c>
      <x:c r="D23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3.1000000000000005</x:v>
      </x:c>
      <x:c r="E23" s="10" t="n">
        <x:f>'Нагрузки'!$C$91</x:f>
        <x:v>113.80926081558441</x:v>
      </x:c>
      <x:c r="F23" s="10" t="n">
        <x:f>MIN(1.2-0.5*'Листы'!$C$23/'Листы'!$D$23,1)</x:f>
        <x:v>1</x:v>
      </x:c>
    </x:row>
    <x:row r="24" ht="32" customHeight="1">
      <x:c r="A24" s="3" t="str">
        <x:v>L</x:v>
      </x:c>
      <x:c r="B24" s="3" t="str">
        <x:v>Наружная обшивка L</x:v>
      </x:c>
      <x:c r="C24" s="10" t="n">
        <x:f>'Исходные данные'!$B$18</x:f>
        <x:v>0.75</x:v>
      </x:c>
      <x:c r="D24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3.1000000000000005</x:v>
      </x:c>
      <x:c r="E24" s="10" t="n">
        <x:f>'Нагрузки'!$C$92</x:f>
        <x:v>97.72086081558442</x:v>
      </x:c>
      <x:c r="F24" s="10" t="n">
        <x:f>MIN(1.2-0.5*'Листы'!$C$24/'Листы'!$D$24,1)</x:f>
        <x:v>1</x:v>
      </x:c>
    </x:row>
    <x:row r="25" ht="32" customHeight="1">
      <x:c r="A25" s="3" t="str">
        <x:v>M</x:v>
      </x:c>
      <x:c r="B25" s="3" t="str">
        <x:v>Наружная обшивка M</x:v>
      </x:c>
      <x:c r="C25" s="10" t="n">
        <x:f>'Исходные данные'!$B$18</x:f>
        <x:v>0.75</x:v>
      </x:c>
      <x:c r="D25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3.1000000000000005</x:v>
      </x:c>
      <x:c r="E25" s="10" t="n">
        <x:f>'Нагрузки'!$C$93</x:f>
        <x:v>81.6324608155844</x:v>
      </x:c>
      <x:c r="F25" s="10" t="n">
        <x:f>MIN(1.2-0.5*'Листы'!$C$25/'Листы'!$D$25,1)</x:f>
        <x:v>1</x:v>
      </x:c>
    </x:row>
    <x:row r="26" ht="32" customHeight="1">
      <x:c r="A26" s="3" t="str">
        <x:v>N</x:v>
      </x:c>
      <x:c r="B26" s="3" t="str">
        <x:v>Наружная обшивка N</x:v>
      </x:c>
      <x:c r="C26" s="10" t="n">
        <x:f>'Исходные данные'!$B$18</x:f>
        <x:v>0.75</x:v>
      </x:c>
      <x:c r="D26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3.1000000000000005</x:v>
      </x:c>
      <x:c r="E26" s="10" t="n">
        <x:f>'Нагрузки'!$C$94</x:f>
        <x:v>70.27447848008134</x:v>
      </x:c>
      <x:c r="F26" s="10" t="n">
        <x:f>MIN(1.2-0.5*'Листы'!$C$26/'Листы'!$D$26,1)</x:f>
        <x:v>1</x:v>
      </x:c>
    </x:row>
    <x:row r="27" ht="32" customHeight="1">
      <x:c r="A27" s="3" t="str">
        <x:v>SH</x:v>
      </x:c>
      <x:c r="B27" s="3" t="str">
        <x:v>Ширстрек</x:v>
      </x:c>
      <x:c r="C27" s="10" t="n">
        <x:f>'Исходные данные'!$B$18</x:f>
        <x:v>0.75</x:v>
      </x:c>
      <x:c r="D27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3.1000000000000005</x:v>
      </x:c>
      <x:c r="E27" s="10" t="n">
        <x:f>'Нагрузки'!$C$95</x:f>
        <x:v>58.91649614457829</x:v>
      </x:c>
      <x:c r="F27" s="10" t="n">
        <x:f>MIN(1.2-0.5*'Листы'!$C$27/'Листы'!$D$27,1)</x:f>
        <x:v>1</x:v>
      </x:c>
    </x:row>
    <x:row r="28" ht="32" customHeight="1">
      <x:c r="A28" s="3" t="str">
        <x:v>IB</x:v>
      </x:c>
      <x:c r="B28" s="3" t="str">
        <x:v>Настил второго дна</x:v>
      </x:c>
      <x:c r="C28" s="10" t="n">
        <x:f>'Исходные данные'!$B$22</x:f>
        <x:v>0.7</x:v>
      </x:c>
      <x:c r="D28" s="10" t="n">
        <x:f>'Исходные данные'!$B$20</x:f>
        <x:v>2.25</x:v>
      </x:c>
      <x:c r="E28" s="10" t="n">
        <x:f>'Нагрузки'!$B$84</x:f>
        <x:v>167.91540614457827</x:v>
      </x:c>
      <x:c r="F28" s="10" t="n">
        <x:f>MIN(1.2-0.5*'Листы'!$C$28/'Листы'!$D$28,1)</x:f>
        <x:v>1</x:v>
      </x:c>
    </x:row>
    <x:row r="29" ht="32" customHeight="1">
      <x:c r="A29" s="3" t="str">
        <x:v>IM</x:v>
      </x:c>
      <x:c r="B29" s="3" t="str">
        <x:v>Крайний междудонный лист</x:v>
      </x:c>
      <x:c r="C29" s="10" t="n">
        <x:f>'Исходные данные'!$B$22</x:f>
        <x:v>0.7</x:v>
      </x:c>
      <x:c r="D29" s="10" t="n">
        <x:f>'Исходные данные'!$B$20</x:f>
        <x:v>2.25</x:v>
      </x:c>
      <x:c r="E29" s="10" t="n">
        <x:f>'Нагрузки'!$B$84</x:f>
        <x:v>167.91540614457827</x:v>
      </x:c>
      <x:c r="F29" s="10" t="n">
        <x:f>MIN(1.2-0.5*'Листы'!$C$29/'Листы'!$D$29,1)</x:f>
        <x:v>1</x:v>
      </x:c>
    </x:row>
    <x:row r="30" ht="32" customHeight="1">
      <x:c r="A30" s="3" t="str">
        <x:v>DK</x:v>
      </x:c>
      <x:c r="B30" s="3" t="str">
        <x:v>Настил верхней палубы</x:v>
      </x:c>
      <x:c r="C30" s="10" t="n">
        <x:f>'Исходные данные'!$B$22</x:f>
        <x:v>0.7</x:v>
      </x:c>
      <x:c r="D30" s="10" t="n">
        <x:f>'Исходные данные'!$B$20</x:f>
        <x:v>2.25</x:v>
      </x:c>
      <x:c r="E30" s="10" t="n">
        <x:f>'Нагрузки'!$B$85</x:f>
        <x:v>44.2358311445783</x:v>
      </x:c>
      <x:c r="F30" s="10" t="n">
        <x:f>MIN(1.2-0.5*'Листы'!$C$30/'Листы'!$D$30,1)</x:f>
        <x:v>1</x:v>
      </x:c>
    </x:row>
    <x:row r="31" ht="32" customHeight="1">
      <x:c r="A31" s="3" t="str">
        <x:v>ISG</x:v>
      </x:c>
      <x:c r="B31" s="3" t="str">
        <x:v>Внутренний борт ISG</x:v>
      </x:c>
      <x:c r="C31" s="10" t="n">
        <x:f>'Исходные данные'!$B$18</x:f>
        <x:v>0.75</x:v>
      </x:c>
      <x:c r="D31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данные'!B10+'Исходные данные'!B17*'Исходные данные'!B15/('Исходные данные'!B9/2)-'Исходные данные'!B25)</x:f>
        <x:v>3.1799999999999997</x:v>
      </x:c>
      <x:c r="E31" s="10" t="n">
        <x:f>'Нагрузки'!$B$96</x:f>
        <x:v>167.91540614457827</x:v>
      </x:c>
      <x:c r="F31" s="10" t="n">
        <x:f>MIN(1.2-0.5*'Листы'!$C$31/'Листы'!$D$31,1)</x:f>
        <x:v>1</x:v>
      </x:c>
    </x:row>
    <x:row r="32" ht="32" customHeight="1">
      <x:c r="A32" s="3" t="str">
        <x:v>ISF</x:v>
      </x:c>
      <x:c r="B32" s="3" t="str">
        <x:v>Внутренний борт ISF</x:v>
      </x:c>
      <x:c r="C32" s="10" t="n">
        <x:f>'Исходные данные'!$B$18</x:f>
        <x:v>0.75</x:v>
      </x:c>
      <x:c r="D32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данные'!B10+'Исходные данные'!B17*'Исходные данные'!B15/('Исходные данные'!B9/2)-'Исходные данные'!B25)</x:f>
        <x:v>3.1799999999999997</x:v>
      </x:c>
      <x:c r="E32" s="10" t="n">
        <x:f>'Нагрузки'!$B$97</x:f>
        <x:v>150.82148114457829</x:v>
      </x:c>
      <x:c r="F32" s="10" t="n">
        <x:f>MIN(1.2-0.5*'Листы'!$C$32/'Листы'!$D$32,1)</x:f>
        <x:v>1</x:v>
      </x:c>
    </x:row>
    <x:row r="33" ht="32" customHeight="1">
      <x:c r="A33" s="3" t="str">
        <x:v>ISE</x:v>
      </x:c>
      <x:c r="B33" s="3" t="str">
        <x:v>Внутренний борт ISE</x:v>
      </x:c>
      <x:c r="C33" s="10" t="n">
        <x:f>'Исходные данные'!$B$18</x:f>
        <x:v>0.75</x:v>
      </x:c>
      <x:c r="D33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данные'!B10+'Исходные данные'!B17*'Исходные данные'!B15/('Исходные данные'!B9/2)-'Исходные данные'!B25)</x:f>
        <x:v>3.1799999999999997</x:v>
      </x:c>
      <x:c r="E33" s="10" t="n">
        <x:f>'Нагрузки'!$B$98</x:f>
        <x:v>133.7275561445783</x:v>
      </x:c>
      <x:c r="F33" s="10" t="n">
        <x:f>MIN(1.2-0.5*'Листы'!$C$33/'Листы'!$D$33,1)</x:f>
        <x:v>1</x:v>
      </x:c>
    </x:row>
    <x:row r="34" ht="32" customHeight="1">
      <x:c r="A34" s="3" t="str">
        <x:v>ISD</x:v>
      </x:c>
      <x:c r="B34" s="3" t="str">
        <x:v>Внутренний борт ISD</x:v>
      </x:c>
      <x:c r="C34" s="10" t="n">
        <x:f>'Исходные данные'!$B$18</x:f>
        <x:v>0.75</x:v>
      </x:c>
      <x:c r="D34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данные'!B10+'Исходные данные'!B17*'Исходные данные'!B15/('Исходные данные'!B9/2)-'Исходные данные'!B25)</x:f>
        <x:v>3.1799999999999997</x:v>
      </x:c>
      <x:c r="E34" s="10" t="n">
        <x:f>'Нагрузки'!$B$99</x:f>
        <x:v>116.63363114457827</x:v>
      </x:c>
      <x:c r="F34" s="10" t="n">
        <x:f>MIN(1.2-0.5*'Листы'!$C$34/'Листы'!$D$34,1)</x:f>
        <x:v>1</x:v>
      </x:c>
    </x:row>
    <x:row r="35" ht="32" customHeight="1">
      <x:c r="A35" s="3" t="str">
        <x:v>ISC</x:v>
      </x:c>
      <x:c r="B35" s="3" t="str">
        <x:v>Внутренний борт ISC</x:v>
      </x:c>
      <x:c r="C35" s="10" t="n">
        <x:f>'Исходные данные'!$B$18</x:f>
        <x:v>0.75</x:v>
      </x:c>
      <x:c r="D35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данные'!B10+'Исходные данные'!B17*'Исходные данные'!B15/('Исходные данные'!B9/2)-'Исходные данные'!B25)</x:f>
        <x:v>3.1799999999999997</x:v>
      </x:c>
      <x:c r="E35" s="10" t="n">
        <x:f>'Нагрузки'!$B$100</x:f>
        <x:v>99.53970614457829</x:v>
      </x:c>
      <x:c r="F35" s="10" t="n">
        <x:f>MIN(1.2-0.5*'Листы'!$C$35/'Листы'!$D$35,1)</x:f>
        <x:v>1</x:v>
      </x:c>
    </x:row>
    <x:row r="36" ht="32" customHeight="1">
      <x:c r="A36" s="3" t="str">
        <x:v>ISB</x:v>
      </x:c>
      <x:c r="B36" s="3" t="str">
        <x:v>Внутренний борт ISB</x:v>
      </x:c>
      <x:c r="C36" s="10" t="n">
        <x:f>'Исходные данные'!$B$18</x:f>
        <x:v>0.75</x:v>
      </x:c>
      <x:c r="D36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данные'!B10+'Исходные данные'!B17*'Исходные данные'!B15/('Исходные данные'!B9/2)-'Исходные данные'!B25)</x:f>
        <x:v>3.1799999999999997</x:v>
      </x:c>
      <x:c r="E36" s="10" t="n">
        <x:f>'Нагрузки'!$B$101</x:f>
        <x:v>82.44578114457829</x:v>
      </x:c>
      <x:c r="F36" s="10" t="n">
        <x:f>MIN(1.2-0.5*'Листы'!$C$36/'Листы'!$D$36,1)</x:f>
        <x:v>1</x:v>
      </x:c>
    </x:row>
    <x:row r="37" ht="32" customHeight="1">
      <x:c r="A37" s="3" t="str">
        <x:v>ISA</x:v>
      </x:c>
      <x:c r="B37" s="3" t="str">
        <x:v>Внутренний борт ISA</x:v>
      </x:c>
      <x:c r="C37" s="10" t="n">
        <x:f>'Исходные данные'!$B$18</x:f>
        <x:v>0.75</x:v>
      </x:c>
      <x:c r="D37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данные'!B10+'Исходные данные'!B17*'Исходные данные'!B15/('Исходные данные'!B9/2)-'Исходные данные'!B25)</x:f>
        <x:v>3.1799999999999997</x:v>
      </x:c>
      <x:c r="E37" s="10" t="n">
        <x:f>'Нагрузки'!$B$102</x:f>
        <x:v>65.35185614457829</x:v>
      </x:c>
      <x:c r="F37" s="10" t="n">
        <x:f>MIN(1.2-0.5*'Листы'!$C$37/'Листы'!$D$37,1)</x:f>
        <x:v>1</x:v>
      </x:c>
    </x:row>
    <x:row r="38" ht="32" customHeight="1">
      <x:c r="A38" s="3"/>
      <x:c r="B38" s="3"/>
      <x:c r="C38" s="3"/>
      <x:c r="D38" s="3"/>
      <x:c r="E38" s="3"/>
      <x:c r="F38" s="3"/>
    </x:row>
    <x:row r="39" ht="32" customHeight="1">
      <x:c r="A39" s="3"/>
      <x:c r="B39" s="3"/>
      <x:c r="C39" s="3"/>
      <x:c r="D39" s="3"/>
      <x:c r="E39" s="3"/>
      <x:c r="F39" s="3"/>
    </x:row>
    <x:row r="40" ht="32" customHeight="1">
      <x:c r="A40" s="3"/>
      <x:c r="B40" s="3"/>
      <x:c r="C40" s="3"/>
      <x:c r="D40" s="3"/>
      <x:c r="E40" s="3"/>
      <x:c r="F40" s="3"/>
    </x:row>
    <x:row r="41" ht="36" customHeight="1">
      <x:c r="A41" s="11" t="str">
        <x:v>2. Коэффициенты и коррозия</x:v>
      </x:c>
      <x:c r="B41" s="11"/>
      <x:c r="C41" s="11"/>
      <x:c r="D41" s="11"/>
      <x:c r="E41" s="11"/>
      <x:c r="F41" s="11"/>
    </x:row>
    <x:row r="42" ht="54" customHeight="1">
      <x:c r="A42" s="6" t="str">
        <x:v>Марка</x:v>
      </x:c>
      <x:c r="B42" s="6" t="str">
        <x:v>kσ</x:v>
      </x:c>
      <x:c r="C42" s="6" t="str">
        <x:v>u, мм/год</x:v>
      </x:c>
      <x:c r="D42" s="6" t="str">
        <x:v>Δs, мм</x:v>
      </x:c>
      <x:c r="E42" s="6" t="str">
        <x:v>s′, мм</x:v>
      </x:c>
      <x:c r="F42" s="6" t="str">
        <x:v>s′+Δs, мм</x:v>
      </x:c>
    </x:row>
    <x:row r="43" ht="32" customHeight="1">
      <x:c r="A43" s="13" t="str">
        <x:f>'Листы'!$A$12</x:f>
        <x:v>KL</x:v>
      </x:c>
      <x:c r="B43" s="9" t="n">
        <x:v>0.6</x:v>
      </x:c>
      <x:c r="C43" s="9" t="n">
        <x:v>0.2</x:v>
      </x:c>
      <x:c r="D43" s="10" t="n">
        <x:f>'Листы'!$C$43*('Исходные данные'!$B$31-'Исходные данные'!$B$32)</x:f>
        <x:v>2.6</x:v>
      </x:c>
      <x:c r="E43" s="10" t="n">
        <x:f>15.8*'Листы'!$C$12*'Листы'!$F$12*SQRT('Листы'!$E$12/('Листы'!$B$43*'Исходные данные'!$B$35))</x:f>
        <x:v>11.501191770040993</x:v>
      </x:c>
      <x:c r="F43" s="10" t="n">
        <x:f>'Листы'!$E$43+'Листы'!$D$43</x:f>
        <x:v>14.101191770040993</x:v>
      </x:c>
    </x:row>
    <x:row r="44" ht="32" customHeight="1">
      <x:c r="A44" s="13" t="str">
        <x:f>'Листы'!$A$13</x:f>
        <x:v>A</x:v>
      </x:c>
      <x:c r="B44" s="9" t="n">
        <x:v>0.6</x:v>
      </x:c>
      <x:c r="C44" s="9" t="n">
        <x:v>0.2</x:v>
      </x:c>
      <x:c r="D44" s="10" t="n">
        <x:f>'Листы'!$C$44*('Исходные данные'!$B$31-'Исходные данные'!$B$32)</x:f>
        <x:v>2.6</x:v>
      </x:c>
      <x:c r="E44" s="10" t="n">
        <x:f>15.8*'Листы'!$C$13*'Листы'!$F$13*SQRT('Листы'!$E$13/('Листы'!$B$44*'Исходные данные'!$B$35))</x:f>
        <x:v>11.501191770040993</x:v>
      </x:c>
      <x:c r="F44" s="10" t="n">
        <x:f>'Листы'!$E$44+'Листы'!$D$44</x:f>
        <x:v>14.101191770040993</x:v>
      </x:c>
    </x:row>
    <x:row r="45" ht="32" customHeight="1">
      <x:c r="A45" s="13" t="str">
        <x:f>'Листы'!$A$14</x:f>
        <x:v>B</x:v>
      </x:c>
      <x:c r="B45" s="9" t="n">
        <x:v>0.6</x:v>
      </x:c>
      <x:c r="C45" s="9" t="n">
        <x:v>0.2</x:v>
      </x:c>
      <x:c r="D45" s="10" t="n">
        <x:f>'Листы'!$C$45*('Исходные данные'!$B$31-'Исходные данные'!$B$32)</x:f>
        <x:v>2.6</x:v>
      </x:c>
      <x:c r="E45" s="10" t="n">
        <x:f>15.8*'Листы'!$C$14*'Листы'!$F$14*SQRT('Листы'!$E$14/('Листы'!$B$45*'Исходные данные'!$B$35))</x:f>
        <x:v>11.501191770040993</x:v>
      </x:c>
      <x:c r="F45" s="10" t="n">
        <x:f>'Листы'!$E$45+'Листы'!$D$45</x:f>
        <x:v>14.101191770040993</x:v>
      </x:c>
    </x:row>
    <x:row r="46" ht="32" customHeight="1">
      <x:c r="A46" s="13" t="str">
        <x:f>'Листы'!$A$15</x:f>
        <x:v>C</x:v>
      </x:c>
      <x:c r="B46" s="9" t="n">
        <x:v>0.6</x:v>
      </x:c>
      <x:c r="C46" s="9" t="n">
        <x:v>0.2</x:v>
      </x:c>
      <x:c r="D46" s="10" t="n">
        <x:f>'Листы'!$C$46*('Исходные данные'!$B$31-'Исходные данные'!$B$32)</x:f>
        <x:v>2.6</x:v>
      </x:c>
      <x:c r="E46" s="10" t="n">
        <x:f>15.8*'Листы'!$C$15*'Листы'!$F$15*SQRT('Листы'!$E$15/('Листы'!$B$46*'Исходные данные'!$B$35))</x:f>
        <x:v>11.501191770040993</x:v>
      </x:c>
      <x:c r="F46" s="10" t="n">
        <x:f>'Листы'!$E$46+'Листы'!$D$46</x:f>
        <x:v>14.101191770040993</x:v>
      </x:c>
    </x:row>
    <x:row r="47" ht="32" customHeight="1">
      <x:c r="A47" s="13" t="str">
        <x:f>'Листы'!$A$16</x:f>
        <x:v>D</x:v>
      </x:c>
      <x:c r="B47" s="9" t="n">
        <x:v>0.6</x:v>
      </x:c>
      <x:c r="C47" s="9" t="n">
        <x:v>0.2</x:v>
      </x:c>
      <x:c r="D47" s="10" t="n">
        <x:f>'Листы'!$C$47*('Исходные данные'!$B$31-'Исходные данные'!$B$32)</x:f>
        <x:v>2.6</x:v>
      </x:c>
      <x:c r="E47" s="10" t="n">
        <x:f>15.8*'Листы'!$C$16*'Листы'!$F$16*SQRT('Листы'!$E$16/('Листы'!$B$47*'Исходные данные'!$B$35))</x:f>
        <x:v>11.501191770040993</x:v>
      </x:c>
      <x:c r="F47" s="10" t="n">
        <x:f>'Листы'!$E$47+'Листы'!$D$47</x:f>
        <x:v>14.101191770040993</x:v>
      </x:c>
    </x:row>
    <x:row r="48" ht="32" customHeight="1">
      <x:c r="A48" s="13" t="str">
        <x:f>'Листы'!$A$17</x:f>
        <x:v>E</x:v>
      </x:c>
      <x:c r="B48" s="9" t="n">
        <x:v>0.6</x:v>
      </x:c>
      <x:c r="C48" s="9" t="n">
        <x:v>0.2</x:v>
      </x:c>
      <x:c r="D48" s="10" t="n">
        <x:f>'Листы'!$C$48*('Исходные данные'!$B$31-'Исходные данные'!$B$32)</x:f>
        <x:v>2.6</x:v>
      </x:c>
      <x:c r="E48" s="10" t="n">
        <x:f>15.8*'Листы'!$C$17*'Листы'!$F$17*SQRT('Листы'!$E$17/('Листы'!$B$48*'Исходные данные'!$B$35))</x:f>
        <x:v>11.501191770040993</x:v>
      </x:c>
      <x:c r="F48" s="10" t="n">
        <x:f>'Листы'!$E$48+'Листы'!$D$48</x:f>
        <x:v>14.101191770040993</x:v>
      </x:c>
    </x:row>
    <x:row r="49" ht="32" customHeight="1">
      <x:c r="A49" s="13" t="str">
        <x:f>'Листы'!$A$18</x:f>
        <x:v>F</x:v>
      </x:c>
      <x:c r="B49" s="9" t="n">
        <x:v>0.6</x:v>
      </x:c>
      <x:c r="C49" s="9" t="n">
        <x:v>0.18</x:v>
      </x:c>
      <x:c r="D49" s="10" t="n">
        <x:f>'Листы'!$C$49*('Исходные данные'!$B$31-'Исходные данные'!$B$32)</x:f>
        <x:v>2.34</x:v>
      </x:c>
      <x:c r="E49" s="10" t="n">
        <x:f>15.8*'Листы'!$C$18*'Листы'!$F$18*SQRT('Листы'!$E$18/('Листы'!$B$49*'Исходные данные'!$B$35))</x:f>
        <x:v>12.374021508085628</x:v>
      </x:c>
      <x:c r="F49" s="10" t="n">
        <x:f>'Листы'!$E$49+'Листы'!$D$49</x:f>
        <x:v>14.714021508085628</x:v>
      </x:c>
    </x:row>
    <x:row r="50" ht="32" customHeight="1">
      <x:c r="A50" s="13" t="str">
        <x:f>'Листы'!$A$19</x:f>
        <x:v>G</x:v>
      </x:c>
      <x:c r="B50" s="9" t="n">
        <x:v>0.6</x:v>
      </x:c>
      <x:c r="C50" s="9" t="n">
        <x:v>0.18</x:v>
      </x:c>
      <x:c r="D50" s="10" t="n">
        <x:f>'Листы'!$C$50*('Исходные данные'!$B$31-'Исходные данные'!$B$32)</x:f>
        <x:v>2.34</x:v>
      </x:c>
      <x:c r="E50" s="10" t="n">
        <x:f>15.8*'Листы'!$C$19*'Листы'!$F$19*SQRT('Листы'!$E$19/('Листы'!$B$50*'Исходные данные'!$B$35))</x:f>
        <x:v>12.581300550726743</x:v>
      </x:c>
      <x:c r="F50" s="10" t="n">
        <x:f>'Листы'!$E$50+'Листы'!$D$50</x:f>
        <x:v>14.921300550726743</x:v>
      </x:c>
    </x:row>
    <x:row r="51" ht="32" customHeight="1">
      <x:c r="A51" s="13" t="str">
        <x:f>'Листы'!$A$20</x:f>
        <x:v>H</x:v>
      </x:c>
      <x:c r="B51" s="9" t="n">
        <x:v>0.6</x:v>
      </x:c>
      <x:c r="C51" s="9" t="n">
        <x:v>0.21</x:v>
      </x:c>
      <x:c r="D51" s="10" t="n">
        <x:f>'Листы'!$C$51*('Исходные данные'!$B$31-'Исходные данные'!$B$32)</x:f>
        <x:v>2.73</x:v>
      </x:c>
      <x:c r="E51" s="10" t="n">
        <x:f>15.8*'Листы'!$C$20*'Листы'!$F$20*SQRT('Листы'!$E$20/('Листы'!$B$51*'Исходные данные'!$B$35))</x:f>
        <x:v>12.607655090996714</x:v>
      </x:c>
      <x:c r="F51" s="10" t="n">
        <x:f>'Листы'!$E$51+'Листы'!$D$51</x:f>
        <x:v>15.337655090996714</x:v>
      </x:c>
    </x:row>
    <x:row r="52" ht="32" customHeight="1">
      <x:c r="A52" s="13" t="str">
        <x:f>'Листы'!$A$21</x:f>
        <x:v>I</x:v>
      </x:c>
      <x:c r="B52" s="9" t="n">
        <x:v>0.6</x:v>
      </x:c>
      <x:c r="C52" s="9" t="n">
        <x:v>0.21</x:v>
      </x:c>
      <x:c r="D52" s="10" t="n">
        <x:f>'Листы'!$C$52*('Исходные данные'!$B$31-'Исходные данные'!$B$32)</x:f>
        <x:v>2.73</x:v>
      </x:c>
      <x:c r="E52" s="10" t="n">
        <x:f>15.8*'Листы'!$C$21*'Листы'!$F$21*SQRT('Листы'!$E$21/('Листы'!$B$52*'Исходные данные'!$B$35))</x:f>
        <x:v>12.057700410257363</x:v>
      </x:c>
      <x:c r="F52" s="10" t="n">
        <x:f>'Листы'!$E$52+'Листы'!$D$52</x:f>
        <x:v>14.787700410257363</x:v>
      </x:c>
    </x:row>
    <x:row r="53" ht="32" customHeight="1">
      <x:c r="A53" s="13" t="str">
        <x:f>'Листы'!$A$22</x:f>
        <x:v>J</x:v>
      </x:c>
      <x:c r="B53" s="9" t="n">
        <x:v>0.6</x:v>
      </x:c>
      <x:c r="C53" s="9" t="n">
        <x:v>0.21</x:v>
      </x:c>
      <x:c r="D53" s="10" t="n">
        <x:f>'Листы'!$C$53*('Исходные данные'!$B$31-'Исходные данные'!$B$32)</x:f>
        <x:v>2.73</x:v>
      </x:c>
      <x:c r="E53" s="10" t="n">
        <x:f>15.8*'Листы'!$C$22*'Листы'!$F$22*SQRT('Листы'!$E$22/('Листы'!$B$53*'Исходные данные'!$B$35))</x:f>
        <x:v>11.373901404629988</x:v>
      </x:c>
      <x:c r="F53" s="10" t="n">
        <x:f>'Листы'!$E$53+'Листы'!$D$53</x:f>
        <x:v>14.103901404629989</x:v>
      </x:c>
    </x:row>
    <x:row r="54" ht="32" customHeight="1">
      <x:c r="A54" s="13" t="str">
        <x:f>'Листы'!$A$23</x:f>
        <x:v>K</x:v>
      </x:c>
      <x:c r="B54" s="9" t="n">
        <x:v>0.6</x:v>
      </x:c>
      <x:c r="C54" s="9" t="n">
        <x:v>0.21</x:v>
      </x:c>
      <x:c r="D54" s="10" t="n">
        <x:f>'Листы'!$C$54*('Исходные данные'!$B$31-'Исходные данные'!$B$32)</x:f>
        <x:v>2.73</x:v>
      </x:c>
      <x:c r="E54" s="10" t="n">
        <x:f>15.8*'Листы'!$C$23*'Листы'!$F$23*SQRT('Листы'!$E$23/('Листы'!$B$54*'Исходные данные'!$B$35))</x:f>
        <x:v>10.64627292252868</x:v>
      </x:c>
      <x:c r="F54" s="10" t="n">
        <x:f>'Листы'!$E$54+'Листы'!$D$54</x:f>
        <x:v>13.376272922528681</x:v>
      </x:c>
    </x:row>
    <x:row r="55" ht="32" customHeight="1">
      <x:c r="A55" s="13" t="str">
        <x:f>'Листы'!$A$24</x:f>
        <x:v>L</x:v>
      </x:c>
      <x:c r="B55" s="9" t="n">
        <x:v>0.6</x:v>
      </x:c>
      <x:c r="C55" s="9" t="n">
        <x:v>0.21</x:v>
      </x:c>
      <x:c r="D55" s="10" t="n">
        <x:f>'Листы'!$C$55*('Исходные данные'!$B$31-'Исходные данные'!$B$32)</x:f>
        <x:v>2.73</x:v>
      </x:c>
      <x:c r="E55" s="10" t="n">
        <x:f>15.8*'Листы'!$C$24*'Листы'!$F$24*SQRT('Листы'!$E$24/('Листы'!$B$55*'Исходные данные'!$B$35))</x:f>
        <x:v>9.865121444751242</x:v>
      </x:c>
      <x:c r="F55" s="10" t="n">
        <x:f>'Листы'!$E$55+'Листы'!$D$55</x:f>
        <x:v>12.595121444751243</x:v>
      </x:c>
    </x:row>
    <x:row r="56" ht="32" customHeight="1">
      <x:c r="A56" s="13" t="str">
        <x:f>'Листы'!$A$25</x:f>
        <x:v>M</x:v>
      </x:c>
      <x:c r="B56" s="9" t="n">
        <x:v>0.6</x:v>
      </x:c>
      <x:c r="C56" s="9" t="n">
        <x:v>0.21</x:v>
      </x:c>
      <x:c r="D56" s="10" t="n">
        <x:f>'Листы'!$C$56*('Исходные данные'!$B$31-'Исходные данные'!$B$32)</x:f>
        <x:v>2.73</x:v>
      </x:c>
      <x:c r="E56" s="10" t="n">
        <x:f>15.8*'Листы'!$C$25*'Листы'!$F$25*SQRT('Листы'!$E$25/('Листы'!$B$56*'Исходные данные'!$B$35))</x:f>
        <x:v>9.016546739102182</x:v>
      </x:c>
      <x:c r="F56" s="10" t="n">
        <x:f>'Листы'!$E$56+'Листы'!$D$56</x:f>
        <x:v>11.746546739102182</x:v>
      </x:c>
    </x:row>
    <x:row r="57" ht="32" customHeight="1">
      <x:c r="A57" s="13" t="str">
        <x:f>'Листы'!$A$26</x:f>
        <x:v>N</x:v>
      </x:c>
      <x:c r="B57" s="9" t="n">
        <x:v>0.6</x:v>
      </x:c>
      <x:c r="C57" s="9" t="n">
        <x:v>0.21</x:v>
      </x:c>
      <x:c r="D57" s="10" t="n">
        <x:f>'Листы'!$C$57*('Исходные данные'!$B$31-'Исходные данные'!$B$32)</x:f>
        <x:v>2.73</x:v>
      </x:c>
      <x:c r="E57" s="10" t="n">
        <x:f>15.8*'Листы'!$C$26*'Листы'!$F$26*SQRT('Листы'!$E$26/('Листы'!$B$57*'Исходные данные'!$B$35))</x:f>
        <x:v>8.365802541217846</x:v>
      </x:c>
      <x:c r="F57" s="10" t="n">
        <x:f>'Листы'!$E$57+'Листы'!$D$57</x:f>
        <x:v>11.095802541217846</x:v>
      </x:c>
    </x:row>
    <x:row r="58" ht="32" customHeight="1">
      <x:c r="A58" s="13" t="str">
        <x:f>'Листы'!$A$27</x:f>
        <x:v>SH</x:v>
      </x:c>
      <x:c r="B58" s="9" t="n">
        <x:v>0.6</x:v>
      </x:c>
      <x:c r="C58" s="9" t="n">
        <x:v>0.21</x:v>
      </x:c>
      <x:c r="D58" s="10" t="n">
        <x:f>'Листы'!$C$58*('Исходные данные'!$B$31-'Исходные данные'!$B$32)</x:f>
        <x:v>2.73</x:v>
      </x:c>
      <x:c r="E58" s="10" t="n">
        <x:f>15.8*'Листы'!$C$27*'Листы'!$F$27*SQRT('Листы'!$E$27/('Листы'!$B$58*'Исходные данные'!$B$35))</x:f>
        <x:v>7.659973186564021</x:v>
      </x:c>
      <x:c r="F58" s="10" t="n">
        <x:f>'Листы'!$E$58+'Листы'!$D$58</x:f>
        <x:v>10.38997318656402</x:v>
      </x:c>
    </x:row>
    <x:row r="59" ht="32" customHeight="1">
      <x:c r="A59" s="13" t="str">
        <x:f>'Листы'!$A$28</x:f>
        <x:v>IB</x:v>
      </x:c>
      <x:c r="B59" s="9" t="n">
        <x:v>0.8</x:v>
      </x:c>
      <x:c r="C59" s="9" t="n">
        <x:v>0.2</x:v>
      </x:c>
      <x:c r="D59" s="10" t="n">
        <x:f>'Листы'!$C$59*('Исходные данные'!$B$31-'Исходные данные'!$B$32)</x:f>
        <x:v>2.6</x:v>
      </x:c>
      <x:c r="E59" s="10" t="n">
        <x:f>15.8*'Листы'!$C$28*'Листы'!$F$28*SQRT('Листы'!$E$28/('Листы'!$B$59*'Исходные данные'!$B$35))</x:f>
        <x:v>10.45253124567659</x:v>
      </x:c>
      <x:c r="F59" s="10" t="n">
        <x:f>'Листы'!$E$59+'Листы'!$D$59</x:f>
        <x:v>13.05253124567659</x:v>
      </x:c>
    </x:row>
    <x:row r="60" ht="32" customHeight="1">
      <x:c r="A60" s="13" t="str">
        <x:f>'Листы'!$A$29</x:f>
        <x:v>IM</x:v>
      </x:c>
      <x:c r="B60" s="9" t="n">
        <x:v>0.8</x:v>
      </x:c>
      <x:c r="C60" s="9" t="n">
        <x:v>0.22</x:v>
      </x:c>
      <x:c r="D60" s="10" t="n">
        <x:f>'Листы'!$C$60*('Исходные данные'!$B$31-'Исходные данные'!$B$32)</x:f>
        <x:v>2.86</x:v>
      </x:c>
      <x:c r="E60" s="10" t="n">
        <x:f>15.8*'Листы'!$C$29*'Листы'!$F$29*SQRT('Листы'!$E$29/('Листы'!$B$60*'Исходные данные'!$B$35))</x:f>
        <x:v>10.45253124567659</x:v>
      </x:c>
      <x:c r="F60" s="10" t="n">
        <x:f>'Листы'!$E$60+'Листы'!$D$60</x:f>
        <x:v>13.31253124567659</x:v>
      </x:c>
    </x:row>
    <x:row r="61" ht="32" customHeight="1">
      <x:c r="A61" s="13" t="str">
        <x:f>'Листы'!$A$30</x:f>
        <x:v>DK</x:v>
      </x:c>
      <x:c r="B61" s="9" t="n">
        <x:v>0.6</x:v>
      </x:c>
      <x:c r="C61" s="9" t="n">
        <x:v>0.2</x:v>
      </x:c>
      <x:c r="D61" s="10" t="n">
        <x:f>'Листы'!$C$61*('Исходные данные'!$B$31-'Исходные данные'!$B$32)</x:f>
        <x:v>2.6</x:v>
      </x:c>
      <x:c r="E61" s="10" t="n">
        <x:f>15.8*'Листы'!$C$30*'Листы'!$F$30*SQRT('Листы'!$E$30/('Листы'!$B$61*'Исходные данные'!$B$35))</x:f>
        <x:v>6.194876695031544</x:v>
      </x:c>
      <x:c r="F61" s="10" t="n">
        <x:f>'Листы'!$E$61+'Листы'!$D$61</x:f>
        <x:v>8.794876695031544</x:v>
      </x:c>
    </x:row>
    <x:row r="62" ht="32" customHeight="1">
      <x:c r="A62" s="13" t="str">
        <x:f>'Листы'!$A$31</x:f>
        <x:v>ISG</x:v>
      </x:c>
      <x:c r="B62" s="9" t="n">
        <x:v>0.67</x:v>
      </x:c>
      <x:c r="C62" s="9" t="n">
        <x:v>0.2</x:v>
      </x:c>
      <x:c r="D62" s="10" t="n">
        <x:f>'Листы'!$C$62*('Исходные данные'!$B$31-'Исходные данные'!$B$32)</x:f>
        <x:v>2.6</x:v>
      </x:c>
      <x:c r="E62" s="10" t="n">
        <x:f>15.8*'Листы'!$C$31*'Листы'!$F$31*SQRT('Листы'!$E$31/('Листы'!$B$62*'Исходные данные'!$B$35))</x:f>
        <x:v>12.237488310961577</x:v>
      </x:c>
      <x:c r="F62" s="10" t="n">
        <x:f>'Листы'!$E$62+'Листы'!$D$62</x:f>
        <x:v>14.837488310961577</x:v>
      </x:c>
    </x:row>
    <x:row r="63" ht="32" customHeight="1">
      <x:c r="A63" s="13" t="str">
        <x:f>'Листы'!$A$32</x:f>
        <x:v>ISF</x:v>
      </x:c>
      <x:c r="B63" s="9" t="n">
        <x:v>0.8</x:v>
      </x:c>
      <x:c r="C63" s="9" t="n">
        <x:v>0.25</x:v>
      </x:c>
      <x:c r="D63" s="10" t="n">
        <x:f>'Листы'!$C$63*('Исходные данные'!$B$31-'Исходные данные'!$B$32)</x:f>
        <x:v>3.25</x:v>
      </x:c>
      <x:c r="E63" s="10" t="n">
        <x:f>15.8*'Листы'!$C$32*'Листы'!$F$32*SQRT('Листы'!$E$32/('Листы'!$B$63*'Исходные данные'!$B$35))</x:f>
        <x:v>10.613803095453898</x:v>
      </x:c>
      <x:c r="F63" s="10" t="n">
        <x:f>'Листы'!$E$63+'Листы'!$D$63</x:f>
        <x:v>13.863803095453898</x:v>
      </x:c>
    </x:row>
    <x:row r="64" ht="32" customHeight="1">
      <x:c r="A64" s="13" t="str">
        <x:f>'Листы'!$A$33</x:f>
        <x:v>ISE</x:v>
      </x:c>
      <x:c r="B64" s="9" t="n">
        <x:v>0.8</x:v>
      </x:c>
      <x:c r="C64" s="9" t="n">
        <x:v>0.25</x:v>
      </x:c>
      <x:c r="D64" s="10" t="n">
        <x:f>'Листы'!$C$64*('Исходные данные'!$B$31-'Исходные данные'!$B$32)</x:f>
        <x:v>3.25</x:v>
      </x:c>
      <x:c r="E64" s="10" t="n">
        <x:f>15.8*'Листы'!$C$33*'Листы'!$F$33*SQRT('Листы'!$E$33/('Листы'!$B$64*'Исходные данные'!$B$35))</x:f>
        <x:v>9.994242425685</x:v>
      </x:c>
      <x:c r="F64" s="10" t="n">
        <x:f>'Листы'!$E$64+'Листы'!$D$64</x:f>
        <x:v>13.244242425685</x:v>
      </x:c>
    </x:row>
    <x:row r="65" ht="32" customHeight="1">
      <x:c r="A65" s="13" t="str">
        <x:f>'Листы'!$A$34</x:f>
        <x:v>ISD</x:v>
      </x:c>
      <x:c r="B65" s="9" t="n">
        <x:v>0.8</x:v>
      </x:c>
      <x:c r="C65" s="9" t="n">
        <x:v>0.25</x:v>
      </x:c>
      <x:c r="D65" s="10" t="n">
        <x:f>'Листы'!$C$65*('Исходные данные'!$B$31-'Исходные данные'!$B$32)</x:f>
        <x:v>3.25</x:v>
      </x:c>
      <x:c r="E65" s="10" t="n">
        <x:f>15.8*'Листы'!$C$34*'Листы'!$F$34*SQRT('Листы'!$E$34/('Листы'!$B$65*'Исходные данные'!$B$35))</x:f>
        <x:v>9.333645974519131</x:v>
      </x:c>
      <x:c r="F65" s="10" t="n">
        <x:f>'Листы'!$E$65+'Листы'!$D$65</x:f>
        <x:v>12.583645974519131</x:v>
      </x:c>
    </x:row>
    <x:row r="66" ht="32" customHeight="1">
      <x:c r="A66" s="13" t="str">
        <x:f>'Листы'!$A$35</x:f>
        <x:v>ISC</x:v>
      </x:c>
      <x:c r="B66" s="9" t="n">
        <x:v>0.8</x:v>
      </x:c>
      <x:c r="C66" s="9" t="n">
        <x:v>0.25</x:v>
      </x:c>
      <x:c r="D66" s="10" t="n">
        <x:f>'Листы'!$C$66*('Исходные данные'!$B$31-'Исходные данные'!$B$32)</x:f>
        <x:v>3.25</x:v>
      </x:c>
      <x:c r="E66" s="10" t="n">
        <x:f>15.8*'Листы'!$C$35*'Листы'!$F$35*SQRT('Листы'!$E$35/('Листы'!$B$66*'Исходные данные'!$B$35))</x:f>
        <x:v>8.62258735484613</x:v>
      </x:c>
      <x:c r="F66" s="10" t="n">
        <x:f>'Листы'!$E$66+'Листы'!$D$66</x:f>
        <x:v>11.87258735484613</x:v>
      </x:c>
    </x:row>
    <x:row r="67" ht="32" customHeight="1">
      <x:c r="A67" s="13" t="str">
        <x:f>'Листы'!$A$36</x:f>
        <x:v>ISB</x:v>
      </x:c>
      <x:c r="B67" s="9" t="n">
        <x:v>0.7</x:v>
      </x:c>
      <x:c r="C67" s="9" t="n">
        <x:v>0.25</x:v>
      </x:c>
      <x:c r="D67" s="10" t="n">
        <x:f>'Листы'!$C$67*('Исходные данные'!$B$31-'Исходные данные'!$B$32)</x:f>
        <x:v>3.25</x:v>
      </x:c>
      <x:c r="E67" s="10" t="n">
        <x:f>15.8*'Листы'!$C$36*'Листы'!$F$36*SQRT('Листы'!$E$36/('Листы'!$B$67*'Исходные данные'!$B$35))</x:f>
        <x:v>8.389182027638594</x:v>
      </x:c>
      <x:c r="F67" s="10" t="n">
        <x:f>'Листы'!$E$67+'Листы'!$D$67</x:f>
        <x:v>11.639182027638594</x:v>
      </x:c>
    </x:row>
    <x:row r="68" ht="32" customHeight="1">
      <x:c r="A68" s="13" t="str">
        <x:f>'Листы'!$A$37</x:f>
        <x:v>ISA</x:v>
      </x:c>
      <x:c r="B68" s="9" t="n">
        <x:v>0.64</x:v>
      </x:c>
      <x:c r="C68" s="9" t="n">
        <x:v>0.3</x:v>
      </x:c>
      <x:c r="D68" s="10" t="n">
        <x:f>'Листы'!$C$68*('Исходные данные'!$B$31-'Исходные данные'!$B$32)</x:f>
        <x:v>3.9</x:v>
      </x:c>
      <x:c r="E68" s="10" t="n">
        <x:f>15.8*'Листы'!$C$37*'Листы'!$F$37*SQRT('Листы'!$E$37/('Листы'!$B$68*'Исходные данные'!$B$35))</x:f>
        <x:v>7.811301405699213</x:v>
      </x:c>
      <x:c r="F68" s="10" t="n">
        <x:f>'Листы'!$E$68+'Листы'!$D$68</x:f>
        <x:v>11.711301405699214</x:v>
      </x:c>
    </x:row>
    <x:row r="69" ht="32" customHeight="1">
      <x:c r="A69" s="3"/>
      <x:c r="B69" s="3"/>
      <x:c r="C69" s="3"/>
      <x:c r="D69" s="3"/>
      <x:c r="E69" s="3"/>
      <x:c r="F69" s="3"/>
    </x:row>
    <x:row r="70" ht="32" customHeight="1">
      <x:c r="A70" s="3"/>
      <x:c r="B70" s="3"/>
      <x:c r="C70" s="3"/>
      <x:c r="D70" s="3"/>
      <x:c r="E70" s="3"/>
      <x:c r="F70" s="3"/>
    </x:row>
    <x:row r="71" ht="32" customHeight="1">
      <x:c r="A71" s="3"/>
      <x:c r="B71" s="3"/>
      <x:c r="C71" s="3"/>
      <x:c r="D71" s="3"/>
      <x:c r="E71" s="3"/>
      <x:c r="F71" s="3"/>
    </x:row>
    <x:row r="72" ht="36" customHeight="1">
      <x:c r="A72" s="11" t="str">
        <x:v>3. Толщины и контроль</x:v>
      </x:c>
      <x:c r="B72" s="11"/>
      <x:c r="C72" s="11"/>
      <x:c r="D72" s="11"/>
      <x:c r="E72" s="11"/>
      <x:c r="F72" s="11"/>
    </x:row>
    <x:row r="73" ht="54" customHeight="1">
      <x:c r="A73" s="6" t="str">
        <x:v>Марка</x:v>
      </x:c>
      <x:c r="B73" s="6" t="str">
        <x:v>smin, мм</x:v>
      </x:c>
      <x:c r="C73" s="6" t="str">
        <x:v>sreq, мм</x:v>
      </x:c>
      <x:c r="D73" s="6" t="str">
        <x:v>Принято s, мм</x:v>
      </x:c>
      <x:c r="E73" s="6" t="str">
        <x:v>s/sreq</x:v>
      </x:c>
      <x:c r="F73" s="6" t="str">
        <x:v>z, м</x:v>
      </x:c>
    </x:row>
    <x:row r="74" ht="32" customHeight="1">
      <x:c r="A74" s="13" t="str">
        <x:f>'Листы'!$A$12</x:f>
        <x:v>KL</x:v>
      </x:c>
      <x:c r="B74" s="10" t="n">
        <x:f>5.5+0.04*'Исходные данные'!$B$8</x:f>
        <x:v>10.780000000000001</x:v>
      </x:c>
      <x:c r="C74" s="10" t="n">
        <x:f>CEILING(MAX('Листы'!$F$43,'Листы'!$B$74),0.5)</x:f>
        <x:v>14.5</x:v>
      </x:c>
      <x:c r="D74" s="16" t="n">
        <x:f>CEILING('Листы'!$C$74,1)+2</x:f>
        <x:v>17</x:v>
      </x:c>
      <x:c r="E74" s="10" t="n">
        <x:f>'Листы'!$D$74/'Листы'!$C$74</x:f>
        <x:v>1.1724137931034482</x:v>
      </x:c>
      <x:c r="F74" s="9" t="n">
        <x:f>'Эквивалентный брус'!F12/100</x:f>
        <x:v>0</x:v>
      </x:c>
    </x:row>
    <x:row r="75" ht="32" customHeight="1">
      <x:c r="A75" s="13" t="str">
        <x:f>'Листы'!$A$13</x:f>
        <x:v>A</x:v>
      </x:c>
      <x:c r="B75" s="10" t="n">
        <x:f>5.5+0.04*'Исходные данные'!$B$8</x:f>
        <x:v>10.780000000000001</x:v>
      </x:c>
      <x:c r="C75" s="10" t="n">
        <x:f>CEILING(MAX('Листы'!$F$44,'Листы'!$B$75),0.5)</x:f>
        <x:v>14.5</x:v>
      </x:c>
      <x:c r="D75" s="16" t="n">
        <x:f>CEILING('Листы'!$C$75,1)</x:f>
        <x:v>15</x:v>
      </x:c>
      <x:c r="E75" s="10" t="n">
        <x:f>'Листы'!$D$75/'Листы'!$C$75</x:f>
        <x:v>1.0344827586206897</x:v>
      </x:c>
      <x:c r="F75" s="9" t="n">
        <x:f>'Эквивалентный брус'!F13/100</x:f>
        <x:v>0</x:v>
      </x:c>
    </x:row>
    <x:row r="76" ht="32" customHeight="1">
      <x:c r="A76" s="13" t="str">
        <x:f>'Листы'!$A$14</x:f>
        <x:v>B</x:v>
      </x:c>
      <x:c r="B76" s="10" t="n">
        <x:f>5.5+0.04*'Исходные данные'!$B$8</x:f>
        <x:v>10.780000000000001</x:v>
      </x:c>
      <x:c r="C76" s="10" t="n">
        <x:f>CEILING(MAX('Листы'!$F$45,'Листы'!$B$76),0.5)</x:f>
        <x:v>14.5</x:v>
      </x:c>
      <x:c r="D76" s="16" t="n">
        <x:f>CEILING('Листы'!$C$76,1)</x:f>
        <x:v>15</x:v>
      </x:c>
      <x:c r="E76" s="10" t="n">
        <x:f>'Листы'!$D$76/'Листы'!$C$76</x:f>
        <x:v>1.0344827586206897</x:v>
      </x:c>
      <x:c r="F76" s="9" t="n">
        <x:f>'Эквивалентный брус'!F14/100</x:f>
        <x:v>0</x:v>
      </x:c>
    </x:row>
    <x:row r="77" ht="32" customHeight="1">
      <x:c r="A77" s="13" t="str">
        <x:f>'Листы'!$A$15</x:f>
        <x:v>C</x:v>
      </x:c>
      <x:c r="B77" s="10" t="n">
        <x:f>5.5+0.04*'Исходные данные'!$B$8</x:f>
        <x:v>10.780000000000001</x:v>
      </x:c>
      <x:c r="C77" s="10" t="n">
        <x:f>CEILING(MAX('Листы'!$F$46,'Листы'!$B$77),0.5)</x:f>
        <x:v>14.5</x:v>
      </x:c>
      <x:c r="D77" s="16" t="n">
        <x:f>CEILING('Листы'!$C$77,1)</x:f>
        <x:v>15</x:v>
      </x:c>
      <x:c r="E77" s="10" t="n">
        <x:f>'Листы'!$D$77/'Листы'!$C$77</x:f>
        <x:v>1.0344827586206897</x:v>
      </x:c>
      <x:c r="F77" s="9" t="n">
        <x:f>'Эквивалентный брус'!F15/100</x:f>
        <x:v>0</x:v>
      </x:c>
    </x:row>
    <x:row r="78" ht="32" customHeight="1">
      <x:c r="A78" s="13" t="str">
        <x:f>'Листы'!$A$16</x:f>
        <x:v>D</x:v>
      </x:c>
      <x:c r="B78" s="10" t="n">
        <x:f>5.5+0.04*'Исходные данные'!$B$8</x:f>
        <x:v>10.780000000000001</x:v>
      </x:c>
      <x:c r="C78" s="10" t="n">
        <x:f>CEILING(MAX('Листы'!$F$47,'Листы'!$B$78),0.5)</x:f>
        <x:v>14.5</x:v>
      </x:c>
      <x:c r="D78" s="16" t="n">
        <x:f>CEILING('Листы'!$C$78,1)</x:f>
        <x:v>15</x:v>
      </x:c>
      <x:c r="E78" s="10" t="n">
        <x:f>'Листы'!$D$78/'Листы'!$C$78</x:f>
        <x:v>1.0344827586206897</x:v>
      </x:c>
      <x:c r="F78" s="9" t="n">
        <x:f>'Эквивалентный брус'!F16/100</x:f>
        <x:v>0</x:v>
      </x:c>
    </x:row>
    <x:row r="79" ht="32" customHeight="1">
      <x:c r="A79" s="13" t="str">
        <x:f>'Листы'!$A$17</x:f>
        <x:v>E</x:v>
      </x:c>
      <x:c r="B79" s="10" t="n">
        <x:f>5.5+0.04*'Исходные данные'!$B$8</x:f>
        <x:v>10.780000000000001</x:v>
      </x:c>
      <x:c r="C79" s="10" t="n">
        <x:f>CEILING(MAX('Листы'!$F$48,'Листы'!$B$79),0.5)</x:f>
        <x:v>14.5</x:v>
      </x:c>
      <x:c r="D79" s="16" t="n">
        <x:f>CEILING('Листы'!$C$79,1)</x:f>
        <x:v>15</x:v>
      </x:c>
      <x:c r="E79" s="10" t="n">
        <x:f>'Листы'!$D$79/'Листы'!$C$79</x:f>
        <x:v>1.0344827586206897</x:v>
      </x:c>
      <x:c r="F79" s="9" t="n">
        <x:f>'Эквивалентный брус'!F17/100</x:f>
        <x:v>0</x:v>
      </x:c>
    </x:row>
    <x:row r="80" ht="32" customHeight="1">
      <x:c r="A80" s="13" t="str">
        <x:f>'Листы'!$A$18</x:f>
        <x:v>F</x:v>
      </x:c>
      <x:c r="B80" s="10" t="n">
        <x:f>5.5+0.04*'Исходные данные'!$B$8</x:f>
        <x:v>10.780000000000001</x:v>
      </x:c>
      <x:c r="C80" s="10" t="n">
        <x:f>CEILING(MAX('Листы'!$F$49,'Листы'!$B$80),0.5)</x:f>
        <x:v>15</x:v>
      </x:c>
      <x:c r="D80" s="16" t="n">
        <x:f>CEILING('Листы'!$C$80,1)</x:f>
        <x:v>15</x:v>
      </x:c>
      <x:c r="E80" s="10" t="n">
        <x:f>'Листы'!$D$80/'Листы'!$C$80</x:f>
        <x:v>1</x:v>
      </x:c>
      <x:c r="F80" s="9" t="n">
        <x:f>('Эквивалентный брус'!D18*'Эквивалентный брус'!F18+'Эквивалентный брус'!D19*'Эквивалентный брус'!F19)/('Эквивалентный брус'!D18+'Эквивалентный брус'!D19)/100</x:f>
        <x:v>0.09438382762937084</x:v>
      </x:c>
    </x:row>
    <x:row r="81" ht="32" customHeight="1">
      <x:c r="A81" s="13" t="str">
        <x:f>'Листы'!$A$19</x:f>
        <x:v>G</x:v>
      </x:c>
      <x:c r="B81" s="10" t="n">
        <x:f>5.5+0.04*'Исходные данные'!$B$8</x:f>
        <x:v>10.780000000000001</x:v>
      </x:c>
      <x:c r="C81" s="10" t="n">
        <x:f>CEILING(MAX('Листы'!$F$50,'Листы'!$B$81),0.5)</x:f>
        <x:v>15</x:v>
      </x:c>
      <x:c r="D81" s="16" t="n">
        <x:f>CEILING('Листы'!$C$81,1)</x:f>
        <x:v>15</x:v>
      </x:c>
      <x:c r="E81" s="10" t="n">
        <x:f>'Листы'!$D$81/'Листы'!$C$81</x:f>
        <x:v>1</x:v>
      </x:c>
      <x:c r="F81" s="9" t="n">
        <x:f>('Эквивалентный брус'!D20*'Эквивалентный брус'!F20+'Эквивалентный брус'!D21*'Эквивалентный брус'!F21)/('Эквивалентный брус'!D20+'Эквивалентный брус'!D21)/100</x:f>
        <x:v>1.3921500880586382</x:v>
      </x:c>
    </x:row>
    <x:row r="82" ht="32" customHeight="1">
      <x:c r="A82" s="13" t="str">
        <x:f>'Листы'!$A$20</x:f>
        <x:v>H</x:v>
      </x:c>
      <x:c r="B82" s="10" t="n">
        <x:f>5.5+0.04*'Исходные данные'!$B$8</x:f>
        <x:v>10.780000000000001</x:v>
      </x:c>
      <x:c r="C82" s="10" t="n">
        <x:f>CEILING(MAX('Листы'!$F$51,'Листы'!$B$82),0.5)</x:f>
        <x:v>15.5</x:v>
      </x:c>
      <x:c r="D82" s="16" t="n">
        <x:f>CEILING('Листы'!$C$82,1)</x:f>
        <x:v>16</x:v>
      </x:c>
      <x:c r="E82" s="10" t="n">
        <x:f>'Листы'!$D$82/'Листы'!$C$82</x:f>
        <x:v>1.032258064516129</x:v>
      </x:c>
      <x:c r="F82" s="9" t="n">
        <x:f>'Эквивалентный брус'!F22/100</x:f>
        <x:v>3.1808851424871465</x:v>
      </x:c>
    </x:row>
    <x:row r="83" ht="32" customHeight="1">
      <x:c r="A83" s="13" t="str">
        <x:f>'Листы'!$A$21</x:f>
        <x:v>I</x:v>
      </x:c>
      <x:c r="B83" s="10" t="n">
        <x:f>5.5+0.04*'Исходные данные'!$B$8</x:f>
        <x:v>10.780000000000001</x:v>
      </x:c>
      <x:c r="C83" s="10" t="n">
        <x:f>CEILING(MAX('Листы'!$F$52,'Листы'!$B$83),0.5)</x:f>
        <x:v>15</x:v>
      </x:c>
      <x:c r="D83" s="16" t="n">
        <x:f>CEILING('Листы'!$C$83,1)</x:f>
        <x:v>15</x:v>
      </x:c>
      <x:c r="E83" s="10" t="n">
        <x:f>'Листы'!$D$83/'Листы'!$C$83</x:f>
        <x:v>1</x:v>
      </x:c>
      <x:c r="F83" s="9" t="n">
        <x:f>'Эквивалентный брус'!F23/100</x:f>
        <x:v>4.780885142487147</x:v>
      </x:c>
    </x:row>
    <x:row r="84" ht="32" customHeight="1">
      <x:c r="A84" s="13" t="str">
        <x:f>'Листы'!$A$22</x:f>
        <x:v>J</x:v>
      </x:c>
      <x:c r="B84" s="10" t="n">
        <x:f>5.5+0.04*'Исходные данные'!$B$8</x:f>
        <x:v>10.780000000000001</x:v>
      </x:c>
      <x:c r="C84" s="10" t="n">
        <x:f>CEILING(MAX('Листы'!$F$53,'Листы'!$B$84),0.5)</x:f>
        <x:v>14.5</x:v>
      </x:c>
      <x:c r="D84" s="16" t="n">
        <x:f>CEILING('Листы'!$C$84,1)</x:f>
        <x:v>15</x:v>
      </x:c>
      <x:c r="E84" s="10" t="n">
        <x:f>'Листы'!$D$84/'Листы'!$C$84</x:f>
        <x:v>1.0344827586206897</x:v>
      </x:c>
      <x:c r="F84" s="9" t="n">
        <x:f>'Эквивалентный брус'!F24/100</x:f>
        <x:v>6.380885142487147</x:v>
      </x:c>
    </x:row>
    <x:row r="85" ht="32" customHeight="1">
      <x:c r="A85" s="13" t="str">
        <x:f>'Листы'!$A$23</x:f>
        <x:v>K</x:v>
      </x:c>
      <x:c r="B85" s="10" t="n">
        <x:f>5.5+0.04*'Исходные данные'!$B$8</x:f>
        <x:v>10.780000000000001</x:v>
      </x:c>
      <x:c r="C85" s="10" t="n">
        <x:f>CEILING(MAX('Листы'!$F$54,'Листы'!$B$85),0.5)</x:f>
        <x:v>13.5</x:v>
      </x:c>
      <x:c r="D85" s="16" t="n">
        <x:f>CEILING('Листы'!$C$85,1)</x:f>
        <x:v>14</x:v>
      </x:c>
      <x:c r="E85" s="10" t="n">
        <x:f>'Листы'!$D$85/'Листы'!$C$85</x:f>
        <x:v>1.037037037037037</x:v>
      </x:c>
      <x:c r="F85" s="9" t="n">
        <x:f>'Эквивалентный брус'!F25/100</x:f>
        <x:v>7.980885142487146</x:v>
      </x:c>
    </x:row>
    <x:row r="86" ht="32" customHeight="1">
      <x:c r="A86" s="13" t="str">
        <x:f>'Листы'!$A$24</x:f>
        <x:v>L</x:v>
      </x:c>
      <x:c r="B86" s="10" t="n">
        <x:f>5.5+0.04*'Исходные данные'!$B$8</x:f>
        <x:v>10.780000000000001</x:v>
      </x:c>
      <x:c r="C86" s="10" t="n">
        <x:f>CEILING(MAX('Листы'!$F$55,'Листы'!$B$86),0.5)</x:f>
        <x:v>13</x:v>
      </x:c>
      <x:c r="D86" s="16" t="n">
        <x:f>CEILING('Листы'!$C$86,1)</x:f>
        <x:v>13</x:v>
      </x:c>
      <x:c r="E86" s="10" t="n">
        <x:f>'Листы'!$D$86/'Листы'!$C$86</x:f>
        <x:v>1</x:v>
      </x:c>
      <x:c r="F86" s="9" t="n">
        <x:f>'Эквивалентный брус'!F26/100</x:f>
        <x:v>9.580885142487146</x:v>
      </x:c>
    </x:row>
    <x:row r="87" ht="32" customHeight="1">
      <x:c r="A87" s="13" t="str">
        <x:f>'Листы'!$A$25</x:f>
        <x:v>M</x:v>
      </x:c>
      <x:c r="B87" s="10" t="n">
        <x:f>5.5+0.04*'Исходные данные'!$B$8</x:f>
        <x:v>10.780000000000001</x:v>
      </x:c>
      <x:c r="C87" s="10" t="n">
        <x:f>CEILING(MAX('Листы'!$F$56,'Листы'!$B$87),0.5)</x:f>
        <x:v>12</x:v>
      </x:c>
      <x:c r="D87" s="16" t="n">
        <x:f>CEILING('Листы'!$C$87,1)</x:f>
        <x:v>12</x:v>
      </x:c>
      <x:c r="E87" s="10" t="n">
        <x:f>'Листы'!$D$87/'Листы'!$C$87</x:f>
        <x:v>1</x:v>
      </x:c>
      <x:c r="F87" s="9" t="n">
        <x:f>'Эквивалентный брус'!F27/100</x:f>
        <x:v>10.94566385686536</x:v>
      </x:c>
    </x:row>
    <x:row r="88" ht="32" customHeight="1">
      <x:c r="A88" s="13" t="str">
        <x:f>'Листы'!$A$26</x:f>
        <x:v>N</x:v>
      </x:c>
      <x:c r="B88" s="10" t="n">
        <x:f>5.5+0.04*'Исходные данные'!$B$8</x:f>
        <x:v>10.780000000000001</x:v>
      </x:c>
      <x:c r="C88" s="10" t="n">
        <x:f>CEILING(MAX('Листы'!$F$57,'Листы'!$B$88),0.5)</x:f>
        <x:v>11.5</x:v>
      </x:c>
      <x:c r="D88" s="16" t="n">
        <x:f>CEILING('Листы'!$C$88,1)</x:f>
        <x:v>12</x:v>
      </x:c>
      <x:c r="E88" s="10" t="n">
        <x:f>'Листы'!$D$88/'Листы'!$C$88</x:f>
        <x:v>1.0434782608695652</x:v>
      </x:c>
      <x:c r="F88" s="9" t="n">
        <x:f>'Эквивалентный брус'!F28/100</x:f>
        <x:v>12.075221285621787</x:v>
      </x:c>
    </x:row>
    <x:row r="89" ht="32" customHeight="1">
      <x:c r="A89" s="13" t="str">
        <x:f>'Листы'!$A$27</x:f>
        <x:v>SH</x:v>
      </x:c>
      <x:c r="B89" s="10" t="n">
        <x:f>5.5+0.04*'Исходные данные'!$B$8</x:f>
        <x:v>10.780000000000001</x:v>
      </x:c>
      <x:c r="C89" s="10" t="n">
        <x:f>CEILING(MAX('Листы'!$F$58,'Листы'!$B$89),0.5)</x:f>
        <x:v>11</x:v>
      </x:c>
      <x:c r="D89" s="16" t="n">
        <x:f>CEILING('Листы'!$C$89,1)</x:f>
        <x:v>11</x:v>
      </x:c>
      <x:c r="E89" s="10" t="n">
        <x:f>'Листы'!$D$89/'Листы'!$C$89</x:f>
        <x:v>1</x:v>
      </x:c>
      <x:c r="F89" s="9" t="n">
        <x:f>'Эквивалентный брус'!F29/100</x:f>
        <x:v>13.37</x:v>
      </x:c>
    </x:row>
    <x:row r="90" ht="32" customHeight="1">
      <x:c r="A90" s="13" t="str">
        <x:f>'Листы'!$A$28</x:f>
        <x:v>IB</x:v>
      </x:c>
      <x:c r="B90" s="10" t="n">
        <x:f>MAX(6.7+0.02*'Исходные данные'!$B$8,(5+0.035*'Исходные данные'!$B$8)*'Исходные данные'!$B$34^0.5)</x:f>
        <x:v>9.620000000000001</x:v>
      </x:c>
      <x:c r="C90" s="10" t="n">
        <x:f>MAX(CEILING(MAX('Листы'!$F$59,'Листы'!$B$90),0.5),'Листы'!C75,'Листы'!C76,'Листы'!C77,'Листы'!C78,'Листы'!C79,'Листы'!C80)</x:f>
        <x:v>15</x:v>
      </x:c>
      <x:c r="D90" s="16" t="n">
        <x:f>CEILING('Листы'!$C$90,1)</x:f>
        <x:v>15</x:v>
      </x:c>
      <x:c r="E90" s="10" t="n">
        <x:f>'Листы'!$D$90/'Листы'!$C$90</x:f>
        <x:v>1</x:v>
      </x:c>
      <x:c r="F90" s="9" t="n">
        <x:f>'Эквивалентный брус'!F31/100</x:f>
        <x:v>1.8</x:v>
      </x:c>
    </x:row>
    <x:row r="91" ht="32" customHeight="1">
      <x:c r="A91" s="13" t="str">
        <x:f>'Листы'!$A$29</x:f>
        <x:v>IM</x:v>
      </x:c>
      <x:c r="B91" s="10" t="n">
        <x:f>MAX(6.7+0.02*'Исходные данные'!$B$8,(5+0.035*'Исходные данные'!$B$8)*'Исходные данные'!$B$34^0.5)</x:f>
        <x:v>9.620000000000001</x:v>
      </x:c>
      <x:c r="C91" s="10" t="n">
        <x:f>MAX(CEILING(MAX('Листы'!$F$60,'Листы'!$B$91),0.5),'Листы'!C75,'Листы'!C76,'Листы'!C77,'Листы'!C78,'Листы'!C79,'Листы'!C80)</x:f>
        <x:v>15</x:v>
      </x:c>
      <x:c r="D91" s="16" t="n">
        <x:f>CEILING('Листы'!$C$91,1)</x:f>
        <x:v>15</x:v>
      </x:c>
      <x:c r="E91" s="10" t="n">
        <x:f>'Листы'!$D$91/'Листы'!$C$91</x:f>
        <x:v>1</x:v>
      </x:c>
      <x:c r="F91" s="9" t="n">
        <x:f>'Эквивалентный брус'!F30/100</x:f>
        <x:v>1.8</x:v>
      </x:c>
    </x:row>
    <x:row r="92" ht="32" customHeight="1">
      <x:c r="A92" s="13" t="str">
        <x:f>'Листы'!$A$30</x:f>
        <x:v>DK</x:v>
      </x:c>
      <x:c r="B92" s="10" t="n">
        <x:f>MAX(6.7+0.02*'Исходные данные'!$B$8,(4+0.05*'Исходные данные'!$B$8)*'Исходные данные'!$B$34^0.5)</x:f>
        <x:v>10.600000000000001</x:v>
      </x:c>
      <x:c r="C92" s="10" t="n">
        <x:f>CEILING(MAX('Листы'!$F$61,'Листы'!$B$92),0.5)</x:f>
        <x:v>11</x:v>
      </x:c>
      <x:c r="D92" s="16" t="n">
        <x:f>CEILING('Листы'!$C$92,1)</x:f>
        <x:v>11</x:v>
      </x:c>
      <x:c r="E92" s="10" t="n">
        <x:f>'Листы'!$D$92/'Листы'!$C$92</x:f>
        <x:v>1</x:v>
      </x:c>
      <x:c r="F92" s="9" t="n">
        <x:f>'Эквивалентный брус'!F32/100</x:f>
        <x:v>14.339</x:v>
      </x:c>
    </x:row>
    <x:row r="93" ht="32" customHeight="1">
      <x:c r="A93" s="13" t="str">
        <x:f>'Листы'!$A$31</x:f>
        <x:v>ISG</x:v>
      </x:c>
      <x:c r="B93" s="10" t="n">
        <x:f>6.7+0.02*'Исходные данные'!$B$8</x:f>
        <x:v>9.34</x:v>
      </x:c>
      <x:c r="C93" s="10" t="n">
        <x:f>CEILING(MAX('Листы'!$F$62,'Листы'!$B$93),0.5)</x:f>
        <x:v>15</x:v>
      </x:c>
      <x:c r="D93" s="16" t="n">
        <x:f>CEILING('Листы'!$C$93,1)</x:f>
        <x:v>15</x:v>
      </x:c>
      <x:c r="E93" s="10" t="n">
        <x:f>'Листы'!$D$93/'Листы'!$C$93</x:f>
        <x:v>1</x:v>
      </x:c>
      <x:c r="F93" s="9" t="n">
        <x:f>'Эквивалентный брус'!F33/100</x:f>
        <x:v>2.65</x:v>
      </x:c>
    </x:row>
    <x:row r="94" ht="32" customHeight="1">
      <x:c r="A94" s="13" t="str">
        <x:f>'Листы'!$A$32</x:f>
        <x:v>ISF</x:v>
      </x:c>
      <x:c r="B94" s="10" t="n">
        <x:f>6.7+0.02*'Исходные данные'!$B$8</x:f>
        <x:v>9.34</x:v>
      </x:c>
      <x:c r="C94" s="10" t="n">
        <x:f>CEILING(MAX('Листы'!$F$63,'Листы'!$B$94),0.5)</x:f>
        <x:v>14</x:v>
      </x:c>
      <x:c r="D94" s="16" t="n">
        <x:f>CEILING('Листы'!$C$94,1)</x:f>
        <x:v>14</x:v>
      </x:c>
      <x:c r="E94" s="10" t="n">
        <x:f>'Листы'!$D$94/'Листы'!$C$94</x:f>
        <x:v>1</x:v>
      </x:c>
      <x:c r="F94" s="9" t="n">
        <x:f>'Эквивалентный брус'!F34/100</x:f>
        <x:v>4.35</x:v>
      </x:c>
    </x:row>
    <x:row r="95" ht="32" customHeight="1">
      <x:c r="A95" s="13" t="str">
        <x:f>'Листы'!$A$33</x:f>
        <x:v>ISE</x:v>
      </x:c>
      <x:c r="B95" s="10" t="n">
        <x:f>6.7+0.02*'Исходные данные'!$B$8</x:f>
        <x:v>9.34</x:v>
      </x:c>
      <x:c r="C95" s="10" t="n">
        <x:f>CEILING(MAX('Листы'!$F$64,'Листы'!$B$95),0.5)</x:f>
        <x:v>13.5</x:v>
      </x:c>
      <x:c r="D95" s="16" t="n">
        <x:f>CEILING('Листы'!$C$95,1)</x:f>
        <x:v>14</x:v>
      </x:c>
      <x:c r="E95" s="10" t="n">
        <x:f>'Листы'!$D$95/'Листы'!$C$95</x:f>
        <x:v>1.037037037037037</x:v>
      </x:c>
      <x:c r="F95" s="9" t="n">
        <x:f>'Эквивалентный брус'!F35/100</x:f>
        <x:v>6.05</x:v>
      </x:c>
    </x:row>
    <x:row r="96" ht="32" customHeight="1">
      <x:c r="A96" s="13" t="str">
        <x:f>'Листы'!$A$34</x:f>
        <x:v>ISD</x:v>
      </x:c>
      <x:c r="B96" s="10" t="n">
        <x:f>6.7+0.02*'Исходные данные'!$B$8</x:f>
        <x:v>9.34</x:v>
      </x:c>
      <x:c r="C96" s="10" t="n">
        <x:f>CEILING(MAX('Листы'!$F$65,'Листы'!$B$96),0.5)</x:f>
        <x:v>13</x:v>
      </x:c>
      <x:c r="D96" s="16" t="n">
        <x:f>CEILING('Листы'!$C$96,1)</x:f>
        <x:v>13</x:v>
      </x:c>
      <x:c r="E96" s="10" t="n">
        <x:f>'Листы'!$D$96/'Листы'!$C$96</x:f>
        <x:v>1</x:v>
      </x:c>
      <x:c r="F96" s="9" t="n">
        <x:f>'Эквивалентный брус'!F36/100</x:f>
        <x:v>7.75</x:v>
      </x:c>
    </x:row>
    <x:row r="97" ht="32" customHeight="1">
      <x:c r="A97" s="13" t="str">
        <x:f>'Листы'!$A$35</x:f>
        <x:v>ISC</x:v>
      </x:c>
      <x:c r="B97" s="10" t="n">
        <x:f>6.7+0.02*'Исходные данные'!$B$8</x:f>
        <x:v>9.34</x:v>
      </x:c>
      <x:c r="C97" s="10" t="n">
        <x:f>CEILING(MAX('Листы'!$F$66,'Листы'!$B$97),0.5)</x:f>
        <x:v>12</x:v>
      </x:c>
      <x:c r="D97" s="16" t="n">
        <x:f>CEILING('Листы'!$C$97,1)</x:f>
        <x:v>12</x:v>
      </x:c>
      <x:c r="E97" s="10" t="n">
        <x:f>'Листы'!$D$97/'Листы'!$C$97</x:f>
        <x:v>1</x:v>
      </x:c>
      <x:c r="F97" s="9" t="n">
        <x:f>'Эквивалентный брус'!F37/100</x:f>
        <x:v>9.45</x:v>
      </x:c>
    </x:row>
    <x:row r="98" ht="32" customHeight="1">
      <x:c r="A98" s="13" t="str">
        <x:f>'Листы'!$A$36</x:f>
        <x:v>ISB</x:v>
      </x:c>
      <x:c r="B98" s="10" t="n">
        <x:f>6.7+0.02*'Исходные данные'!$B$8</x:f>
        <x:v>9.34</x:v>
      </x:c>
      <x:c r="C98" s="10" t="n">
        <x:f>CEILING(MAX('Листы'!$F$67,'Листы'!$B$98),0.5)</x:f>
        <x:v>12</x:v>
      </x:c>
      <x:c r="D98" s="16" t="n">
        <x:f>CEILING('Листы'!$C$98,1)</x:f>
        <x:v>12</x:v>
      </x:c>
      <x:c r="E98" s="10" t="n">
        <x:f>'Листы'!$D$98/'Листы'!$C$98</x:f>
        <x:v>1</x:v>
      </x:c>
      <x:c r="F98" s="9" t="n">
        <x:f>'Эквивалентный брус'!F38/100</x:f>
        <x:v>11.15</x:v>
      </x:c>
    </x:row>
    <x:row r="99" ht="32" customHeight="1">
      <x:c r="A99" s="13" t="str">
        <x:f>'Листы'!$A$37</x:f>
        <x:v>ISA</x:v>
      </x:c>
      <x:c r="B99" s="10" t="n">
        <x:f>6.7+0.02*'Исходные данные'!$B$8</x:f>
        <x:v>9.34</x:v>
      </x:c>
      <x:c r="C99" s="10" t="n">
        <x:f>CEILING(MAX('Листы'!$F$68,'Листы'!$B$99),0.5)</x:f>
        <x:v>12</x:v>
      </x:c>
      <x:c r="D99" s="16" t="n">
        <x:f>CEILING('Листы'!$C$99,1)</x:f>
        <x:v>12</x:v>
      </x:c>
      <x:c r="E99" s="10" t="n">
        <x:f>'Листы'!$D$99/'Листы'!$C$99</x:f>
        <x:v>1</x:v>
      </x:c>
      <x:c r="F99" s="9" t="n">
        <x:f>'Эквивалентный брус'!F39/100</x:f>
        <x:v>13.09</x:v>
      </x:c>
    </x:row>
    <x:row r="100" ht="32" customHeight="1">
      <x:c r="A100" s="3"/>
      <x:c r="B100" s="3"/>
      <x:c r="C100" s="3"/>
      <x:c r="D100" s="3"/>
      <x:c r="E100" s="3"/>
      <x:c r="F100" s="3"/>
    </x:row>
    <x:row r="101" ht="32" customHeight="1">
      <x:c r="A101" s="3"/>
      <x:c r="B101" s="3"/>
      <x:c r="C101" s="3"/>
      <x:c r="D101" s="3"/>
      <x:c r="E101" s="3"/>
      <x:c r="F101" s="3"/>
    </x:row>
    <x:row r="102" ht="32" customHeight="1">
      <x:c r="A102" s="3"/>
      <x:c r="B102" s="3"/>
      <x:c r="C102" s="3"/>
      <x:c r="D102" s="3"/>
      <x:c r="E102" s="3"/>
      <x:c r="F102" s="3"/>
    </x:row>
    <x:row r="103" ht="36" customHeight="1">
      <x:c r="A103"/>
      <x:c r="B103"/>
      <x:c r="C103"/>
      <x:c r="D103"/>
      <x:c r="E103"/>
      <x:c r="F103"/>
    </x:row>
    <x:row r="104" ht="54" customHeight="1">
      <x:c r="A104"/>
      <x:c r="B104"/>
      <x:c r="C104"/>
      <x:c r="D104"/>
      <x:c r="E104"/>
      <x:c r="F104"/>
    </x:row>
    <x:row r="105" ht="32" customHeight="1">
      <x:c r="A105"/>
      <x:c r="B105"/>
      <x:c r="C105"/>
      <x:c r="D105"/>
      <x:c r="E105"/>
      <x:c r="F105"/>
    </x:row>
    <x:row r="106" ht="32" customHeight="1">
      <x:c r="A106"/>
      <x:c r="B106"/>
      <x:c r="C106"/>
      <x:c r="D106"/>
      <x:c r="E106"/>
      <x:c r="F106"/>
    </x:row>
    <x:row r="107" ht="32" customHeight="1">
      <x:c r="A107"/>
      <x:c r="B107"/>
      <x:c r="C107"/>
      <x:c r="D107"/>
      <x:c r="E107"/>
      <x:c r="F107"/>
    </x:row>
    <x:row r="108" ht="32" customHeight="1">
      <x:c r="A108"/>
      <x:c r="B108"/>
      <x:c r="C108"/>
      <x:c r="D108"/>
      <x:c r="E108"/>
      <x:c r="F108"/>
    </x:row>
    <x:row r="109" ht="32" customHeight="1">
      <x:c r="A109"/>
      <x:c r="B109"/>
      <x:c r="C109"/>
      <x:c r="D109"/>
      <x:c r="E109"/>
      <x:c r="F109"/>
    </x:row>
    <x:row r="110" ht="32" customHeight="1">
      <x:c r="A110"/>
      <x:c r="B110"/>
      <x:c r="C110"/>
      <x:c r="D110"/>
      <x:c r="E110"/>
      <x:c r="F110"/>
    </x:row>
    <x:row r="111" ht="32" customHeight="1">
      <x:c r="A111"/>
      <x:c r="B111"/>
      <x:c r="C111"/>
      <x:c r="D111"/>
      <x:c r="E111"/>
      <x:c r="F111"/>
    </x:row>
    <x:row r="112" ht="32" customHeight="1">
      <x:c r="A112"/>
      <x:c r="B112"/>
      <x:c r="C112"/>
      <x:c r="D112"/>
      <x:c r="E112"/>
      <x:c r="F112"/>
    </x:row>
    <x:row r="113" ht="32" customHeight="1">
      <x:c r="A113"/>
      <x:c r="B113"/>
      <x:c r="C113"/>
      <x:c r="D113"/>
      <x:c r="E113"/>
      <x:c r="F113"/>
    </x:row>
    <x:row r="114" ht="32" customHeight="1">
      <x:c r="A114"/>
      <x:c r="B114"/>
      <x:c r="C114"/>
      <x:c r="D114"/>
      <x:c r="E114"/>
      <x:c r="F114"/>
    </x:row>
    <x:row r="115" ht="32" customHeight="1">
      <x:c r="A115"/>
      <x:c r="B115"/>
      <x:c r="C115"/>
      <x:c r="D115"/>
      <x:c r="E115"/>
      <x:c r="F115"/>
    </x:row>
    <x:row r="116" ht="32" customHeight="1">
      <x:c r="A116"/>
      <x:c r="B116"/>
      <x:c r="C116"/>
      <x:c r="D116"/>
      <x:c r="E116"/>
      <x:c r="F116"/>
    </x:row>
    <x:row r="117" ht="32" customHeight="1">
      <x:c r="A117"/>
      <x:c r="B117"/>
      <x:c r="C117"/>
      <x:c r="D117"/>
      <x:c r="E117"/>
      <x:c r="F117"/>
    </x:row>
    <x:row r="118" ht="32" customHeight="1">
      <x:c r="A118"/>
      <x:c r="B118"/>
      <x:c r="C118"/>
      <x:c r="D118"/>
      <x:c r="E118"/>
      <x:c r="F118"/>
    </x:row>
    <x:row r="119" ht="32" customHeight="1">
      <x:c r="A119"/>
      <x:c r="B119"/>
      <x:c r="C119"/>
      <x:c r="D119"/>
      <x:c r="E119"/>
      <x:c r="F119"/>
    </x:row>
    <x:row r="120" ht="32" customHeight="1">
      <x:c r="A120"/>
      <x:c r="B120"/>
      <x:c r="C120"/>
      <x:c r="D120"/>
      <x:c r="E120"/>
      <x:c r="F120"/>
    </x:row>
    <x:row r="121" ht="32" customHeight="1">
      <x:c r="A121"/>
      <x:c r="B121"/>
      <x:c r="C121"/>
      <x:c r="D121"/>
      <x:c r="E121"/>
      <x:c r="F121"/>
    </x:row>
    <x:row r="122" ht="32" customHeight="1">
      <x:c r="A122"/>
      <x:c r="B122"/>
      <x:c r="C122"/>
      <x:c r="D122"/>
      <x:c r="E122"/>
      <x:c r="F122"/>
    </x:row>
    <x:row r="123" ht="32" customHeight="1">
      <x:c r="A123"/>
      <x:c r="B123"/>
      <x:c r="C123"/>
      <x:c r="D123"/>
      <x:c r="E123"/>
      <x:c r="F123"/>
    </x:row>
    <x:row r="124" ht="32" customHeight="1">
      <x:c r="A124"/>
      <x:c r="B124"/>
      <x:c r="C124"/>
      <x:c r="D124"/>
      <x:c r="E124"/>
      <x:c r="F124"/>
    </x:row>
    <x:row r="125" ht="32" customHeight="1">
      <x:c r="A125"/>
      <x:c r="B125"/>
      <x:c r="C125"/>
      <x:c r="D125"/>
      <x:c r="E125"/>
      <x:c r="F125"/>
    </x:row>
    <x:row r="126" ht="32" customHeight="1">
      <x:c r="A126"/>
      <x:c r="B126"/>
      <x:c r="C126"/>
      <x:c r="D126"/>
      <x:c r="E126"/>
      <x:c r="F126"/>
    </x:row>
    <x:row r="127" ht="32" customHeight="1">
      <x:c r="A127"/>
      <x:c r="B127"/>
      <x:c r="C127"/>
      <x:c r="D127"/>
      <x:c r="E127"/>
      <x:c r="F127"/>
    </x:row>
    <x:row r="128" ht="32" customHeight="1">
      <x:c r="A128"/>
      <x:c r="B128"/>
      <x:c r="C128"/>
      <x:c r="D128"/>
      <x:c r="E128"/>
      <x:c r="F128"/>
    </x:row>
    <x:row r="129" ht="32" customHeight="1">
      <x:c r="A129"/>
      <x:c r="B129"/>
      <x:c r="C129"/>
      <x:c r="D129"/>
      <x:c r="E129"/>
      <x:c r="F129"/>
    </x:row>
    <x:row r="130" ht="32" customHeight="1">
      <x:c r="A130"/>
      <x:c r="B130"/>
      <x:c r="C130"/>
      <x:c r="D130"/>
      <x:c r="E130"/>
      <x:c r="F130"/>
    </x:row>
    <x:row r="131" ht="32" customHeight="1">
      <x:c r="A131" s="3"/>
      <x:c r="B131" s="3"/>
      <x:c r="C131" s="3"/>
      <x:c r="D131" s="3"/>
      <x:c r="E131" s="3"/>
      <x:c r="F131" s="3"/>
    </x:row>
    <x:row r="132" ht="32" customHeight="1">
      <x:c r="A132" s="3"/>
      <x:c r="B132" s="3"/>
      <x:c r="C132" s="3"/>
      <x:c r="D132" s="3"/>
      <x:c r="E132" s="3"/>
      <x:c r="F132" s="3"/>
    </x:row>
    <x:row r="133" ht="32" customHeight="1">
      <x:c r="A133" s="3"/>
      <x:c r="B133" s="3"/>
      <x:c r="C133" s="3"/>
      <x:c r="D133" s="3"/>
      <x:c r="E133" s="3"/>
      <x:c r="F133" s="3"/>
    </x:row>
    <x:row r="134" ht="32" customHeight="1">
      <x:c r="A134" s="3"/>
      <x:c r="B134" s="3"/>
      <x:c r="C134" s="3"/>
      <x:c r="D134" s="3"/>
      <x:c r="E134" s="3"/>
      <x:c r="F134" s="3"/>
    </x:row>
    <x:row r="135" ht="32" customHeight="1">
      <x:c r="A135" s="3"/>
      <x:c r="B135" s="3"/>
      <x:c r="C135" s="3"/>
      <x:c r="D135" s="3"/>
      <x:c r="E135" s="3"/>
      <x:c r="F135" s="3"/>
    </x:row>
  </x:sheetData>
  <x:mergeCells>
    <x:mergeCell ref="A1:F1"/>
    <x:mergeCell ref="A2:F3"/>
    <x:mergeCell ref="A5:F5"/>
    <x:mergeCell ref="A6:F6"/>
    <x:mergeCell ref="A7:F7"/>
    <x:mergeCell ref="A10:F10"/>
    <x:mergeCell ref="A41:F41"/>
    <x:mergeCell ref="A72:F72"/>
    <x:mergeCell ref="A103:F10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42" customHeight="1">
      <x:c r="A1" s="4" t="str">
        <x:v>Флоры и киль</x:v>
      </x:c>
      <x:c r="B1" s="3"/>
      <x:c r="C1" s="3"/>
      <x:c r="D1" s="3"/>
      <x:c r="E1" s="3"/>
      <x:c r="F1" s="3"/>
    </x:row>
    <x:row r="2" ht="24" customHeight="1">
      <x:c r="A2" s="3"/>
      <x:c r="B2" s="3"/>
      <x:c r="C2" s="3"/>
      <x:c r="D2" s="3"/>
      <x:c r="E2" s="3"/>
      <x:c r="F2" s="3"/>
    </x:row>
    <x:row r="3" ht="24" customHeight="1">
      <x:c r="A3" s="3"/>
      <x:c r="B3" s="3"/>
      <x:c r="C3" s="3"/>
      <x:c r="D3" s="3"/>
      <x:c r="E3" s="3"/>
      <x:c r="F3" s="3"/>
    </x:row>
    <x:row r="4" ht="32" customHeight="1">
      <x:c r="A4" s="3"/>
      <x:c r="B4" s="3"/>
      <x:c r="C4" s="3"/>
      <x:c r="D4" s="3"/>
      <x:c r="E4" s="3"/>
      <x:c r="F4" s="3"/>
    </x:row>
    <x:row r="5" ht="32" customHeight="1">
      <x:c r="A5" s="3"/>
      <x:c r="B5" s="3"/>
      <x:c r="C5" s="3"/>
      <x:c r="D5" s="3"/>
      <x:c r="E5" s="3"/>
      <x:c r="F5" s="3"/>
    </x:row>
    <x:row r="6" ht="32" customHeight="1">
      <x:c r="A6" s="3"/>
      <x:c r="B6" s="3"/>
      <x:c r="C6" s="3"/>
      <x:c r="D6" s="3"/>
      <x:c r="E6" s="3"/>
      <x:c r="F6" s="3"/>
    </x:row>
    <x:row r="7" ht="32" customHeight="1">
      <x:c r="A7" s="3"/>
      <x:c r="B7" s="3"/>
      <x:c r="C7" s="3"/>
      <x:c r="D7" s="3"/>
      <x:c r="E7" s="3"/>
      <x:c r="F7" s="3"/>
    </x:row>
    <x:row r="8" ht="32" customHeight="1">
      <x:c r="A8" s="3"/>
      <x:c r="B8" s="3"/>
      <x:c r="C8" s="3"/>
      <x:c r="D8" s="3"/>
      <x:c r="E8" s="3"/>
      <x:c r="F8" s="3"/>
    </x:row>
    <x:row r="9" ht="36" customHeight="1">
      <x:c r="A9" s="11" t="str">
        <x:v>1. Размеры и коэффициенты</x:v>
      </x:c>
      <x:c r="B9" s="11"/>
      <x:c r="C9" s="11"/>
      <x:c r="D9" s="11"/>
      <x:c r="E9" s="11"/>
      <x:c r="F9" s="11"/>
    </x:row>
    <x:row r="10" ht="54" customHeight="1">
      <x:c r="A10" s="6" t="str">
        <x:v>Элемент</x:v>
      </x:c>
      <x:c r="B10" s="6" t="str">
        <x:v>a, м</x:v>
      </x:c>
      <x:c r="C10" s="6" t="str">
        <x:v>α</x:v>
      </x:c>
      <x:c r="D10" s="6" t="str">
        <x:v>k1</x:v>
      </x:c>
      <x:c r="E10" s="6" t="str">
        <x:v>k2</x:v>
      </x:c>
      <x:c r="F10" s="6" t="str">
        <x:v>Δs, мм</x:v>
      </x:c>
    </x:row>
    <x:row r="11" ht="32" customHeight="1">
      <x:c r="A11" s="3" t="str">
        <x:v>Сплошной флор</x:v>
      </x:c>
      <x:c r="B11" s="10" t="n">
        <x:f>'Исходные данные'!$B$22</x:f>
        <x:v>0.7</x:v>
      </x:c>
      <x:c r="C11" s="10" t="n">
        <x:f>0.023*'Исходные данные'!$B$8+5.8</x:f>
        <x:v>8.836</x:v>
      </x:c>
      <x:c r="D11" s="10" t="n">
        <x:f>'Исходные данные'!$B$51</x:f>
        <x:v>1.45</x:v>
      </x:c>
      <x:c r="E11" s="10" t="n">
        <x:f>'Исходные данные'!$B$52</x:f>
        <x:v>0.93</x:v>
      </x:c>
      <x:c r="F11" s="10" t="n">
        <x:f>0.2*('Исходные данные'!$B$31-'Исходные данные'!$B$32)</x:f>
        <x:v>2.6</x:v>
      </x:c>
    </x:row>
    <x:row r="12" ht="52" customHeight="1">
      <x:c r="A12" s="3" t="str">
        <x:v>Вертикальный киль</x:v>
      </x:c>
      <x:c r="B12" s="3" t="str">
        <x:v>—</x:v>
      </x:c>
      <x:c r="C12" s="10" t="n">
        <x:f>MIN(0.03*'Исходные данные'!$B$8+8.3,11.2)</x:f>
        <x:v>11.2</x:v>
      </x:c>
      <x:c r="D12" s="3" t="str">
        <x:v>—</x:v>
      </x:c>
      <x:c r="E12" s="3" t="str">
        <x:v>—</x:v>
      </x:c>
      <x:c r="F12" s="10" t="n">
        <x:f>'Флоры и киль'!$F$11</x:f>
        <x:v>2.6</x:v>
      </x:c>
    </x:row>
    <x:row r="13" ht="72" customHeight="1">
      <x:c r="A13" s="3" t="str">
        <x:v>Стрингер в плоскости внутреннего борта</x:v>
      </x:c>
      <x:c r="B13" s="3" t="str">
        <x:v>—</x:v>
      </x:c>
      <x:c r="C13" s="3" t="str">
        <x:v>—</x:v>
      </x:c>
      <x:c r="D13" s="3" t="str">
        <x:v>—</x:v>
      </x:c>
      <x:c r="E13" s="3" t="str">
        <x:v>—</x:v>
      </x:c>
      <x:c r="F13" s="3" t="str">
        <x:v>—</x:v>
      </x:c>
    </x:row>
    <x:row r="14" ht="32" customHeight="1">
      <x:c r="A14" s="3"/>
      <x:c r="B14" s="3"/>
      <x:c r="C14" s="3"/>
      <x:c r="D14" s="3"/>
      <x:c r="E14" s="3"/>
      <x:c r="F14" s="3"/>
    </x:row>
    <x:row r="15" ht="32" customHeight="1">
      <x:c r="A15" s="3"/>
      <x:c r="B15" s="3"/>
      <x:c r="C15" s="3"/>
      <x:c r="D15" s="3"/>
      <x:c r="E15" s="3"/>
      <x:c r="F15" s="3"/>
    </x:row>
    <x:row r="16" ht="32" customHeight="1">
      <x:c r="A16" s="3"/>
      <x:c r="B16" s="3"/>
      <x:c r="C16" s="3"/>
      <x:c r="D16" s="3"/>
      <x:c r="E16" s="3"/>
      <x:c r="F16" s="3"/>
    </x:row>
    <x:row r="17" ht="36" customHeight="1">
      <x:c r="A17" s="11" t="str">
        <x:v>2. Толщины и проверка</x:v>
      </x:c>
      <x:c r="B17" s="11"/>
      <x:c r="C17" s="11"/>
      <x:c r="D17" s="11"/>
      <x:c r="E17" s="11"/>
      <x:c r="F17" s="11"/>
    </x:row>
    <x:row r="18" ht="54" customHeight="1">
      <x:c r="A18" s="6" t="str">
        <x:v>Марка</x:v>
      </x:c>
      <x:c r="B18" s="6" t="str">
        <x:v>sreq, мм</x:v>
      </x:c>
      <x:c r="C18" s="6" t="str">
        <x:v>s, мм</x:v>
      </x:c>
      <x:c r="D18" s="6" t="str">
        <x:v>Проверка</x:v>
      </x:c>
      <x:c r="E18" s="6"/>
      <x:c r="F18" s="6"/>
    </x:row>
    <x:row r="19" ht="32" customHeight="1">
      <x:c r="A19" s="13" t="str">
        <x:f>'Флоры и киль'!$A$11</x:f>
        <x:v>Сплошной флор</x:v>
      </x:c>
      <x:c r="B19" s="10" t="n">
        <x:f>'Флоры и киль'!$B$11*'Флоры и киль'!$C$11*'Флоры и киль'!$D$11*'Флоры и киль'!$E$11*SQRT('Исходные данные'!$B$34)+'Флоры и киль'!$F$11</x:f>
        <x:v>10.940742199999999</x:v>
      </x:c>
      <x:c r="C19" s="15" t="n">
        <x:f>CEILING('Флоры и киль'!$B$19,1)</x:f>
        <x:v>11</x:v>
      </x:c>
      <x:c r="D19" s="10" t="str">
        <x:f>IF('Флоры и киль'!$C$19&gt;='Флоры и киль'!$B$19,"Выполнено","Недостаточно")</x:f>
        <x:v>Выполнено</x:v>
      </x:c>
      <x:c r="E19" s="3"/>
      <x:c r="F19" s="3"/>
    </x:row>
    <x:row r="20" ht="32" customHeight="1">
      <x:c r="A20" s="13" t="str">
        <x:f>'Флоры и киль'!$A$12</x:f>
        <x:v>Вертикальный киль</x:v>
      </x:c>
      <x:c r="B20" s="10" t="n">
        <x:f>'Флоры и киль'!$C$12*'Исходные данные'!$B$41^2/'Исходные данные'!$B$14*SQRT('Исходные данные'!$B$34)+'Флоры и киль'!$F$12</x:f>
        <x:v>13.819066731902248</x:v>
      </x:c>
      <x:c r="C20" s="15" t="n">
        <x:f>MAX(CEILING('Флоры и киль'!$B$20,1),'Флоры и киль'!$C$19+1)</x:f>
        <x:v>14</x:v>
      </x:c>
      <x:c r="D20" s="10" t="str">
        <x:f>IF('Флоры и киль'!$C$20&gt;='Флоры и киль'!$B$20,"Выполнено","Недостаточно")</x:f>
        <x:v>Выполнено</x:v>
      </x:c>
      <x:c r="E20" s="3"/>
      <x:c r="F20" s="3"/>
    </x:row>
    <x:row r="21" ht="32" customHeight="1">
      <x:c r="A21" s="13" t="str">
        <x:f>'Флоры и киль'!$A$13</x:f>
        <x:v>Стрингер в плоскости внутреннего борта</x:v>
      </x:c>
      <x:c r="B21" s="10" t="n">
        <x:f>'Флоры и киль'!$C$19</x:f>
        <x:v>11</x:v>
      </x:c>
      <x:c r="C21" s="15" t="n">
        <x:f>'Флоры и киль'!$C$20</x:f>
        <x:v>14</x:v>
      </x:c>
      <x:c r="D21" s="10" t="str">
        <x:f>IF('Флоры и киль'!$C$21&gt;='Флоры и киль'!$B$21,"Выполнено","Недостаточно")</x:f>
        <x:v>Выполнено</x:v>
      </x:c>
      <x:c r="E21" s="3"/>
      <x:c r="F21" s="3"/>
    </x:row>
    <x:row r="22" ht="32" customHeight="1">
      <x:c r="A22" s="3"/>
      <x:c r="B22" s="3"/>
      <x:c r="C22" s="3"/>
      <x:c r="D22" s="3"/>
      <x:c r="E22" s="3"/>
      <x:c r="F22" s="3"/>
    </x:row>
    <x:row r="23" ht="32" customHeight="1">
      <x:c r="A23" s="3"/>
      <x:c r="B23" s="3"/>
      <x:c r="C23" s="3"/>
      <x:c r="D23" s="3"/>
      <x:c r="E23" s="3"/>
      <x:c r="F23" s="3"/>
    </x:row>
    <x:row r="24" ht="32" customHeight="1">
      <x:c r="A24" s="3"/>
      <x:c r="B24" s="3"/>
      <x:c r="C24" s="3"/>
      <x:c r="D24" s="3"/>
      <x:c r="E24" s="3"/>
      <x:c r="F24" s="3"/>
    </x:row>
    <x:row r="25" ht="32" customHeight="1">
      <x:c r="A25" s="3"/>
      <x:c r="B25" s="3"/>
      <x:c r="C25" s="3"/>
      <x:c r="D25" s="3"/>
      <x:c r="E25" s="3"/>
      <x:c r="F25" s="3"/>
    </x:row>
    <x:row r="26" ht="32" customHeight="1">
      <x:c r="A26" s="3"/>
      <x:c r="B26" s="3"/>
      <x:c r="C26" s="3"/>
      <x:c r="D26" s="3"/>
      <x:c r="E26" s="3"/>
      <x:c r="F26" s="3"/>
    </x:row>
  </x:sheetData>
  <x:mergeCells>
    <x:mergeCell ref="A1:F1"/>
    <x:mergeCell ref="A2:F3"/>
    <x:mergeCell ref="A5:F5"/>
    <x:mergeCell ref="A6:F6"/>
    <x:mergeCell ref="A9:F9"/>
    <x:mergeCell ref="A17:F1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42" customHeight="1">
      <x:c r="A1" s="4" t="str">
        <x:v>HP DIN1019</x:v>
      </x:c>
      <x:c r="B1" s="3"/>
      <x:c r="C1" s="3"/>
      <x:c r="D1" s="3"/>
      <x:c r="E1" s="3"/>
      <x:c r="F1" s="3"/>
    </x:row>
    <x:row r="2" ht="24" customHeight="1">
      <x:c r="A2" s="3"/>
      <x:c r="B2" s="3"/>
      <x:c r="C2" s="3"/>
      <x:c r="D2" s="3"/>
      <x:c r="E2" s="3"/>
      <x:c r="F2" s="3"/>
    </x:row>
    <x:row r="3" ht="24" customHeight="1">
      <x:c r="A3" s="3"/>
      <x:c r="B3" s="3"/>
      <x:c r="C3" s="3"/>
      <x:c r="D3" s="3"/>
      <x:c r="E3" s="3"/>
      <x:c r="F3" s="3"/>
    </x:row>
    <x:row r="4" ht="32" customHeight="1">
      <x:c r="A4" s="3"/>
      <x:c r="B4" s="3"/>
      <x:c r="C4" s="3"/>
      <x:c r="D4" s="3"/>
      <x:c r="E4" s="3"/>
      <x:c r="F4" s="3"/>
    </x:row>
    <x:row r="5" ht="32" customHeight="1">
      <x:c r="A5" s="3"/>
      <x:c r="B5" s="3"/>
      <x:c r="C5" s="3"/>
      <x:c r="D5" s="3"/>
      <x:c r="E5" s="3"/>
      <x:c r="F5" s="3"/>
    </x:row>
    <x:row r="6" ht="32" customHeight="1">
      <x:c r="A6" s="3" t="str">
        <x:v>Выборка профилей s≥10 мм; для данной задачи smin продольных балок = 9.25 мм.</x:v>
      </x:c>
      <x:c r="B6" s="3"/>
      <x:c r="C6" s="3"/>
      <x:c r="D6" s="3"/>
      <x:c r="E6" s="3"/>
      <x:c r="F6" s="3"/>
    </x:row>
    <x:row r="7" ht="32" customHeight="1">
      <x:c r="A7" s="3"/>
      <x:c r="B7" s="3"/>
      <x:c r="C7" s="3"/>
      <x:c r="D7" s="3"/>
      <x:c r="E7" s="3"/>
      <x:c r="F7" s="3"/>
    </x:row>
    <x:row r="8" ht="32" customHeight="1">
      <x:c r="A8" s="3"/>
      <x:c r="B8" s="3"/>
      <x:c r="C8" s="3"/>
      <x:c r="D8" s="3"/>
      <x:c r="E8" s="3"/>
      <x:c r="F8" s="3"/>
    </x:row>
    <x:row r="9" ht="36" customHeight="1">
      <x:c r="A9" s="11" t="str">
        <x:v>1. Размеры и площадь</x:v>
      </x:c>
      <x:c r="B9" s="11"/>
      <x:c r="C9" s="11"/>
      <x:c r="D9" s="11"/>
      <x:c r="E9" s="11"/>
      <x:c r="F9" s="11"/>
    </x:row>
    <x:row r="10" ht="54" customHeight="1">
      <x:c r="A10" s="6" t="str">
        <x:v>Профиль</x:v>
      </x:c>
      <x:c r="B10" s="6" t="str">
        <x:v>h, мм</x:v>
      </x:c>
      <x:c r="C10" s="6" t="str">
        <x:v>s, мм</x:v>
      </x:c>
      <x:c r="D10" s="6" t="str">
        <x:v>c, мм</x:v>
      </x:c>
      <x:c r="E10" s="6" t="str">
        <x:v>r, мм</x:v>
      </x:c>
      <x:c r="F10" s="6" t="str">
        <x:v>A, см2</x:v>
      </x:c>
    </x:row>
    <x:row r="11" ht="32" customHeight="1">
      <x:c r="A11" s="3" t="str">
        <x:v>HP 180x10</x:v>
      </x:c>
      <x:c r="B11" s="9" t="n">
        <x:v>180</x:v>
      </x:c>
      <x:c r="C11" s="9" t="n">
        <x:v>10</x:v>
      </x:c>
      <x:c r="D11" s="9" t="n">
        <x:v>25</x:v>
      </x:c>
      <x:c r="E11" s="9" t="n">
        <x:v>7</x:v>
      </x:c>
      <x:c r="F11" s="9" t="n">
        <x:v>22.5</x:v>
      </x:c>
    </x:row>
    <x:row r="12" ht="32" customHeight="1">
      <x:c r="A12" s="3" t="str">
        <x:v>HP 200x10</x:v>
      </x:c>
      <x:c r="B12" s="9" t="n">
        <x:v>200</x:v>
      </x:c>
      <x:c r="C12" s="9" t="n">
        <x:v>10</x:v>
      </x:c>
      <x:c r="D12" s="9" t="n">
        <x:v>28</x:v>
      </x:c>
      <x:c r="E12" s="9" t="n">
        <x:v>8</x:v>
      </x:c>
      <x:c r="F12" s="9" t="n">
        <x:v>25.6</x:v>
      </x:c>
    </x:row>
    <x:row r="13" ht="32" customHeight="1">
      <x:c r="A13" s="3" t="str">
        <x:v>HP 200x11.5</x:v>
      </x:c>
      <x:c r="B13" s="9" t="n">
        <x:v>200</x:v>
      </x:c>
      <x:c r="C13" s="9" t="n">
        <x:v>11.5</x:v>
      </x:c>
      <x:c r="D13" s="9" t="n">
        <x:v>28</x:v>
      </x:c>
      <x:c r="E13" s="9" t="n">
        <x:v>8</x:v>
      </x:c>
      <x:c r="F13" s="9" t="n">
        <x:v>28.6</x:v>
      </x:c>
    </x:row>
    <x:row r="14" ht="32" customHeight="1">
      <x:c r="A14" s="3" t="str">
        <x:v>HP 220x10</x:v>
      </x:c>
      <x:c r="B14" s="9" t="n">
        <x:v>220</x:v>
      </x:c>
      <x:c r="C14" s="9" t="n">
        <x:v>10</x:v>
      </x:c>
      <x:c r="D14" s="9" t="n">
        <x:v>31</x:v>
      </x:c>
      <x:c r="E14" s="9" t="n">
        <x:v>9</x:v>
      </x:c>
      <x:c r="F14" s="9" t="n">
        <x:v>29</x:v>
      </x:c>
    </x:row>
    <x:row r="15" ht="32" customHeight="1">
      <x:c r="A15" s="3" t="str">
        <x:v>HP 220x11.5</x:v>
      </x:c>
      <x:c r="B15" s="9" t="n">
        <x:v>220</x:v>
      </x:c>
      <x:c r="C15" s="9" t="n">
        <x:v>11.5</x:v>
      </x:c>
      <x:c r="D15" s="9" t="n">
        <x:v>31</x:v>
      </x:c>
      <x:c r="E15" s="9" t="n">
        <x:v>9</x:v>
      </x:c>
      <x:c r="F15" s="9" t="n">
        <x:v>32.3</x:v>
      </x:c>
    </x:row>
    <x:row r="16" ht="32" customHeight="1">
      <x:c r="A16" s="3" t="str">
        <x:v>HP 240x10</x:v>
      </x:c>
      <x:c r="B16" s="9" t="n">
        <x:v>240</x:v>
      </x:c>
      <x:c r="C16" s="9" t="n">
        <x:v>10</x:v>
      </x:c>
      <x:c r="D16" s="9" t="n">
        <x:v>34</x:v>
      </x:c>
      <x:c r="E16" s="9" t="n">
        <x:v>10</x:v>
      </x:c>
      <x:c r="F16" s="9" t="n">
        <x:v>32.4</x:v>
      </x:c>
    </x:row>
    <x:row r="17" ht="32" customHeight="1">
      <x:c r="A17" s="3" t="str">
        <x:v>HP 240x11</x:v>
      </x:c>
      <x:c r="B17" s="9" t="n">
        <x:v>240</x:v>
      </x:c>
      <x:c r="C17" s="9" t="n">
        <x:v>11</x:v>
      </x:c>
      <x:c r="D17" s="9" t="n">
        <x:v>34</x:v>
      </x:c>
      <x:c r="E17" s="9" t="n">
        <x:v>10</x:v>
      </x:c>
      <x:c r="F17" s="9" t="n">
        <x:v>34.9</x:v>
      </x:c>
    </x:row>
    <x:row r="18" ht="32" customHeight="1">
      <x:c r="A18" s="3" t="str">
        <x:v>HP 240x12</x:v>
      </x:c>
      <x:c r="B18" s="9" t="n">
        <x:v>240</x:v>
      </x:c>
      <x:c r="C18" s="9" t="n">
        <x:v>12</x:v>
      </x:c>
      <x:c r="D18" s="9" t="n">
        <x:v>34</x:v>
      </x:c>
      <x:c r="E18" s="9" t="n">
        <x:v>10</x:v>
      </x:c>
      <x:c r="F18" s="9" t="n">
        <x:v>37.3</x:v>
      </x:c>
    </x:row>
    <x:row r="19" ht="32" customHeight="1">
      <x:c r="A19" s="3" t="str">
        <x:v>HP 260x10</x:v>
      </x:c>
      <x:c r="B19" s="9" t="n">
        <x:v>260</x:v>
      </x:c>
      <x:c r="C19" s="9" t="n">
        <x:v>10</x:v>
      </x:c>
      <x:c r="D19" s="9" t="n">
        <x:v>37</x:v>
      </x:c>
      <x:c r="E19" s="9" t="n">
        <x:v>11</x:v>
      </x:c>
      <x:c r="F19" s="9" t="n">
        <x:v>36.1</x:v>
      </x:c>
    </x:row>
    <x:row r="20" ht="32" customHeight="1">
      <x:c r="A20" s="3" t="str">
        <x:v>HP 260x11</x:v>
      </x:c>
      <x:c r="B20" s="9" t="n">
        <x:v>260</x:v>
      </x:c>
      <x:c r="C20" s="9" t="n">
        <x:v>11</x:v>
      </x:c>
      <x:c r="D20" s="9" t="n">
        <x:v>37</x:v>
      </x:c>
      <x:c r="E20" s="9" t="n">
        <x:v>11</x:v>
      </x:c>
      <x:c r="F20" s="9" t="n">
        <x:v>38.7</x:v>
      </x:c>
    </x:row>
    <x:row r="21" ht="32" customHeight="1">
      <x:c r="A21" s="3" t="str">
        <x:v>HP 260x12</x:v>
      </x:c>
      <x:c r="B21" s="9" t="n">
        <x:v>260</x:v>
      </x:c>
      <x:c r="C21" s="9" t="n">
        <x:v>12</x:v>
      </x:c>
      <x:c r="D21" s="9" t="n">
        <x:v>37</x:v>
      </x:c>
      <x:c r="E21" s="9" t="n">
        <x:v>11</x:v>
      </x:c>
      <x:c r="F21" s="9" t="n">
        <x:v>41.3</x:v>
      </x:c>
    </x:row>
    <x:row r="22" ht="32" customHeight="1">
      <x:c r="A22" s="3" t="str">
        <x:v>HP 280x11</x:v>
      </x:c>
      <x:c r="B22" s="9" t="n">
        <x:v>280</x:v>
      </x:c>
      <x:c r="C22" s="9" t="n">
        <x:v>11</x:v>
      </x:c>
      <x:c r="D22" s="9" t="n">
        <x:v>40</x:v>
      </x:c>
      <x:c r="E22" s="9" t="n">
        <x:v>12</x:v>
      </x:c>
      <x:c r="F22" s="9" t="n">
        <x:v>42.6</x:v>
      </x:c>
    </x:row>
    <x:row r="23" ht="32" customHeight="1">
      <x:c r="A23" s="3" t="str">
        <x:v>HP 280x12</x:v>
      </x:c>
      <x:c r="B23" s="9" t="n">
        <x:v>280</x:v>
      </x:c>
      <x:c r="C23" s="9" t="n">
        <x:v>12</x:v>
      </x:c>
      <x:c r="D23" s="9" t="n">
        <x:v>40</x:v>
      </x:c>
      <x:c r="E23" s="9" t="n">
        <x:v>12</x:v>
      </x:c>
      <x:c r="F23" s="9" t="n">
        <x:v>45.5</x:v>
      </x:c>
    </x:row>
    <x:row r="24" ht="32" customHeight="1">
      <x:c r="A24" s="3" t="str">
        <x:v>HP 300x11</x:v>
      </x:c>
      <x:c r="B24" s="9" t="n">
        <x:v>300</x:v>
      </x:c>
      <x:c r="C24" s="9" t="n">
        <x:v>11</x:v>
      </x:c>
      <x:c r="D24" s="9" t="n">
        <x:v>43</x:v>
      </x:c>
      <x:c r="E24" s="9" t="n">
        <x:v>13</x:v>
      </x:c>
      <x:c r="F24" s="9" t="n">
        <x:v>46.7</x:v>
      </x:c>
    </x:row>
    <x:row r="25" ht="32" customHeight="1">
      <x:c r="A25" s="3" t="str">
        <x:v>HP 300x12</x:v>
      </x:c>
      <x:c r="B25" s="9" t="n">
        <x:v>300</x:v>
      </x:c>
      <x:c r="C25" s="9" t="n">
        <x:v>12</x:v>
      </x:c>
      <x:c r="D25" s="9" t="n">
        <x:v>43</x:v>
      </x:c>
      <x:c r="E25" s="9" t="n">
        <x:v>13</x:v>
      </x:c>
      <x:c r="F25" s="9" t="n">
        <x:v>49.7</x:v>
      </x:c>
    </x:row>
    <x:row r="26" ht="32" customHeight="1">
      <x:c r="A26" s="3" t="str">
        <x:v>HP 300x13</x:v>
      </x:c>
      <x:c r="B26" s="9" t="n">
        <x:v>300</x:v>
      </x:c>
      <x:c r="C26" s="9" t="n">
        <x:v>13</x:v>
      </x:c>
      <x:c r="D26" s="9" t="n">
        <x:v>43</x:v>
      </x:c>
      <x:c r="E26" s="9" t="n">
        <x:v>13</x:v>
      </x:c>
      <x:c r="F26" s="9" t="n">
        <x:v>52.8</x:v>
      </x:c>
    </x:row>
    <x:row r="27" ht="32" customHeight="1">
      <x:c r="A27" s="3" t="str">
        <x:v>HP 320x12</x:v>
      </x:c>
      <x:c r="B27" s="9" t="n">
        <x:v>320</x:v>
      </x:c>
      <x:c r="C27" s="9" t="n">
        <x:v>12</x:v>
      </x:c>
      <x:c r="D27" s="9" t="n">
        <x:v>46</x:v>
      </x:c>
      <x:c r="E27" s="9" t="n">
        <x:v>14</x:v>
      </x:c>
      <x:c r="F27" s="9" t="n">
        <x:v>54.2</x:v>
      </x:c>
    </x:row>
    <x:row r="28" ht="32" customHeight="1">
      <x:c r="A28" s="3" t="str">
        <x:v>HP 320x13</x:v>
      </x:c>
      <x:c r="B28" s="9" t="n">
        <x:v>320</x:v>
      </x:c>
      <x:c r="C28" s="9" t="n">
        <x:v>13</x:v>
      </x:c>
      <x:c r="D28" s="9" t="n">
        <x:v>46</x:v>
      </x:c>
      <x:c r="E28" s="9" t="n">
        <x:v>14</x:v>
      </x:c>
      <x:c r="F28" s="9" t="n">
        <x:v>57.4</x:v>
      </x:c>
    </x:row>
    <x:row r="29" ht="32" customHeight="1">
      <x:c r="A29" s="3" t="str">
        <x:v>HP 340x12</x:v>
      </x:c>
      <x:c r="B29" s="9" t="n">
        <x:v>340</x:v>
      </x:c>
      <x:c r="C29" s="9" t="n">
        <x:v>12</x:v>
      </x:c>
      <x:c r="D29" s="9" t="n">
        <x:v>49</x:v>
      </x:c>
      <x:c r="E29" s="9" t="n">
        <x:v>15</x:v>
      </x:c>
      <x:c r="F29" s="9" t="n">
        <x:v>58.8</x:v>
      </x:c>
    </x:row>
    <x:row r="30" ht="32" customHeight="1">
      <x:c r="A30" s="3" t="str">
        <x:v>HP 340x14</x:v>
      </x:c>
      <x:c r="B30" s="9" t="n">
        <x:v>340</x:v>
      </x:c>
      <x:c r="C30" s="9" t="n">
        <x:v>14</x:v>
      </x:c>
      <x:c r="D30" s="9" t="n">
        <x:v>49</x:v>
      </x:c>
      <x:c r="E30" s="9" t="n">
        <x:v>15</x:v>
      </x:c>
      <x:c r="F30" s="9" t="n">
        <x:v>65.5</x:v>
      </x:c>
    </x:row>
    <x:row r="31" ht="32" customHeight="1">
      <x:c r="A31" s="3" t="str">
        <x:v>HP 370x13</x:v>
      </x:c>
      <x:c r="B31" s="9" t="n">
        <x:v>370</x:v>
      </x:c>
      <x:c r="C31" s="9" t="n">
        <x:v>13</x:v>
      </x:c>
      <x:c r="D31" s="9" t="n">
        <x:v>53.5</x:v>
      </x:c>
      <x:c r="E31" s="9" t="n">
        <x:v>16.5</x:v>
      </x:c>
      <x:c r="F31" s="9" t="n">
        <x:v>69.6</x:v>
      </x:c>
    </x:row>
    <x:row r="32" ht="32" customHeight="1">
      <x:c r="A32" s="3" t="str">
        <x:v>HP 370x15</x:v>
      </x:c>
      <x:c r="B32" s="9" t="n">
        <x:v>370</x:v>
      </x:c>
      <x:c r="C32" s="9" t="n">
        <x:v>15</x:v>
      </x:c>
      <x:c r="D32" s="9" t="n">
        <x:v>53.5</x:v>
      </x:c>
      <x:c r="E32" s="9" t="n">
        <x:v>16.5</x:v>
      </x:c>
      <x:c r="F32" s="9" t="n">
        <x:v>77</x:v>
      </x:c>
    </x:row>
    <x:row r="33" ht="32" customHeight="1">
      <x:c r="A33" s="3" t="str">
        <x:v>HP 400x14</x:v>
      </x:c>
      <x:c r="B33" s="9" t="n">
        <x:v>400</x:v>
      </x:c>
      <x:c r="C33" s="9" t="n">
        <x:v>14</x:v>
      </x:c>
      <x:c r="D33" s="9" t="n">
        <x:v>58</x:v>
      </x:c>
      <x:c r="E33" s="9" t="n">
        <x:v>18</x:v>
      </x:c>
      <x:c r="F33" s="9" t="n">
        <x:v>81.4</x:v>
      </x:c>
    </x:row>
    <x:row r="34" ht="32" customHeight="1">
      <x:c r="A34" s="3" t="str">
        <x:v>HP 400x16</x:v>
      </x:c>
      <x:c r="B34" s="9" t="n">
        <x:v>400</x:v>
      </x:c>
      <x:c r="C34" s="9" t="n">
        <x:v>16</x:v>
      </x:c>
      <x:c r="D34" s="9" t="n">
        <x:v>58</x:v>
      </x:c>
      <x:c r="E34" s="9" t="n">
        <x:v>18</x:v>
      </x:c>
      <x:c r="F34" s="9" t="n">
        <x:v>89.4</x:v>
      </x:c>
    </x:row>
    <x:row r="35" ht="32" customHeight="1">
      <x:c r="A35" s="3" t="str">
        <x:v>HP 430x15</x:v>
      </x:c>
      <x:c r="B35" s="9" t="n">
        <x:v>430</x:v>
      </x:c>
      <x:c r="C35" s="9" t="n">
        <x:v>15</x:v>
      </x:c>
      <x:c r="D35" s="9" t="n">
        <x:v>62.5</x:v>
      </x:c>
      <x:c r="E35" s="9" t="n">
        <x:v>19.5</x:v>
      </x:c>
      <x:c r="F35" s="9" t="n">
        <x:v>94.1</x:v>
      </x:c>
    </x:row>
    <x:row r="36" ht="32" customHeight="1">
      <x:c r="A36" s="3" t="str">
        <x:v>HP 430x17</x:v>
      </x:c>
      <x:c r="B36" s="9" t="n">
        <x:v>430</x:v>
      </x:c>
      <x:c r="C36" s="9" t="n">
        <x:v>17</x:v>
      </x:c>
      <x:c r="D36" s="9" t="n">
        <x:v>62.5</x:v>
      </x:c>
      <x:c r="E36" s="9" t="n">
        <x:v>19.5</x:v>
      </x:c>
      <x:c r="F36" s="9" t="n">
        <x:v>103</x:v>
      </x:c>
    </x:row>
    <x:row r="37" ht="32" customHeight="1">
      <x:c r="A37" s="3"/>
      <x:c r="B37" s="3"/>
      <x:c r="C37" s="3"/>
      <x:c r="D37" s="3"/>
      <x:c r="E37" s="3"/>
      <x:c r="F37" s="3"/>
    </x:row>
    <x:row r="38" ht="32" customHeight="1">
      <x:c r="A38" s="3"/>
      <x:c r="B38" s="3"/>
      <x:c r="C38" s="3"/>
      <x:c r="D38" s="3"/>
      <x:c r="E38" s="3"/>
      <x:c r="F38" s="3"/>
    </x:row>
    <x:row r="39" ht="32" customHeight="1">
      <x:c r="A39" s="3"/>
      <x:c r="B39" s="3"/>
      <x:c r="C39" s="3"/>
      <x:c r="D39" s="3"/>
      <x:c r="E39" s="3"/>
      <x:c r="F39" s="3"/>
    </x:row>
    <x:row r="40" ht="36" customHeight="1">
      <x:c r="A40" s="11" t="str">
        <x:v>2. Масса и характеристики</x:v>
      </x:c>
      <x:c r="B40" s="11"/>
      <x:c r="C40" s="11"/>
      <x:c r="D40" s="11"/>
      <x:c r="E40" s="11"/>
      <x:c r="F40" s="11"/>
    </x:row>
    <x:row r="41" ht="54" customHeight="1">
      <x:c r="A41" s="6" t="str">
        <x:v>Марка</x:v>
      </x:c>
      <x:c r="B41" s="6" t="str">
        <x:v>G, кг/м</x:v>
      </x:c>
      <x:c r="C41" s="6" t="str">
        <x:v>y0, см</x:v>
      </x:c>
      <x:c r="D41" s="6" t="str">
        <x:v>Ix, см4</x:v>
      </x:c>
      <x:c r="E41" s="6"/>
      <x:c r="F41" s="6"/>
    </x:row>
    <x:row r="42" ht="32" customHeight="1">
      <x:c r="A42" s="13" t="str">
        <x:f>'HP DIN1019'!$A$11</x:f>
        <x:v>HP 180x10</x:v>
      </x:c>
      <x:c r="B42" s="9" t="n">
        <x:v>17.6</x:v>
      </x:c>
      <x:c r="C42" s="9" t="n">
        <x:v>10.6</x:v>
      </x:c>
      <x:c r="D42" s="9" t="n">
        <x:v>717</x:v>
      </x:c>
      <x:c r="E42" s="3"/>
      <x:c r="F42" s="3"/>
    </x:row>
    <x:row r="43" ht="32" customHeight="1">
      <x:c r="A43" s="13" t="str">
        <x:f>'HP DIN1019'!$A$12</x:f>
        <x:v>HP 200x10</x:v>
      </x:c>
      <x:c r="B43" s="9" t="n">
        <x:v>20.1</x:v>
      </x:c>
      <x:c r="C43" s="9" t="n">
        <x:v>11.9</x:v>
      </x:c>
      <x:c r="D43" s="9" t="n">
        <x:v>1020</x:v>
      </x:c>
      <x:c r="E43" s="3"/>
      <x:c r="F43" s="3"/>
    </x:row>
    <x:row r="44" ht="32" customHeight="1">
      <x:c r="A44" s="13" t="str">
        <x:f>'HP DIN1019'!$A$13</x:f>
        <x:v>HP 200x11.5</x:v>
      </x:c>
      <x:c r="B44" s="9" t="n">
        <x:v>22.5</x:v>
      </x:c>
      <x:c r="C44" s="9" t="n">
        <x:v>11.7</x:v>
      </x:c>
      <x:c r="D44" s="9" t="n">
        <x:v>1126</x:v>
      </x:c>
      <x:c r="E44" s="3"/>
      <x:c r="F44" s="3"/>
    </x:row>
    <x:row r="45" ht="32" customHeight="1">
      <x:c r="A45" s="13" t="str">
        <x:f>'HP DIN1019'!$A$14</x:f>
        <x:v>HP 220x10</x:v>
      </x:c>
      <x:c r="B45" s="9" t="n">
        <x:v>22.8</x:v>
      </x:c>
      <x:c r="C45" s="9" t="n">
        <x:v>13.4</x:v>
      </x:c>
      <x:c r="D45" s="9" t="n">
        <x:v>1400</x:v>
      </x:c>
      <x:c r="E45" s="3"/>
      <x:c r="F45" s="3"/>
    </x:row>
    <x:row r="46" ht="32" customHeight="1">
      <x:c r="A46" s="13" t="str">
        <x:f>'HP DIN1019'!$A$15</x:f>
        <x:v>HP 220x11.5</x:v>
      </x:c>
      <x:c r="B46" s="9" t="n">
        <x:v>25.4</x:v>
      </x:c>
      <x:c r="C46" s="9" t="n">
        <x:v>13.1</x:v>
      </x:c>
      <x:c r="D46" s="9" t="n">
        <x:v>1550</x:v>
      </x:c>
      <x:c r="E46" s="3"/>
      <x:c r="F46" s="3"/>
    </x:row>
    <x:row r="47" ht="32" customHeight="1">
      <x:c r="A47" s="13" t="str">
        <x:f>'HP DIN1019'!$A$16</x:f>
        <x:v>HP 240x10</x:v>
      </x:c>
      <x:c r="B47" s="9" t="n">
        <x:v>25.4</x:v>
      </x:c>
      <x:c r="C47" s="9" t="n">
        <x:v>14.7</x:v>
      </x:c>
      <x:c r="D47" s="9" t="n">
        <x:v>1860</x:v>
      </x:c>
      <x:c r="E47" s="3"/>
      <x:c r="F47" s="3"/>
    </x:row>
    <x:row r="48" ht="32" customHeight="1">
      <x:c r="A48" s="13" t="str">
        <x:f>'HP DIN1019'!$A$17</x:f>
        <x:v>HP 240x11</x:v>
      </x:c>
      <x:c r="B48" s="9" t="n">
        <x:v>27.4</x:v>
      </x:c>
      <x:c r="C48" s="9" t="n">
        <x:v>14.6</x:v>
      </x:c>
      <x:c r="D48" s="9" t="n">
        <x:v>2000</x:v>
      </x:c>
      <x:c r="E48" s="3"/>
      <x:c r="F48" s="3"/>
    </x:row>
    <x:row r="49" ht="32" customHeight="1">
      <x:c r="A49" s="13" t="str">
        <x:f>'HP DIN1019'!$A$18</x:f>
        <x:v>HP 240x12</x:v>
      </x:c>
      <x:c r="B49" s="9" t="n">
        <x:v>29.3</x:v>
      </x:c>
      <x:c r="C49" s="9" t="n">
        <x:v>14.4</x:v>
      </x:c>
      <x:c r="D49" s="9" t="n">
        <x:v>2130</x:v>
      </x:c>
      <x:c r="E49" s="3"/>
      <x:c r="F49" s="3"/>
    </x:row>
    <x:row r="50" ht="32" customHeight="1">
      <x:c r="A50" s="13" t="str">
        <x:f>'HP DIN1019'!$A$19</x:f>
        <x:v>HP 260x10</x:v>
      </x:c>
      <x:c r="B50" s="9" t="n">
        <x:v>28.3</x:v>
      </x:c>
      <x:c r="C50" s="9" t="n">
        <x:v>16.2</x:v>
      </x:c>
      <x:c r="D50" s="9" t="n">
        <x:v>2477</x:v>
      </x:c>
      <x:c r="E50" s="3"/>
      <x:c r="F50" s="3"/>
    </x:row>
    <x:row r="51" ht="32" customHeight="1">
      <x:c r="A51" s="13" t="str">
        <x:f>'HP DIN1019'!$A$20</x:f>
        <x:v>HP 260x11</x:v>
      </x:c>
      <x:c r="B51" s="9" t="n">
        <x:v>30.4</x:v>
      </x:c>
      <x:c r="C51" s="9" t="n">
        <x:v>16</x:v>
      </x:c>
      <x:c r="D51" s="9" t="n">
        <x:v>2610</x:v>
      </x:c>
      <x:c r="E51" s="3"/>
      <x:c r="F51" s="3"/>
    </x:row>
    <x:row r="52" ht="32" customHeight="1">
      <x:c r="A52" s="13" t="str">
        <x:f>'HP DIN1019'!$A$21</x:f>
        <x:v>HP 260x12</x:v>
      </x:c>
      <x:c r="B52" s="9" t="n">
        <x:v>32.4</x:v>
      </x:c>
      <x:c r="C52" s="9" t="n">
        <x:v>15.8</x:v>
      </x:c>
      <x:c r="D52" s="9" t="n">
        <x:v>2770</x:v>
      </x:c>
      <x:c r="E52" s="3"/>
      <x:c r="F52" s="3"/>
    </x:row>
    <x:row r="53" ht="32" customHeight="1">
      <x:c r="A53" s="13" t="str">
        <x:f>'HP DIN1019'!$A$22</x:f>
        <x:v>HP 280x11</x:v>
      </x:c>
      <x:c r="B53" s="9" t="n">
        <x:v>33.5</x:v>
      </x:c>
      <x:c r="C53" s="9" t="n">
        <x:v>17.4</x:v>
      </x:c>
      <x:c r="D53" s="9" t="n">
        <x:v>3330</x:v>
      </x:c>
      <x:c r="E53" s="3"/>
      <x:c r="F53" s="3"/>
    </x:row>
    <x:row r="54" ht="32" customHeight="1">
      <x:c r="A54" s="13" t="str">
        <x:f>'HP DIN1019'!$A$23</x:f>
        <x:v>HP 280x12</x:v>
      </x:c>
      <x:c r="B54" s="9" t="n">
        <x:v>35.7</x:v>
      </x:c>
      <x:c r="C54" s="9" t="n">
        <x:v>17.2</x:v>
      </x:c>
      <x:c r="D54" s="9" t="n">
        <x:v>3550</x:v>
      </x:c>
      <x:c r="E54" s="3"/>
      <x:c r="F54" s="3"/>
    </x:row>
    <x:row r="55" ht="32" customHeight="1">
      <x:c r="A55" s="13" t="str">
        <x:f>'HP DIN1019'!$A$24</x:f>
        <x:v>HP 300x11</x:v>
      </x:c>
      <x:c r="B55" s="9" t="n">
        <x:v>36.7</x:v>
      </x:c>
      <x:c r="C55" s="9" t="n">
        <x:v>18.9</x:v>
      </x:c>
      <x:c r="D55" s="9" t="n">
        <x:v>4190</x:v>
      </x:c>
      <x:c r="E55" s="3"/>
      <x:c r="F55" s="3"/>
    </x:row>
    <x:row r="56" ht="32" customHeight="1">
      <x:c r="A56" s="13" t="str">
        <x:f>'HP DIN1019'!$A$25</x:f>
        <x:v>HP 300x12</x:v>
      </x:c>
      <x:c r="B56" s="9" t="n">
        <x:v>39</x:v>
      </x:c>
      <x:c r="C56" s="9" t="n">
        <x:v>18.7</x:v>
      </x:c>
      <x:c r="D56" s="9" t="n">
        <x:v>4460</x:v>
      </x:c>
      <x:c r="E56" s="3"/>
      <x:c r="F56" s="3"/>
    </x:row>
    <x:row r="57" ht="32" customHeight="1">
      <x:c r="A57" s="13" t="str">
        <x:f>'HP DIN1019'!$A$26</x:f>
        <x:v>HP 300x13</x:v>
      </x:c>
      <x:c r="B57" s="9" t="n">
        <x:v>41.5</x:v>
      </x:c>
      <x:c r="C57" s="9" t="n">
        <x:v>18.5</x:v>
      </x:c>
      <x:c r="D57" s="9" t="n">
        <x:v>4720</x:v>
      </x:c>
      <x:c r="E57" s="3"/>
      <x:c r="F57" s="3"/>
    </x:row>
    <x:row r="58" ht="32" customHeight="1">
      <x:c r="A58" s="13" t="str">
        <x:f>'HP DIN1019'!$A$27</x:f>
        <x:v>HP 320x12</x:v>
      </x:c>
      <x:c r="B58" s="9" t="n">
        <x:v>42.5</x:v>
      </x:c>
      <x:c r="C58" s="9" t="n">
        <x:v>20.1</x:v>
      </x:c>
      <x:c r="D58" s="9" t="n">
        <x:v>5530</x:v>
      </x:c>
      <x:c r="E58" s="3"/>
      <x:c r="F58" s="3"/>
    </x:row>
    <x:row r="59" ht="32" customHeight="1">
      <x:c r="A59" s="13" t="str">
        <x:f>'HP DIN1019'!$A$28</x:f>
        <x:v>HP 320x13</x:v>
      </x:c>
      <x:c r="B59" s="9" t="n">
        <x:v>45</x:v>
      </x:c>
      <x:c r="C59" s="9" t="n">
        <x:v>19.9</x:v>
      </x:c>
      <x:c r="D59" s="9" t="n">
        <x:v>5850</x:v>
      </x:c>
      <x:c r="E59" s="3"/>
      <x:c r="F59" s="3"/>
    </x:row>
    <x:row r="60" ht="32" customHeight="1">
      <x:c r="A60" s="13" t="str">
        <x:f>'HP DIN1019'!$A$29</x:f>
        <x:v>HP 340x12</x:v>
      </x:c>
      <x:c r="B60" s="9" t="n">
        <x:v>46.1</x:v>
      </x:c>
      <x:c r="C60" s="9" t="n">
        <x:v>21.5</x:v>
      </x:c>
      <x:c r="D60" s="9" t="n">
        <x:v>6760</x:v>
      </x:c>
      <x:c r="E60" s="3"/>
      <x:c r="F60" s="3"/>
    </x:row>
    <x:row r="61" ht="32" customHeight="1">
      <x:c r="A61" s="13" t="str">
        <x:f>'HP DIN1019'!$A$30</x:f>
        <x:v>HP 340x14</x:v>
      </x:c>
      <x:c r="B61" s="9" t="n">
        <x:v>51.5</x:v>
      </x:c>
      <x:c r="C61" s="9" t="n">
        <x:v>21.1</x:v>
      </x:c>
      <x:c r="D61" s="9" t="n">
        <x:v>7540</x:v>
      </x:c>
      <x:c r="E61" s="3"/>
      <x:c r="F61" s="3"/>
    </x:row>
    <x:row r="62" ht="32" customHeight="1">
      <x:c r="A62" s="13" t="str">
        <x:f>'HP DIN1019'!$A$31</x:f>
        <x:v>HP 370x13</x:v>
      </x:c>
      <x:c r="B62" s="9" t="n">
        <x:v>54.6</x:v>
      </x:c>
      <x:c r="C62" s="9" t="n">
        <x:v>23.5</x:v>
      </x:c>
      <x:c r="D62" s="9" t="n">
        <x:v>9470</x:v>
      </x:c>
      <x:c r="E62" s="3"/>
      <x:c r="F62" s="3"/>
    </x:row>
    <x:row r="63" ht="32" customHeight="1">
      <x:c r="A63" s="13" t="str">
        <x:f>'HP DIN1019'!$A$32</x:f>
        <x:v>HP 370x15</x:v>
      </x:c>
      <x:c r="B63" s="9" t="n">
        <x:v>60.5</x:v>
      </x:c>
      <x:c r="C63" s="9" t="n">
        <x:v>23</x:v>
      </x:c>
      <x:c r="D63" s="9" t="n">
        <x:v>10490</x:v>
      </x:c>
      <x:c r="E63" s="3"/>
      <x:c r="F63" s="3"/>
    </x:row>
    <x:row r="64" ht="32" customHeight="1">
      <x:c r="A64" s="13" t="str">
        <x:f>'HP DIN1019'!$A$33</x:f>
        <x:v>HP 400x14</x:v>
      </x:c>
      <x:c r="B64" s="9" t="n">
        <x:v>63.9</x:v>
      </x:c>
      <x:c r="C64" s="9" t="n">
        <x:v>25.5</x:v>
      </x:c>
      <x:c r="D64" s="9" t="n">
        <x:v>12930</x:v>
      </x:c>
      <x:c r="E64" s="3"/>
      <x:c r="F64" s="3"/>
    </x:row>
    <x:row r="65" ht="32" customHeight="1">
      <x:c r="A65" s="13" t="str">
        <x:f>'HP DIN1019'!$A$34</x:f>
        <x:v>HP 400x16</x:v>
      </x:c>
      <x:c r="B65" s="9" t="n">
        <x:v>70.2</x:v>
      </x:c>
      <x:c r="C65" s="9" t="n">
        <x:v>25</x:v>
      </x:c>
      <x:c r="D65" s="9" t="n">
        <x:v>14220</x:v>
      </x:c>
      <x:c r="E65" s="3"/>
      <x:c r="F65" s="3"/>
    </x:row>
    <x:row r="66" ht="32" customHeight="1">
      <x:c r="A66" s="13" t="str">
        <x:f>'HP DIN1019'!$A$35</x:f>
        <x:v>HP 430x15</x:v>
      </x:c>
      <x:c r="B66" s="9" t="n">
        <x:v>73.9</x:v>
      </x:c>
      <x:c r="C66" s="9" t="n">
        <x:v>27.4</x:v>
      </x:c>
      <x:c r="D66" s="9" t="n">
        <x:v>17260</x:v>
      </x:c>
      <x:c r="E66" s="3"/>
      <x:c r="F66" s="3"/>
    </x:row>
    <x:row r="67" ht="32" customHeight="1">
      <x:c r="A67" s="13" t="str">
        <x:f>'HP DIN1019'!$A$36</x:f>
        <x:v>HP 430x17</x:v>
      </x:c>
      <x:c r="B67" s="9" t="n">
        <x:v>80.6</x:v>
      </x:c>
      <x:c r="C67" s="9" t="n">
        <x:v>26.9</x:v>
      </x:c>
      <x:c r="D67" s="9" t="n">
        <x:v>18860</x:v>
      </x:c>
      <x:c r="E67" s="3"/>
      <x:c r="F67" s="3"/>
    </x:row>
    <x:row r="68" ht="32" customHeight="1">
      <x:c r="A68" s="3"/>
      <x:c r="B68" s="3"/>
      <x:c r="C68" s="3"/>
      <x:c r="D68" s="3"/>
      <x:c r="E68" s="3"/>
      <x:c r="F68" s="3"/>
    </x:row>
    <x:row r="69" ht="32" customHeight="1">
      <x:c r="A69" s="3"/>
      <x:c r="B69" s="3"/>
      <x:c r="C69" s="3"/>
      <x:c r="D69" s="3"/>
      <x:c r="E69" s="3"/>
      <x:c r="F69" s="3"/>
    </x:row>
    <x:row r="70" ht="32" customHeight="1">
      <x:c r="A70" s="3"/>
      <x:c r="B70" s="3"/>
      <x:c r="C70" s="3"/>
      <x:c r="D70" s="3"/>
      <x:c r="E70" s="3"/>
      <x:c r="F70" s="3"/>
    </x:row>
    <x:row r="71" ht="32" customHeight="1">
      <x:c r="A71" s="3"/>
      <x:c r="B71" s="3"/>
      <x:c r="C71" s="3"/>
      <x:c r="D71" s="3"/>
      <x:c r="E71" s="3"/>
      <x:c r="F71" s="3"/>
    </x:row>
    <x:row r="72" ht="32" customHeight="1">
      <x:c r="A72" s="3"/>
      <x:c r="B72" s="3"/>
      <x:c r="C72" s="3"/>
      <x:c r="D72" s="3"/>
      <x:c r="E72" s="3"/>
      <x:c r="F72" s="3"/>
    </x:row>
  </x:sheetData>
  <x:mergeCells>
    <x:mergeCell ref="A1:F1"/>
    <x:mergeCell ref="A2:F3"/>
    <x:mergeCell ref="A5:F5"/>
    <x:mergeCell ref="A6:F6"/>
    <x:mergeCell ref="A9:F9"/>
    <x:mergeCell ref="A40:F40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42" customHeight="1">
      <x:c r="A1" s="4" t="str">
        <x:v>Балки</x:v>
      </x:c>
      <x:c r="B1" s="3"/>
      <x:c r="C1" s="3"/>
      <x:c r="D1" s="3"/>
      <x:c r="E1" s="3"/>
      <x:c r="F1" s="3"/>
    </x:row>
    <x:row r="2" ht="24" customHeight="1">
      <x:c r="A2" s="7"/>
      <x:c r="B2" s="7"/>
      <x:c r="C2" s="7"/>
      <x:c r="D2" s="7"/>
      <x:c r="E2" s="7"/>
      <x:c r="F2" s="7"/>
    </x:row>
    <x:row r="3" ht="24" customHeight="1">
      <x:c r="A3" s="7"/>
      <x:c r="B3" s="7"/>
      <x:c r="C3" s="7"/>
      <x:c r="D3" s="7"/>
      <x:c r="E3" s="7"/>
      <x:c r="F3" s="7"/>
    </x:row>
    <x:row r="4" ht="32" customHeight="1">
      <x:c r="A4" s="3"/>
      <x:c r="B4" s="3"/>
      <x:c r="C4" s="3"/>
      <x:c r="D4" s="3"/>
      <x:c r="E4" s="3"/>
      <x:c r="F4" s="3"/>
    </x:row>
    <x:row r="5" ht="32" customHeight="1">
      <x:c r="A5" s="3"/>
      <x:c r="B5" s="3"/>
      <x:c r="C5" s="3"/>
      <x:c r="D5" s="3"/>
      <x:c r="E5" s="3"/>
      <x:c r="F5" s="3"/>
    </x:row>
    <x:row r="6" ht="32" customHeight="1">
      <x:c r="A6" s="3"/>
      <x:c r="B6" s="3"/>
      <x:c r="C6" s="3"/>
      <x:c r="D6" s="3"/>
      <x:c r="E6" s="3"/>
      <x:c r="F6" s="3"/>
    </x:row>
    <x:row r="7" ht="32" customHeight="1">
      <x:c r="A7" s="3" t="str">
        <x:v>Шпангоуты: 4 пролёта по фактическим платформам. pmin наружного борта использует L, не B.</x:v>
      </x:c>
      <x:c r="B7" s="3"/>
      <x:c r="C7" s="3"/>
      <x:c r="D7" s="3"/>
      <x:c r="E7" s="3"/>
      <x:c r="F7" s="3"/>
    </x:row>
    <x:row r="8" ht="32" customHeight="1">
      <x:c r="A8" s="3"/>
      <x:c r="B8" s="3"/>
      <x:c r="C8" s="3"/>
      <x:c r="D8" s="3"/>
      <x:c r="E8" s="3"/>
      <x:c r="F8" s="3"/>
    </x:row>
    <x:row r="9" ht="32" customHeight="1">
      <x:c r="A9" s="3"/>
      <x:c r="B9" s="3"/>
      <x:c r="C9" s="3"/>
      <x:c r="D9" s="3"/>
      <x:c r="E9" s="3"/>
      <x:c r="F9" s="3"/>
    </x:row>
    <x:row r="10" ht="36" customHeight="1">
      <x:c r="A10" s="11" t="str">
        <x:v>1. Расчётная схема</x:v>
      </x:c>
      <x:c r="B10" s="11"/>
      <x:c r="C10" s="11"/>
      <x:c r="D10" s="11"/>
      <x:c r="E10" s="11"/>
      <x:c r="F10" s="11"/>
    </x:row>
    <x:row r="11" ht="54" customHeight="1">
      <x:c r="A11" s="6" t="str">
        <x:v>Марка</x:v>
      </x:c>
      <x:c r="B11" s="6" t="str">
        <x:v>Элемент</x:v>
      </x:c>
      <x:c r="C11" s="6" t="str">
        <x:v>a, м</x:v>
      </x:c>
      <x:c r="D11" s="6" t="str">
        <x:v>l, м</x:v>
      </x:c>
      <x:c r="E11" s="6" t="str">
        <x:v>p, кПа</x:v>
      </x:c>
      <x:c r="F11" s="6" t="str">
        <x:v>m</x:v>
      </x:c>
    </x:row>
    <x:row r="12" ht="32" customHeight="1">
      <x:c r="A12" s="3" t="str">
        <x:v>B-L</x:v>
      </x:c>
      <x:c r="B12" s="3" t="str">
        <x:v>Продольная балка днища</x:v>
      </x:c>
      <x:c r="C12" s="10" t="n">
        <x:f>'Исходные данные'!$B$22</x:f>
        <x:v>0.7</x:v>
      </x:c>
      <x:c r="D12" s="9" t="n">
        <x:f>'Исходные данные'!B20</x:f>
        <x:v>2.25</x:v>
      </x:c>
      <x:c r="E12" s="10" t="n">
        <x:f>'Нагрузки'!$C$83</x:f>
        <x:v>152.4735628325807</x:v>
      </x:c>
      <x:c r="F12" s="9" t="n">
        <x:v>12</x:v>
      </x:c>
    </x:row>
    <x:row r="13" ht="32" customHeight="1">
      <x:c r="A13" s="3" t="str">
        <x:v>IB-L</x:v>
      </x:c>
      <x:c r="B13" s="3" t="str">
        <x:v>Продольная балка второго дна</x:v>
      </x:c>
      <x:c r="C13" s="10" t="n">
        <x:f>'Исходные данные'!$B$22</x:f>
        <x:v>0.7</x:v>
      </x:c>
      <x:c r="D13" s="9" t="n">
        <x:f>'Исходные данные'!B20</x:f>
        <x:v>2.25</x:v>
      </x:c>
      <x:c r="E13" s="10" t="n">
        <x:f>'Нагрузки'!$B$84</x:f>
        <x:v>167.91540614457827</x:v>
      </x:c>
      <x:c r="F13" s="9" t="n">
        <x:v>12</x:v>
      </x:c>
    </x:row>
    <x:row r="14" ht="32" customHeight="1">
      <x:c r="A14" s="3" t="str">
        <x:v>OF1</x:v>
      </x:c>
      <x:c r="B14" s="3" t="str">
        <x:v>Наружный шпангоут 1</x:v>
      </x:c>
      <x:c r="C14" s="10" t="n">
        <x:f>'Исходные данные'!$B$18</x:f>
        <x:v>0.75</x:v>
      </x:c>
      <x:c r="D14" s="9" t="n">
        <x:f>'Исходные данные'!B23-'Исходные данные'!B14</x:f>
        <x:v>3</x:v>
      </x:c>
      <x:c r="E14" s="10" t="n">
        <x:f>'Нагрузки'!$E$103</x:f>
        <x:v>152.8325311445783</x:v>
      </x:c>
      <x:c r="F14" s="9" t="n">
        <x:v>12</x:v>
      </x:c>
    </x:row>
    <x:row r="15" ht="32" customHeight="1">
      <x:c r="A15" s="3" t="str">
        <x:v>OF2</x:v>
      </x:c>
      <x:c r="B15" s="3" t="str">
        <x:v>Наружный шпангоут 2</x:v>
      </x:c>
      <x:c r="C15" s="10" t="n">
        <x:f>'Исходные данные'!$B$18</x:f>
        <x:v>0.75</x:v>
      </x:c>
      <x:c r="D15" s="9" t="n">
        <x:f>'Исходные данные'!B24-'Исходные данные'!B23</x:f>
        <x:v>3.1000000000000005</x:v>
      </x:c>
      <x:c r="E15" s="10" t="n">
        <x:f>'Нагрузки'!$E$104</x:f>
        <x:v>122.16401864457828</x:v>
      </x:c>
      <x:c r="F15" s="9" t="n">
        <x:v>12</x:v>
      </x:c>
    </x:row>
    <x:row r="16" ht="32" customHeight="1">
      <x:c r="A16" s="3" t="str">
        <x:v>OF3</x:v>
      </x:c>
      <x:c r="B16" s="3" t="str">
        <x:v>Наружный шпангоут 3</x:v>
      </x:c>
      <x:c r="C16" s="10" t="n">
        <x:f>'Исходные данные'!$B$18</x:f>
        <x:v>0.75</x:v>
      </x:c>
      <x:c r="D16" s="9" t="n">
        <x:f>'Исходные данные'!B25-'Исходные данные'!B24</x:f>
        <x:v>3.0999999999999996</x:v>
      </x:c>
      <x:c r="E16" s="10" t="n">
        <x:f>'Нагрузки'!$E$105</x:f>
        <x:v>90.99274364457831</x:v>
      </x:c>
      <x:c r="F16" s="9" t="n">
        <x:v>12</x:v>
      </x:c>
    </x:row>
    <x:row r="17" ht="32" customHeight="1">
      <x:c r="A17" s="3" t="str">
        <x:v>OF4</x:v>
      </x:c>
      <x:c r="B17" s="3" t="str">
        <x:v>Наружный шпангоут 4</x:v>
      </x:c>
      <x:c r="C17" s="10" t="n">
        <x:f>'Исходные данные'!$B$18</x:f>
        <x:v>0.75</x:v>
      </x:c>
      <x:c r="D17" s="9" t="n">
        <x:f>'Исходные данные'!B10-'Исходные данные'!B25</x:f>
        <x:v>3.0999999999999996</x:v>
      </x:c>
      <x:c r="E17" s="10" t="n">
        <x:f>'Нагрузки'!$E$106</x:f>
        <x:v>59.82146864457828</x:v>
      </x:c>
      <x:c r="F17" s="9" t="n">
        <x:v>12</x:v>
      </x:c>
    </x:row>
    <x:row r="18" ht="32" customHeight="1">
      <x:c r="A18" s="3" t="str">
        <x:v>IF1</x:v>
      </x:c>
      <x:c r="B18" s="3" t="str">
        <x:v>Внутренний шпангоут 1</x:v>
      </x:c>
      <x:c r="C18" s="10" t="n">
        <x:f>'Исходные данные'!$B$18</x:f>
        <x:v>0.75</x:v>
      </x:c>
      <x:c r="D18" s="9" t="n">
        <x:f>'Исходные данные'!B23-'Исходные данные'!B14</x:f>
        <x:v>3</x:v>
      </x:c>
      <x:c r="E18" s="10" t="n">
        <x:f>'Нагрузки'!$B$107</x:f>
        <x:v>152.8325311445783</x:v>
      </x:c>
      <x:c r="F18" s="9" t="n">
        <x:v>12</x:v>
      </x:c>
    </x:row>
    <x:row r="19" ht="32" customHeight="1">
      <x:c r="A19" s="3" t="str">
        <x:v>IF2</x:v>
      </x:c>
      <x:c r="B19" s="3" t="str">
        <x:v>Внутренний шпангоут 2</x:v>
      </x:c>
      <x:c r="C19" s="10" t="n">
        <x:f>'Исходные данные'!$B$18</x:f>
        <x:v>0.75</x:v>
      </x:c>
      <x:c r="D19" s="9" t="n">
        <x:f>'Исходные данные'!B24-'Исходные данные'!B23</x:f>
        <x:v>3.1000000000000005</x:v>
      </x:c>
      <x:c r="E19" s="10" t="n">
        <x:f>'Нагрузки'!$B$108</x:f>
        <x:v>122.16401864457828</x:v>
      </x:c>
      <x:c r="F19" s="9" t="n">
        <x:v>12</x:v>
      </x:c>
    </x:row>
    <x:row r="20" ht="32" customHeight="1">
      <x:c r="A20" s="3" t="str">
        <x:v>IF3</x:v>
      </x:c>
      <x:c r="B20" s="3" t="str">
        <x:v>Внутренний шпангоут 3</x:v>
      </x:c>
      <x:c r="C20" s="10" t="n">
        <x:f>'Исходные данные'!$B$18</x:f>
        <x:v>0.75</x:v>
      </x:c>
      <x:c r="D20" s="9" t="n">
        <x:f>'Исходные данные'!B25-'Исходные данные'!B24</x:f>
        <x:v>3.0999999999999996</x:v>
      </x:c>
      <x:c r="E20" s="10" t="n">
        <x:f>'Нагрузки'!$B$109</x:f>
        <x:v>90.99274364457831</x:v>
      </x:c>
      <x:c r="F20" s="9" t="n">
        <x:v>12</x:v>
      </x:c>
    </x:row>
    <x:row r="21" ht="32" customHeight="1">
      <x:c r="A21" s="3" t="str">
        <x:v>IF4</x:v>
      </x:c>
      <x:c r="B21" s="3" t="str">
        <x:v>Внутренний шпангоут 4</x:v>
      </x:c>
      <x:c r="C21" s="10" t="n">
        <x:f>'Исходные данные'!$B$18</x:f>
        <x:v>0.75</x:v>
      </x:c>
      <x:c r="D21" s="9" t="n">
        <x:f>('Исходные данные'!B10+'Исходные данные'!B17*'Исходные данные'!B15/('Исходные данные'!B9/2))-'Исходные данные'!B25</x:f>
        <x:v>3.1799999999999997</x:v>
      </x:c>
      <x:c r="E21" s="10" t="n">
        <x:f>'Нагрузки'!$B$110</x:f>
        <x:v>59.41925864457829</x:v>
      </x:c>
      <x:c r="F21" s="9" t="n">
        <x:v>12</x:v>
      </x:c>
    </x:row>
    <x:row r="22" ht="52" customHeight="1">
      <x:c r="A22" s="3" t="str">
        <x:v>D-L</x:v>
      </x:c>
      <x:c r="B22" s="3" t="str">
        <x:v>Продольная балка палубы над грузовым танком</x:v>
      </x:c>
      <x:c r="C22" s="10" t="n">
        <x:f>'Исходные данные'!$B$22</x:f>
        <x:v>0.7</x:v>
      </x:c>
      <x:c r="D22" s="10" t="n">
        <x:f>'Исходные данные'!$B$20</x:f>
        <x:v>2.25</x:v>
      </x:c>
      <x:c r="E22" s="10" t="n">
        <x:f>'Нагрузки'!$B$85</x:f>
        <x:v>44.2358311445783</x:v>
      </x:c>
      <x:c r="F22" s="9" t="n">
        <x:v>12</x:v>
      </x:c>
    </x:row>
    <x:row r="23" ht="52" customHeight="1">
      <x:c r="A23" s="3" t="str">
        <x:v>D-W</x:v>
      </x:c>
      <x:c r="B23" s="3" t="str">
        <x:v>Продольная балка палубы над двойным бортом</x:v>
      </x:c>
      <x:c r="C23" s="10" t="n">
        <x:f>'Исходные данные'!B22</x:f>
        <x:v>0.7</x:v>
      </x:c>
      <x:c r="D23" s="10" t="n">
        <x:f>'Исходные данные'!$B$20</x:f>
        <x:v>2.25</x:v>
      </x:c>
      <x:c r="E23" s="10" t="n">
        <x:f>'Нагрузки'!$B$85</x:f>
        <x:v>44.2358311445783</x:v>
      </x:c>
      <x:c r="F23" s="9" t="n">
        <x:v>12</x:v>
      </x:c>
    </x:row>
    <x:row r="24" ht="32" customHeight="1">
      <x:c r="A24" s="3"/>
      <x:c r="B24" s="3"/>
      <x:c r="C24" s="3"/>
      <x:c r="D24" s="3"/>
      <x:c r="E24" s="3"/>
      <x:c r="F24" s="3"/>
    </x:row>
    <x:row r="25" ht="32" customHeight="1">
      <x:c r="A25" s="3"/>
      <x:c r="B25" s="3"/>
      <x:c r="C25" s="3"/>
      <x:c r="D25" s="3"/>
      <x:c r="E25" s="3"/>
      <x:c r="F25" s="3"/>
    </x:row>
    <x:row r="26" ht="32" customHeight="1">
      <x:c r="A26" s="3"/>
      <x:c r="B26" s="3"/>
      <x:c r="C26" s="3"/>
      <x:c r="D26" s="3"/>
      <x:c r="E26" s="3"/>
      <x:c r="F26" s="3"/>
    </x:row>
    <x:row r="27" ht="36" customHeight="1">
      <x:c r="A27" s="11" t="str">
        <x:v>2. Коэффициенты и чистый W</x:v>
      </x:c>
      <x:c r="B27" s="11"/>
      <x:c r="C27" s="11"/>
      <x:c r="D27" s="11"/>
      <x:c r="E27" s="11"/>
      <x:c r="F27" s="11"/>
    </x:row>
    <x:row r="28" ht="54" customHeight="1">
      <x:c r="A28" s="6" t="str">
        <x:v>Марка</x:v>
      </x:c>
      <x:c r="B28" s="6" t="str">
        <x:v>kσ</x:v>
      </x:c>
      <x:c r="C28" s="6" t="str">
        <x:v>u, мм/год</x:v>
      </x:c>
      <x:c r="D28" s="6" t="str">
        <x:v>Δs, мм</x:v>
      </x:c>
      <x:c r="E28" s="6" t="str">
        <x:v>W′, см³</x:v>
      </x:c>
      <x:c r="F28" s="6" t="str">
        <x:v>αк</x:v>
      </x:c>
    </x:row>
    <x:row r="29" ht="32" customHeight="1">
      <x:c r="A29" s="13" t="str">
        <x:f>'Балки'!$A$12</x:f>
        <x:v>B-L</x:v>
      </x:c>
      <x:c r="B29" s="9" t="n">
        <x:v>0.5</x:v>
      </x:c>
      <x:c r="C29" s="9" t="n">
        <x:v>0.2</x:v>
      </x:c>
      <x:c r="D29" s="10" t="n">
        <x:f>'Балки'!$C$29*('Исходные данные'!$B$31-'Исходные данные'!$B$32)</x:f>
        <x:v>2.6</x:v>
      </x:c>
      <x:c r="E29" s="10" t="n">
        <x:f>1000*'Балки'!$E$12*'Балки'!$C$12*'Балки'!$D$12^2/'Балки'!$F$12/'Балки'!$B$29/'Исходные данные'!$B$35</x:f>
        <x:v>383.2114810552892</x:v>
      </x:c>
      <x:c r="F29" s="10" t="n">
        <x:f>IF('Балки'!$E$29&lt;200,MIN(0.07+6/'Балки'!$E$29,0.25),(0.01+1/'Балки'!$E$29)/0.15)</x:f>
        <x:v>0.0840635010420564</x:v>
      </x:c>
    </x:row>
    <x:row r="30" ht="32" customHeight="1">
      <x:c r="A30" s="13" t="str">
        <x:f>'Балки'!$A$13</x:f>
        <x:v>IB-L</x:v>
      </x:c>
      <x:c r="B30" s="9" t="n">
        <x:v>0.66</x:v>
      </x:c>
      <x:c r="C30" s="9" t="n">
        <x:v>0.2</x:v>
      </x:c>
      <x:c r="D30" s="10" t="n">
        <x:f>'Балки'!$C$30*('Исходные данные'!$B$31-'Исходные данные'!$B$32)</x:f>
        <x:v>2.6</x:v>
      </x:c>
      <x:c r="E30" s="10" t="n">
        <x:f>1000*'Балки'!$E$13*'Балки'!$C$13*'Балки'!$D$13^2/'Балки'!$F$13/'Балки'!$B$30/'Исходные данные'!$B$35</x:f>
        <x:v>319.71320681541437</x:v>
      </x:c>
      <x:c r="F30" s="10" t="n">
        <x:f>IF('Балки'!$E$30&lt;200,MIN(0.07+6/'Балки'!$E$30,0.25),(0.01+1/'Балки'!$E$30)/0.15)</x:f>
        <x:v>0.08751868818017158</x:v>
      </x:c>
    </x:row>
    <x:row r="31" ht="32" customHeight="1">
      <x:c r="A31" s="13" t="str">
        <x:f>'Балки'!$A$14</x:f>
        <x:v>OF1</x:v>
      </x:c>
      <x:c r="B31" s="9" t="n">
        <x:v>0.65</x:v>
      </x:c>
      <x:c r="C31" s="9" t="n">
        <x:v>0.21</x:v>
      </x:c>
      <x:c r="D31" s="10" t="n">
        <x:f>'Балки'!$C$31*('Исходные данные'!$B$31-'Исходные данные'!$B$32)</x:f>
        <x:v>2.73</x:v>
      </x:c>
      <x:c r="E31" s="10" t="n">
        <x:f>1000*'Балки'!$E$14*'Балки'!$C$14*'Балки'!$D$14^2/'Балки'!$F$14/'Балки'!$B$31/'Исходные данные'!$B$35</x:f>
        <x:v>562.8039199268432</x:v>
      </x:c>
      <x:c r="F31" s="10" t="n">
        <x:f>IF('Балки'!$E$31&lt;200,MIN(0.07+6/'Балки'!$E$31,0.25),(0.01+1/'Балки'!$E$31)/0.15)</x:f>
        <x:v>0.07851211839616642</x:v>
      </x:c>
    </x:row>
    <x:row r="32" ht="32" customHeight="1">
      <x:c r="A32" s="13" t="str">
        <x:f>'Балки'!$A$15</x:f>
        <x:v>OF2</x:v>
      </x:c>
      <x:c r="B32" s="9" t="n">
        <x:v>0.65</x:v>
      </x:c>
      <x:c r="C32" s="9" t="n">
        <x:v>0.21</x:v>
      </x:c>
      <x:c r="D32" s="10" t="n">
        <x:f>'Балки'!$C$32*('Исходные данные'!$B$31-'Исходные данные'!$B$32)</x:f>
        <x:v>2.73</x:v>
      </x:c>
      <x:c r="E32" s="10" t="n">
        <x:f>1000*'Балки'!$E$15*'Балки'!$C$15*'Балки'!$D$15^2/'Балки'!$F$15/'Балки'!$B$32/'Исходные данные'!$B$35</x:f>
        <x:v>480.35851848379593</x:v>
      </x:c>
      <x:c r="F32" s="10" t="n">
        <x:f>IF('Балки'!$E$32&lt;200,MIN(0.07+6/'Балки'!$E$32,0.25),(0.01+1/'Балки'!$E$32)/0.15)</x:f>
        <x:v>0.080545189499382</x:v>
      </x:c>
    </x:row>
    <x:row r="33" ht="32" customHeight="1">
      <x:c r="A33" s="13" t="str">
        <x:f>'Балки'!$A$16</x:f>
        <x:v>OF3</x:v>
      </x:c>
      <x:c r="B33" s="9" t="n">
        <x:v>0.65</x:v>
      </x:c>
      <x:c r="C33" s="9" t="n">
        <x:v>0.21</x:v>
      </x:c>
      <x:c r="D33" s="10" t="n">
        <x:f>'Балки'!$C$33*('Исходные данные'!$B$31-'Исходные данные'!$B$32)</x:f>
        <x:v>2.73</x:v>
      </x:c>
      <x:c r="E33" s="10" t="n">
        <x:f>1000*'Балки'!$E$16*'Балки'!$C$16*'Балки'!$D$16^2/'Балки'!$F$16/'Балки'!$B$33/'Исходные данные'!$B$35</x:f>
        <x:v>357.79061637659464</x:v>
      </x:c>
      <x:c r="F33" s="10" t="n">
        <x:f>IF('Балки'!$E$33&lt;200,MIN(0.07+6/'Балки'!$E$33,0.25),(0.01+1/'Балки'!$E$33)/0.15)</x:f>
        <x:v>0.0852995384121057</x:v>
      </x:c>
    </x:row>
    <x:row r="34" ht="32" customHeight="1">
      <x:c r="A34" s="13" t="str">
        <x:f>'Балки'!$A$17</x:f>
        <x:v>OF4</x:v>
      </x:c>
      <x:c r="B34" s="9" t="n">
        <x:v>0.65</x:v>
      </x:c>
      <x:c r="C34" s="9" t="n">
        <x:v>0.21</x:v>
      </x:c>
      <x:c r="D34" s="10" t="n">
        <x:f>'Балки'!$C$34*('Исходные данные'!$B$31-'Исходные данные'!$B$32)</x:f>
        <x:v>2.73</x:v>
      </x:c>
      <x:c r="E34" s="10" t="n">
        <x:f>1000*'Балки'!$E$17*'Балки'!$C$17*'Балки'!$D$17^2/'Балки'!$F$17/'Балки'!$B$34/'Исходные данные'!$B$35</x:f>
        <x:v>235.2227142693933</x:v>
      </x:c>
      <x:c r="F34" s="10" t="n">
        <x:f>IF('Балки'!$E$34&lt;200,MIN(0.07+6/'Балки'!$E$34,0.25),(0.01+1/'Балки'!$E$34)/0.15)</x:f>
        <x:v>0.09500860076675337</x:v>
      </x:c>
    </x:row>
    <x:row r="35" ht="32" customHeight="1">
      <x:c r="A35" s="13" t="str">
        <x:f>'Балки'!$A$18</x:f>
        <x:v>IF1</x:v>
      </x:c>
      <x:c r="B35" s="9" t="n">
        <x:v>0.75</x:v>
      </x:c>
      <x:c r="C35" s="9" t="n">
        <x:v>0.21</x:v>
      </x:c>
      <x:c r="D35" s="10" t="n">
        <x:f>'Балки'!$C$35*('Исходные данные'!$B$31-'Исходные данные'!$B$32)</x:f>
        <x:v>2.73</x:v>
      </x:c>
      <x:c r="E35" s="10" t="n">
        <x:f>1000*'Балки'!$E$18*'Балки'!$C$18*'Балки'!$D$18^2/'Балки'!$F$18/'Балки'!$B$35/'Исходные данные'!$B$35</x:f>
        <x:v>487.76339726993075</x:v>
      </x:c>
      <x:c r="F35" s="10" t="n">
        <x:f>IF('Балки'!$E$35&lt;200,MIN(0.07+6/'Балки'!$E$35,0.25),(0.01+1/'Балки'!$E$35)/0.15)</x:f>
        <x:v>0.08033449558532023</x:v>
      </x:c>
    </x:row>
    <x:row r="36" ht="32" customHeight="1">
      <x:c r="A36" s="13" t="str">
        <x:f>'Балки'!$A$19</x:f>
        <x:v>IF2</x:v>
      </x:c>
      <x:c r="B36" s="9" t="n">
        <x:v>0.75</x:v>
      </x:c>
      <x:c r="C36" s="9" t="n">
        <x:v>0.21</x:v>
      </x:c>
      <x:c r="D36" s="10" t="n">
        <x:f>'Балки'!$C$36*('Исходные данные'!$B$31-'Исходные данные'!$B$32)</x:f>
        <x:v>2.73</x:v>
      </x:c>
      <x:c r="E36" s="10" t="n">
        <x:f>1000*'Балки'!$E$19*'Балки'!$C$19*'Балки'!$D$19^2/'Балки'!$F$19/'Балки'!$B$36/'Исходные данные'!$B$35</x:f>
        <x:v>416.3107160192899</x:v>
      </x:c>
      <x:c r="F36" s="10" t="n">
        <x:f>IF('Балки'!$E$36&lt;200,MIN(0.07+6/'Балки'!$E$36,0.25),(0.01+1/'Балки'!$E$36)/0.15)</x:f>
        <x:v>0.08268034685826127</x:v>
      </x:c>
    </x:row>
    <x:row r="37" ht="32" customHeight="1">
      <x:c r="A37" s="13" t="str">
        <x:f>'Балки'!$A$20</x:f>
        <x:v>IF3</x:v>
      </x:c>
      <x:c r="B37" s="9" t="n">
        <x:v>0.75</x:v>
      </x:c>
      <x:c r="C37" s="9" t="n">
        <x:v>0.21</x:v>
      </x:c>
      <x:c r="D37" s="10" t="n">
        <x:f>'Балки'!$C$37*('Исходные данные'!$B$31-'Исходные данные'!$B$32)</x:f>
        <x:v>2.73</x:v>
      </x:c>
      <x:c r="E37" s="10" t="n">
        <x:f>1000*'Балки'!$E$20*'Балки'!$C$20*'Балки'!$D$20^2/'Балки'!$F$20/'Балки'!$B$37/'Исходные данные'!$B$35</x:f>
        <x:v>310.08520085971537</x:v>
      </x:c>
      <x:c r="F37" s="10" t="n">
        <x:f>IF('Балки'!$E$37&lt;200,MIN(0.07+6/'Балки'!$E$37,0.25),(0.01+1/'Балки'!$E$37)/0.15)</x:f>
        <x:v>0.08816613406525017</x:v>
      </x:c>
    </x:row>
    <x:row r="38" ht="32" customHeight="1">
      <x:c r="A38" s="13" t="str">
        <x:f>'Балки'!$A$21</x:f>
        <x:v>IF4</x:v>
      </x:c>
      <x:c r="B38" s="9" t="n">
        <x:v>0.75</x:v>
      </x:c>
      <x:c r="C38" s="9" t="n">
        <x:v>0.21</x:v>
      </x:c>
      <x:c r="D38" s="10" t="n">
        <x:f>'Балки'!$C$38*('Исходные данные'!$B$31-'Исходные данные'!$B$32)</x:f>
        <x:v>2.73</x:v>
      </x:c>
      <x:c r="E38" s="10" t="n">
        <x:f>1000*'Балки'!$E$21*'Балки'!$C$21*'Балки'!$D$21^2/'Балки'!$F$21/'Балки'!$B$38/'Исходные данные'!$B$35</x:f>
        <x:v>213.07493302036647</x:v>
      </x:c>
      <x:c r="F38" s="10" t="n">
        <x:f>IF('Балки'!$E$38&lt;200,MIN(0.07+6/'Балки'!$E$38,0.25),(0.01+1/'Балки'!$E$38)/0.15)</x:f>
        <x:v>0.09795456417842816</x:v>
      </x:c>
    </x:row>
    <x:row r="39" ht="32" customHeight="1">
      <x:c r="A39" s="13" t="str">
        <x:f>'Балки'!$A$22</x:f>
        <x:v>D-L</x:v>
      </x:c>
      <x:c r="B39" s="9" t="n">
        <x:v>0.45</x:v>
      </x:c>
      <x:c r="C39" s="9" t="n">
        <x:v>0.2</x:v>
      </x:c>
      <x:c r="D39" s="10" t="n">
        <x:f>'Балки'!$C$39*('Исходные данные'!$B$31-'Исходные данные'!$B$32)</x:f>
        <x:v>2.6</x:v>
      </x:c>
      <x:c r="E39" s="10" t="n">
        <x:f>1000*'Балки'!$E$22*'Балки'!$C$22*'Балки'!$D$22^2/'Балки'!$F$22/'Балки'!$B$39/'Исходные данные'!$B$35</x:f>
        <x:v>123.53091144097661</x:v>
      </x:c>
      <x:c r="F39" s="10" t="n">
        <x:f>IF('Балки'!$E$39&lt;200,MIN(0.07+6/'Балки'!$E$39,0.25),(0.01+1/'Балки'!$E$39)/0.15)</x:f>
        <x:v>0.11857083890995831</x:v>
      </x:c>
    </x:row>
    <x:row r="40" ht="32" customHeight="1">
      <x:c r="A40" s="13" t="str">
        <x:f>'Балки'!$A$23</x:f>
        <x:v>D-W</x:v>
      </x:c>
      <x:c r="B40" s="9" t="n">
        <x:v>0.45</x:v>
      </x:c>
      <x:c r="C40" s="9" t="n">
        <x:v>0.2</x:v>
      </x:c>
      <x:c r="D40" s="10" t="n">
        <x:f>'Балки'!$C$40*('Исходные данные'!$B$31-'Исходные данные'!$B$32)</x:f>
        <x:v>2.6</x:v>
      </x:c>
      <x:c r="E40" s="10" t="n">
        <x:f>1000*'Балки'!$E$23*'Балки'!$C$23*'Балки'!$D$23^2/'Балки'!$F$23/'Балки'!$B$40/'Исходные данные'!$B$35</x:f>
        <x:v>123.53091144097661</x:v>
      </x:c>
      <x:c r="F40" s="10" t="n">
        <x:f>IF('Балки'!$E$40&lt;200,MIN(0.07+6/'Балки'!$E$40,0.25),(0.01+1/'Балки'!$E$40)/0.15)</x:f>
        <x:v>0.11857083890995831</x:v>
      </x:c>
    </x:row>
    <x:row r="41" ht="32" customHeight="1">
      <x:c r="A41" s="3"/>
      <x:c r="B41" s="3"/>
      <x:c r="C41" s="3"/>
      <x:c r="D41" s="3"/>
      <x:c r="E41" s="3"/>
      <x:c r="F41" s="3"/>
    </x:row>
    <x:row r="42" ht="32" customHeight="1">
      <x:c r="A42" s="3"/>
      <x:c r="B42" s="3"/>
      <x:c r="C42" s="3"/>
      <x:c r="D42" s="3"/>
      <x:c r="E42" s="3"/>
      <x:c r="F42" s="3"/>
    </x:row>
    <x:row r="43" ht="32" customHeight="1">
      <x:c r="A43" s="3"/>
      <x:c r="B43" s="3"/>
      <x:c r="C43" s="3"/>
      <x:c r="D43" s="3"/>
      <x:c r="E43" s="3"/>
      <x:c r="F43" s="3"/>
    </x:row>
    <x:row r="44" ht="36" customHeight="1">
      <x:c r="A44" s="11" t="str">
        <x:v>3. Требования и присоединённый поясок</x:v>
      </x:c>
      <x:c r="B44" s="11"/>
      <x:c r="C44" s="11"/>
      <x:c r="D44" s="11"/>
      <x:c r="E44" s="11"/>
      <x:c r="F44" s="11"/>
    </x:row>
    <x:row r="45" ht="54" customHeight="1">
      <x:c r="A45" s="6" t="str">
        <x:v>Марка</x:v>
      </x:c>
      <x:c r="B45" s="6" t="str">
        <x:v>ωк</x:v>
      </x:c>
      <x:c r="C45" s="6" t="str">
        <x:v>Wreq, см³</x:v>
      </x:c>
      <x:c r="D45" s="6" t="str">
        <x:v>smin, мм</x:v>
      </x:c>
      <x:c r="E45" s="6" t="str">
        <x:v>sп, мм</x:v>
      </x:c>
      <x:c r="F45" s="6" t="str">
        <x:v>bп, м</x:v>
      </x:c>
    </x:row>
    <x:row r="46" ht="32" customHeight="1">
      <x:c r="A46" s="13" t="str">
        <x:f>'Балки'!$A$12</x:f>
        <x:v>B-L</x:v>
      </x:c>
      <x:c r="B46" s="10" t="n">
        <x:f>1+'Балки'!$F$29*'Балки'!$D$29</x:f>
        <x:v>1.2185651027093467</x:v>
      </x:c>
      <x:c r="C46" s="10" t="n">
        <x:f>'Балки'!$E$29*'Балки'!$B$46</x:f>
        <x:v>466.9681377715394</x:v>
      </x:c>
      <x:c r="D46" s="10" t="n">
        <x:f>5.5+0.025*'Исходные данные'!$B$8</x:f>
        <x:v>8.8</x:v>
      </x:c>
      <x:c r="E46" s="10" t="n">
        <x:f>'Листы'!$D$75</x:f>
        <x:v>15</x:v>
      </x:c>
      <x:c r="F46" s="10" t="n">
        <x:f>MIN('Балки'!$D$12/6,'Балки'!$C$12)</x:f>
        <x:v>0.375</x:v>
      </x:c>
    </x:row>
    <x:row r="47" ht="32" customHeight="1">
      <x:c r="A47" s="13" t="str">
        <x:f>'Балки'!$A$13</x:f>
        <x:v>IB-L</x:v>
      </x:c>
      <x:c r="B47" s="10" t="n">
        <x:f>1+'Балки'!$F$30*'Балки'!$D$30</x:f>
        <x:v>1.2275485892684461</x:v>
      </x:c>
      <x:c r="C47" s="10" t="n">
        <x:f>'Балки'!$E$30*'Балки'!$B$47</x:f>
        <x:v>392.46349599675284</x:v>
      </x:c>
      <x:c r="D47" s="10" t="n">
        <x:f>5.5+0.025*'Исходные данные'!$B$8</x:f>
        <x:v>8.8</x:v>
      </x:c>
      <x:c r="E47" s="10" t="n">
        <x:f>'Листы'!$D$90</x:f>
        <x:v>15</x:v>
      </x:c>
      <x:c r="F47" s="10" t="n">
        <x:f>MIN('Балки'!$D$13/6,'Балки'!$C$13)</x:f>
        <x:v>0.375</x:v>
      </x:c>
    </x:row>
    <x:row r="48" ht="32" customHeight="1">
      <x:c r="A48" s="13" t="str">
        <x:f>'Балки'!$A$14</x:f>
        <x:v>OF1</x:v>
      </x:c>
      <x:c r="B48" s="10" t="n">
        <x:f>1+'Балки'!$F$31*'Балки'!$D$31</x:f>
        <x:v>1.2143380832215342</x:v>
      </x:c>
      <x:c r="C48" s="10" t="n">
        <x:f>'Балки'!$E$31*'Балки'!$B$48</x:f>
        <x:v>683.4342333535285</x:v>
      </x:c>
      <x:c r="D48" s="10" t="n">
        <x:f>5.5+0.025*'Исходные данные'!$B$8</x:f>
        <x:v>8.8</x:v>
      </x:c>
      <x:c r="E48" s="10" t="n">
        <x:f>'Листы'!$D$83</x:f>
        <x:v>15</x:v>
      </x:c>
      <x:c r="F48" s="10" t="n">
        <x:f>MIN('Балки'!$D$14/6,'Балки'!$C$14)</x:f>
        <x:v>0.5</x:v>
      </x:c>
    </x:row>
    <x:row r="49" ht="32" customHeight="1">
      <x:c r="A49" s="13" t="str">
        <x:f>'Балки'!$A$15</x:f>
        <x:v>OF2</x:v>
      </x:c>
      <x:c r="B49" s="10" t="n">
        <x:f>1+'Балки'!$F$32*'Балки'!$D$32</x:f>
        <x:v>1.2198883673333127</x:v>
      </x:c>
      <x:c r="C49" s="10" t="n">
        <x:f>'Балки'!$E$32*'Балки'!$B$49</x:f>
        <x:v>585.9837688478467</x:v>
      </x:c>
      <x:c r="D49" s="10" t="n">
        <x:f>5.5+0.025*'Исходные данные'!$B$8</x:f>
        <x:v>8.8</x:v>
      </x:c>
      <x:c r="E49" s="10" t="n">
        <x:f>'Листы'!$D$85</x:f>
        <x:v>14</x:v>
      </x:c>
      <x:c r="F49" s="10" t="n">
        <x:f>MIN('Балки'!$D$15/6,'Балки'!$C$15)</x:f>
        <x:v>0.5166666666666667</x:v>
      </x:c>
    </x:row>
    <x:row r="50" ht="32" customHeight="1">
      <x:c r="A50" s="13" t="str">
        <x:f>'Балки'!$A$16</x:f>
        <x:v>OF3</x:v>
      </x:c>
      <x:c r="B50" s="10" t="n">
        <x:f>1+'Балки'!$F$33*'Балки'!$D$33</x:f>
        <x:v>1.2328677398650485</x:v>
      </x:c>
      <x:c r="C50" s="10" t="n">
        <x:f>'Балки'!$E$33*'Балки'!$B$50</x:f>
        <x:v>441.1085085571348</x:v>
      </x:c>
      <x:c r="D50" s="10" t="n">
        <x:f>5.5+0.025*'Исходные данные'!$B$8</x:f>
        <x:v>8.8</x:v>
      </x:c>
      <x:c r="E50" s="10" t="n">
        <x:f>'Листы'!$D$87</x:f>
        <x:v>12</x:v>
      </x:c>
      <x:c r="F50" s="10" t="n">
        <x:f>MIN('Балки'!$D$16/6,'Балки'!$C$16)</x:f>
        <x:v>0.5166666666666666</x:v>
      </x:c>
    </x:row>
    <x:row r="51" ht="32" customHeight="1">
      <x:c r="A51" s="13" t="str">
        <x:f>'Балки'!$A$17</x:f>
        <x:v>OF4</x:v>
      </x:c>
      <x:c r="B51" s="10" t="n">
        <x:f>1+'Балки'!$F$34*'Балки'!$D$34</x:f>
        <x:v>1.2593734800932368</x:v>
      </x:c>
      <x:c r="C51" s="10" t="n">
        <x:f>'Балки'!$E$34*'Балки'!$B$51</x:f>
        <x:v>296.2332482664229</x:v>
      </x:c>
      <x:c r="D51" s="10" t="n">
        <x:f>5.5+0.025*'Исходные данные'!$B$8</x:f>
        <x:v>8.8</x:v>
      </x:c>
      <x:c r="E51" s="10" t="n">
        <x:f>'Листы'!$D$87</x:f>
        <x:v>12</x:v>
      </x:c>
      <x:c r="F51" s="10" t="n">
        <x:f>MIN('Балки'!$D$17/6,'Балки'!$C$17)</x:f>
        <x:v>0.5166666666666666</x:v>
      </x:c>
    </x:row>
    <x:row r="52" ht="32" customHeight="1">
      <x:c r="A52" s="13" t="str">
        <x:f>'Балки'!$A$18</x:f>
        <x:v>IF1</x:v>
      </x:c>
      <x:c r="B52" s="10" t="n">
        <x:f>1+'Балки'!$F$35*'Балки'!$D$35</x:f>
        <x:v>1.2193131729479243</x:v>
      </x:c>
      <x:c r="C52" s="10" t="n">
        <x:f>'Балки'!$E$35*'Балки'!$B$52</x:f>
        <x:v>594.7363355730582</x:v>
      </x:c>
      <x:c r="D52" s="10" t="n">
        <x:f>5.5+0.025*'Исходные данные'!$B$8</x:f>
        <x:v>8.8</x:v>
      </x:c>
      <x:c r="E52" s="10" t="n">
        <x:f>'Листы'!$D$94</x:f>
        <x:v>14</x:v>
      </x:c>
      <x:c r="F52" s="10" t="n">
        <x:f>MIN('Балки'!$D$18/6,'Балки'!$C$18)</x:f>
        <x:v>0.5</x:v>
      </x:c>
    </x:row>
    <x:row r="53" ht="32" customHeight="1">
      <x:c r="A53" s="13" t="str">
        <x:f>'Балки'!$A$19</x:f>
        <x:v>IF2</x:v>
      </x:c>
      <x:c r="B53" s="10" t="n">
        <x:f>1+'Балки'!$F$36*'Балки'!$D$36</x:f>
        <x:v>1.2257173469230533</x:v>
      </x:c>
      <x:c r="C53" s="10" t="n">
        <x:f>'Балки'!$E$36*'Балки'!$B$53</x:f>
        <x:v>510.2792663348007</x:v>
      </x:c>
      <x:c r="D53" s="10" t="n">
        <x:f>5.5+0.025*'Исходные данные'!$B$8</x:f>
        <x:v>8.8</x:v>
      </x:c>
      <x:c r="E53" s="10" t="n">
        <x:f>'Листы'!$D$96</x:f>
        <x:v>13</x:v>
      </x:c>
      <x:c r="F53" s="10" t="n">
        <x:f>MIN('Балки'!$D$19/6,'Балки'!$C$19)</x:f>
        <x:v>0.5166666666666667</x:v>
      </x:c>
    </x:row>
    <x:row r="54" ht="32" customHeight="1">
      <x:c r="A54" s="13" t="str">
        <x:f>'Балки'!$A$20</x:f>
        <x:v>IF3</x:v>
      </x:c>
      <x:c r="B54" s="10" t="n">
        <x:f>1+'Балки'!$F$37*'Балки'!$D$37</x:f>
        <x:v>1.240693545998133</x:v>
      </x:c>
      <x:c r="C54" s="10" t="n">
        <x:f>'Балки'!$E$37*'Балки'!$B$54</x:f>
        <x:v>384.7207074161836</x:v>
      </x:c>
      <x:c r="D54" s="10" t="n">
        <x:f>5.5+0.025*'Исходные данные'!$B$8</x:f>
        <x:v>8.8</x:v>
      </x:c>
      <x:c r="E54" s="10" t="n">
        <x:f>'Листы'!$D$97</x:f>
        <x:v>12</x:v>
      </x:c>
      <x:c r="F54" s="10" t="n">
        <x:f>MIN('Балки'!$D$20/6,'Балки'!$C$20)</x:f>
        <x:v>0.5166666666666666</x:v>
      </x:c>
    </x:row>
    <x:row r="55" ht="32" customHeight="1">
      <x:c r="A55" s="13" t="str">
        <x:f>'Балки'!$A$21</x:f>
        <x:v>IF4</x:v>
      </x:c>
      <x:c r="B55" s="10" t="n">
        <x:f>1+'Балки'!$F$38*'Балки'!$D$38</x:f>
        <x:v>1.267415960207109</x:v>
      </x:c>
      <x:c r="C55" s="10" t="n">
        <x:f>'Балки'!$E$38*'Балки'!$B$55</x:f>
        <x:v>270.0545708300732</x:v>
      </x:c>
      <x:c r="D55" s="10" t="n">
        <x:f>5.5+0.025*'Исходные данные'!$B$8</x:f>
        <x:v>8.8</x:v>
      </x:c>
      <x:c r="E55" s="10" t="n">
        <x:f>'Листы'!$D$98</x:f>
        <x:v>12</x:v>
      </x:c>
      <x:c r="F55" s="10" t="n">
        <x:f>MIN('Балки'!$D$21/6,'Балки'!$C$21)</x:f>
        <x:v>0.5299999999999999</x:v>
      </x:c>
    </x:row>
    <x:row r="56" ht="32" customHeight="1">
      <x:c r="A56" s="13" t="str">
        <x:f>'Балки'!$A$22</x:f>
        <x:v>D-L</x:v>
      </x:c>
      <x:c r="B56" s="10" t="n">
        <x:f>1+'Балки'!$F$39*'Балки'!$D$39</x:f>
        <x:v>1.3082841811658916</x:v>
      </x:c>
      <x:c r="C56" s="10" t="n">
        <x:f>'Балки'!$E$39*'Балки'!$B$56</x:f>
        <x:v>161.61353732323437</x:v>
      </x:c>
      <x:c r="D56" s="10" t="n">
        <x:f>6.7+0.02*'Исходные данные'!$B$8</x:f>
        <x:v>9.34</x:v>
      </x:c>
      <x:c r="E56" s="10" t="n">
        <x:f>'Листы'!$D$92</x:f>
        <x:v>11</x:v>
      </x:c>
      <x:c r="F56" s="10" t="n">
        <x:f>MIN('Балки'!$D$22/6,'Балки'!$C$22)</x:f>
        <x:v>0.375</x:v>
      </x:c>
    </x:row>
    <x:row r="57" ht="32" customHeight="1">
      <x:c r="A57" s="13" t="str">
        <x:f>'Балки'!$A$23</x:f>
        <x:v>D-W</x:v>
      </x:c>
      <x:c r="B57" s="10" t="n">
        <x:f>1+'Балки'!$F$40*'Балки'!$D$40</x:f>
        <x:v>1.3082841811658916</x:v>
      </x:c>
      <x:c r="C57" s="10" t="n">
        <x:f>'Балки'!$E$40*'Балки'!$B$57</x:f>
        <x:v>161.61353732323437</x:v>
      </x:c>
      <x:c r="D57" s="10" t="n">
        <x:f>6.7+0.02*'Исходные данные'!$B$8</x:f>
        <x:v>9.34</x:v>
      </x:c>
      <x:c r="E57" s="10" t="n">
        <x:f>'Листы'!$D$92</x:f>
        <x:v>11</x:v>
      </x:c>
      <x:c r="F57" s="10" t="n">
        <x:f>MIN('Балки'!$D$23/6,'Балки'!$C$23)</x:f>
        <x:v>0.375</x:v>
      </x:c>
    </x:row>
    <x:row r="58" ht="32" customHeight="1">
      <x:c r="A58" s="3"/>
      <x:c r="B58" s="3"/>
      <x:c r="C58" s="3"/>
      <x:c r="D58" s="3"/>
      <x:c r="E58" s="3"/>
      <x:c r="F58" s="3"/>
    </x:row>
    <x:row r="59" ht="32" customHeight="1">
      <x:c r="A59" s="3"/>
      <x:c r="B59" s="3"/>
      <x:c r="C59" s="3"/>
      <x:c r="D59" s="3"/>
      <x:c r="E59" s="3"/>
      <x:c r="F59" s="3"/>
    </x:row>
    <x:row r="60" ht="32" customHeight="1">
      <x:c r="A60" s="3"/>
      <x:c r="B60" s="3"/>
      <x:c r="C60" s="3"/>
      <x:c r="D60" s="3"/>
      <x:c r="E60" s="3"/>
      <x:c r="F60" s="3"/>
    </x:row>
    <x:row r="61" ht="36" customHeight="1">
      <x:c r="A61" s="11" t="str">
        <x:v>4. Выбранный профиль</x:v>
      </x:c>
      <x:c r="B61" s="11"/>
      <x:c r="C61" s="11"/>
      <x:c r="D61" s="11"/>
      <x:c r="E61" s="11"/>
      <x:c r="F61" s="11"/>
    </x:row>
    <x:row r="62" ht="54" customHeight="1">
      <x:c r="A62" s="6" t="str">
        <x:v>Марка</x:v>
      </x:c>
      <x:c r="B62" s="6" t="str">
        <x:v>Профиль</x:v>
      </x:c>
      <x:c r="C62" s="6" t="str">
        <x:v>Wфакт, см3</x:v>
      </x:c>
      <x:c r="D62" s="6" t="str">
        <x:v>Wфакт/Wreq</x:v>
      </x:c>
      <x:c r="E62" s="6"/>
      <x:c r="F62" s="6"/>
    </x:row>
    <x:row r="63" ht="32" customHeight="1">
      <x:c r="A63" s="13" t="str">
        <x:f>'Балки'!$A$12</x:f>
        <x:v>B-L</x:v>
      </x:c>
      <x:c r="B63" s="3" t="str">
        <x:v>HP 260x12</x:v>
      </x:c>
      <x:c r="C63" s="10" t="n">
        <x:f>'Сечения'!$E$45</x:f>
        <x:v>471.22369273760063</x:v>
      </x:c>
      <x:c r="D63" s="10" t="n">
        <x:f>'Балки'!$C$63/'Балки'!$C$46</x:f>
        <x:v>1.0091131591683526</x:v>
      </x:c>
      <x:c r="E63" s="3"/>
      <x:c r="F63" s="3"/>
    </x:row>
    <x:row r="64" ht="32" customHeight="1">
      <x:c r="A64" s="13" t="str">
        <x:f>'Балки'!$A$13</x:f>
        <x:v>IB-L</x:v>
      </x:c>
      <x:c r="B64" s="3" t="str">
        <x:v>HP 260x10</x:v>
      </x:c>
      <x:c r="C64" s="10" t="n">
        <x:f>'Сечения'!$E$46</x:f>
        <x:v>437.52639901894963</x:v>
      </x:c>
      <x:c r="D64" s="10" t="n">
        <x:f>'Балки'!$C$64/'Балки'!$C$47</x:f>
        <x:v>1.1148206227632687</x:v>
      </x:c>
      <x:c r="E64" s="3"/>
      <x:c r="F64" s="3"/>
    </x:row>
    <x:row r="65" ht="32" customHeight="1">
      <x:c r="A65" s="13" t="str">
        <x:f>'Балки'!$A$14</x:f>
        <x:v>OF1</x:v>
      </x:c>
      <x:c r="B65" s="3" t="str">
        <x:v>HP 300x12</x:v>
      </x:c>
      <x:c r="C65" s="10" t="n">
        <x:f>'Сечения'!$E$47</x:f>
        <x:v>686.2392733606243</x:v>
      </x:c>
      <x:c r="D65" s="10" t="n">
        <x:f>'Балки'!$C$65/'Балки'!$C$48</x:f>
        <x:v>1.0041043305561852</x:v>
      </x:c>
      <x:c r="E65" s="3"/>
      <x:c r="F65" s="3"/>
    </x:row>
    <x:row r="66" ht="32" customHeight="1">
      <x:c r="A66" s="13" t="str">
        <x:f>'Балки'!$A$15</x:f>
        <x:v>OF2</x:v>
      </x:c>
      <x:c r="B66" s="3" t="str">
        <x:v>HP 300x11</x:v>
      </x:c>
      <x:c r="C66" s="10" t="n">
        <x:f>'Сечения'!$E$48</x:f>
        <x:v>656.3831566605262</x:v>
      </x:c>
      <x:c r="D66" s="10" t="n">
        <x:f>'Балки'!$C$66/'Балки'!$C$49</x:f>
        <x:v>1.120138801713054</x:v>
      </x:c>
      <x:c r="E66" s="3"/>
      <x:c r="F66" s="3"/>
    </x:row>
    <x:row r="67" ht="32" customHeight="1">
      <x:c r="A67" s="13" t="str">
        <x:f>'Балки'!$A$16</x:f>
        <x:v>OF3</x:v>
      </x:c>
      <x:c r="B67" s="3" t="str">
        <x:v>HP 260x11</x:v>
      </x:c>
      <x:c r="C67" s="10" t="n">
        <x:f>'Сечения'!$E$49</x:f>
        <x:v>454.157190845693</x:v>
      </x:c>
      <x:c r="D67" s="10" t="n">
        <x:f>'Балки'!$C$67/'Балки'!$C$50</x:f>
        <x:v>1.0295815701475366</x:v>
      </x:c>
      <x:c r="E67" s="3"/>
      <x:c r="F67" s="3"/>
    </x:row>
    <x:row r="68" ht="32" customHeight="1">
      <x:c r="A68" s="13" t="str">
        <x:f>'Балки'!$A$17</x:f>
        <x:v>OF4</x:v>
      </x:c>
      <x:c r="B68" s="3" t="str">
        <x:v>HP 220x11.5</x:v>
      </x:c>
      <x:c r="C68" s="10" t="n">
        <x:f>'Сечения'!$E$50</x:f>
        <x:v>309.5540194354136</x:v>
      </x:c>
      <x:c r="D68" s="10" t="n">
        <x:f>'Балки'!$C$68/'Балки'!$C$51</x:f>
        <x:v>1.0449671711293205</x:v>
      </x:c>
      <x:c r="E68" s="3"/>
      <x:c r="F68" s="3"/>
    </x:row>
    <x:row r="69" ht="32" customHeight="1">
      <x:c r="A69" s="13" t="str">
        <x:f>'Балки'!$A$18</x:f>
        <x:v>IF1</x:v>
      </x:c>
      <x:c r="B69" s="3" t="str">
        <x:v>HP 300x11</x:v>
      </x:c>
      <x:c r="C69" s="10" t="n">
        <x:f>'Сечения'!$E$51</x:f>
        <x:v>654.6247089830057</x:v>
      </x:c>
      <x:c r="D69" s="10" t="n">
        <x:f>'Балки'!$C$69/'Балки'!$C$52</x:f>
        <x:v>1.1006973507886348</x:v>
      </x:c>
      <x:c r="E69" s="3"/>
      <x:c r="F69" s="3"/>
    </x:row>
    <x:row r="70" ht="32" customHeight="1">
      <x:c r="A70" s="13" t="str">
        <x:f>'Балки'!$A$19</x:f>
        <x:v>IF2</x:v>
      </x:c>
      <x:c r="B70" s="3" t="str">
        <x:v>HP 280x11</x:v>
      </x:c>
      <x:c r="C70" s="10" t="n">
        <x:f>'Сечения'!$E$52</x:f>
        <x:v>546.6510414813068</x:v>
      </x:c>
      <x:c r="D70" s="10" t="n">
        <x:f>'Балки'!$C$70/'Балки'!$C$53</x:f>
        <x:v>1.071278175591485</x:v>
      </x:c>
      <x:c r="E70" s="3"/>
      <x:c r="F70" s="3"/>
    </x:row>
    <x:row r="71" ht="32" customHeight="1">
      <x:c r="A71" s="13" t="str">
        <x:f>'Балки'!$A$20</x:f>
        <x:v>IF3</x:v>
      </x:c>
      <x:c r="B71" s="3" t="str">
        <x:v>HP 260x10</x:v>
      </x:c>
      <x:c r="C71" s="10" t="n">
        <x:f>'Сечения'!$E$53</x:f>
        <x:v>437.06533864541836</x:v>
      </x:c>
      <x:c r="D71" s="10" t="n">
        <x:f>'Балки'!$C$71/'Балки'!$C$54</x:f>
        <x:v>1.1360587829565654</x:v>
      </x:c>
      <x:c r="E71" s="3"/>
      <x:c r="F71" s="3"/>
    </x:row>
    <x:row r="72" ht="32" customHeight="1">
      <x:c r="A72" s="13" t="str">
        <x:f>'Балки'!$A$21</x:f>
        <x:v>IF4</x:v>
      </x:c>
      <x:c r="B72" s="3" t="str">
        <x:v>HP 220x10</x:v>
      </x:c>
      <x:c r="C72" s="10" t="n">
        <x:f>'Сечения'!$E$54</x:f>
        <x:v>291.59401645758726</x:v>
      </x:c>
      <x:c r="D72" s="10" t="n">
        <x:f>'Балки'!$C$72/'Балки'!$C$55</x:f>
        <x:v>1.0797596039989539</x:v>
      </x:c>
      <x:c r="E72" s="3"/>
      <x:c r="F72" s="3"/>
    </x:row>
    <x:row r="73" ht="32" customHeight="1">
      <x:c r="A73" s="13" t="str">
        <x:f>'Балки'!$A$22</x:f>
        <x:v>D-L</x:v>
      </x:c>
      <x:c r="B73" s="3" t="str">
        <x:v>HP 180x10</x:v>
      </x:c>
      <x:c r="C73" s="10" t="n">
        <x:f>'Сечения'!$E$55</x:f>
        <x:v>173.19190229422418</x:v>
      </x:c>
      <x:c r="D73" s="10" t="n">
        <x:f>'Балки'!$C$73/'Балки'!$C$56</x:f>
        <x:v>1.0716422965721772</x:v>
      </x:c>
      <x:c r="E73" s="3"/>
      <x:c r="F73" s="3"/>
    </x:row>
    <x:row r="74" ht="32" customHeight="1">
      <x:c r="A74" s="13" t="str">
        <x:f>'Балки'!$A$23</x:f>
        <x:v>D-W</x:v>
      </x:c>
      <x:c r="B74" s="3" t="str">
        <x:v>HP 180x10</x:v>
      </x:c>
      <x:c r="C74" s="10" t="n">
        <x:f>'Сечения'!$E$56</x:f>
        <x:v>173.19190229422418</x:v>
      </x:c>
      <x:c r="D74" s="10" t="n">
        <x:f>'Балки'!$C$74/'Балки'!$C$57</x:f>
        <x:v>1.0716422965721772</x:v>
      </x:c>
      <x:c r="E74" s="3"/>
      <x:c r="F74" s="3"/>
    </x:row>
    <x:row r="75" ht="32" customHeight="1">
      <x:c r="A75" s="3"/>
      <x:c r="B75" s="3"/>
      <x:c r="C75" s="3"/>
      <x:c r="D75" s="3"/>
      <x:c r="E75" s="3"/>
      <x:c r="F75" s="3"/>
    </x:row>
    <x:row r="76" ht="32" customHeight="1">
      <x:c r="A76" s="3"/>
      <x:c r="B76" s="3"/>
      <x:c r="C76" s="3"/>
      <x:c r="D76" s="3"/>
      <x:c r="E76" s="3"/>
      <x:c r="F76" s="3"/>
    </x:row>
    <x:row r="77" ht="32" customHeight="1">
      <x:c r="A77" s="3"/>
      <x:c r="B77" s="3"/>
      <x:c r="C77" s="3"/>
      <x:c r="D77" s="3"/>
      <x:c r="E77" s="3"/>
      <x:c r="F77" s="3"/>
    </x:row>
    <x:row r="78" ht="32" customHeight="1">
      <x:c r="A78" s="3"/>
      <x:c r="B78" s="3"/>
      <x:c r="C78" s="3"/>
      <x:c r="D78" s="3"/>
      <x:c r="E78" s="3"/>
      <x:c r="F78" s="3"/>
    </x:row>
    <x:row r="79" ht="32" customHeight="1">
      <x:c r="A79" s="3"/>
      <x:c r="B79" s="3"/>
      <x:c r="C79" s="3"/>
      <x:c r="D79" s="3"/>
      <x:c r="E79" s="3"/>
      <x:c r="F79" s="3"/>
    </x:row>
  </x:sheetData>
  <x:mergeCells>
    <x:mergeCell ref="A1:F1"/>
    <x:mergeCell ref="A2:F3"/>
    <x:mergeCell ref="A5:F5"/>
    <x:mergeCell ref="A6:F6"/>
    <x:mergeCell ref="A7:F7"/>
    <x:mergeCell ref="A10:F10"/>
    <x:mergeCell ref="A27:F27"/>
    <x:mergeCell ref="A44:F44"/>
    <x:mergeCell ref="A61:F6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42" customHeight="1">
      <x:c r="A1" s="4" t="str">
        <x:v>Сечения</x:v>
      </x:c>
      <x:c r="B1" s="3"/>
      <x:c r="C1" s="3"/>
      <x:c r="D1" s="3"/>
      <x:c r="E1" s="3"/>
      <x:c r="F1" s="3"/>
    </x:row>
    <x:row r="2" ht="24" customHeight="1">
      <x:c r="A2" s="7"/>
      <x:c r="B2" s="7"/>
      <x:c r="C2" s="7"/>
      <x:c r="D2" s="7"/>
      <x:c r="E2" s="7"/>
      <x:c r="F2" s="7"/>
    </x:row>
    <x:row r="3" ht="24" customHeight="1">
      <x:c r="A3" s="7"/>
      <x:c r="B3" s="7"/>
      <x:c r="C3" s="7"/>
      <x:c r="D3" s="7"/>
      <x:c r="E3" s="7"/>
      <x:c r="F3" s="7"/>
    </x:row>
    <x:row r="4" ht="32" customHeight="1">
      <x:c r="A4" s="3"/>
      <x:c r="B4" s="3"/>
      <x:c r="C4" s="3"/>
      <x:c r="D4" s="3"/>
      <x:c r="E4" s="3"/>
      <x:c r="F4" s="3"/>
    </x:row>
    <x:row r="5" ht="32" customHeight="1">
      <x:c r="A5" s="3"/>
      <x:c r="B5" s="3"/>
      <x:c r="C5" s="3"/>
      <x:c r="D5" s="3"/>
      <x:c r="E5" s="3"/>
      <x:c r="F5" s="3"/>
    </x:row>
    <x:row r="6" ht="32" customHeight="1">
      <x:c r="A6" s="3"/>
      <x:c r="B6" s="3"/>
      <x:c r="C6" s="3"/>
      <x:c r="D6" s="3"/>
      <x:c r="E6" s="3"/>
      <x:c r="F6" s="3"/>
    </x:row>
    <x:row r="7" ht="32" customHeight="1">
      <x:c r="A7" s="3"/>
      <x:c r="B7" s="3"/>
      <x:c r="C7" s="3"/>
      <x:c r="D7" s="3"/>
      <x:c r="E7" s="3"/>
      <x:c r="F7" s="3"/>
    </x:row>
    <x:row r="8" ht="32" customHeight="1">
      <x:c r="A8" s="3"/>
      <x:c r="B8" s="3"/>
      <x:c r="C8" s="3"/>
      <x:c r="D8" s="3"/>
      <x:c r="E8" s="3"/>
      <x:c r="F8" s="3"/>
    </x:row>
    <x:row r="9" ht="36" customHeight="1">
      <x:c r="A9" s="11" t="str">
        <x:v>1. Профиль и геометрия</x:v>
      </x:c>
      <x:c r="B9" s="11"/>
      <x:c r="C9" s="11"/>
      <x:c r="D9" s="11"/>
      <x:c r="E9" s="11"/>
      <x:c r="F9" s="11"/>
    </x:row>
    <x:row r="10" ht="54" customHeight="1">
      <x:c r="A10" s="6" t="str">
        <x:v>Марка</x:v>
      </x:c>
      <x:c r="B10" s="6" t="str">
        <x:v>Профиль</x:v>
      </x:c>
      <x:c r="C10" s="6" t="str">
        <x:v>h, см</x:v>
      </x:c>
      <x:c r="D10" s="6" t="str">
        <x:v>s, см</x:v>
      </x:c>
      <x:c r="E10" s="6" t="str">
        <x:v>Aпроф</x:v>
      </x:c>
      <x:c r="F10" s="6" t="str">
        <x:v>y0, см</x:v>
      </x:c>
    </x:row>
    <x:row r="11" ht="32" customHeight="1">
      <x:c r="A11" s="3" t="str">
        <x:v>B-L</x:v>
      </x:c>
      <x:c r="B11" s="10" t="str">
        <x:f>'Балки'!$B$63</x:f>
        <x:v>HP 260x12</x:v>
      </x:c>
      <x:c r="C11" s="10" t="n">
        <x:f>'HP DIN1019'!B21/10</x:f>
        <x:v>26</x:v>
      </x:c>
      <x:c r="D11" s="10" t="n">
        <x:f>'HP DIN1019'!C21/10</x:f>
        <x:v>1.2</x:v>
      </x:c>
      <x:c r="E11" s="10" t="n">
        <x:f>'HP DIN1019'!F21/1</x:f>
        <x:v>41.3</x:v>
      </x:c>
      <x:c r="F11" s="10" t="n">
        <x:f>'HP DIN1019'!C52/1</x:f>
        <x:v>15.8</x:v>
      </x:c>
    </x:row>
    <x:row r="12" ht="32" customHeight="1">
      <x:c r="A12" s="3" t="str">
        <x:v>IB-L</x:v>
      </x:c>
      <x:c r="B12" s="10" t="str">
        <x:f>'Балки'!$B$64</x:f>
        <x:v>HP 260x10</x:v>
      </x:c>
      <x:c r="C12" s="10" t="n">
        <x:f>'HP DIN1019'!B19/10</x:f>
        <x:v>26</x:v>
      </x:c>
      <x:c r="D12" s="10" t="n">
        <x:f>'HP DIN1019'!C19/10</x:f>
        <x:v>1</x:v>
      </x:c>
      <x:c r="E12" s="10" t="n">
        <x:f>'HP DIN1019'!F19/1</x:f>
        <x:v>36.1</x:v>
      </x:c>
      <x:c r="F12" s="10" t="n">
        <x:f>'HP DIN1019'!C50/1</x:f>
        <x:v>16.2</x:v>
      </x:c>
    </x:row>
    <x:row r="13" ht="32" customHeight="1">
      <x:c r="A13" s="3" t="str">
        <x:v>OF1</x:v>
      </x:c>
      <x:c r="B13" s="10" t="str">
        <x:f>'Балки'!$B$65</x:f>
        <x:v>HP 300x12</x:v>
      </x:c>
      <x:c r="C13" s="10" t="n">
        <x:f>'HP DIN1019'!B25/10</x:f>
        <x:v>30</x:v>
      </x:c>
      <x:c r="D13" s="10" t="n">
        <x:f>'HP DIN1019'!C25/10</x:f>
        <x:v>1.2</x:v>
      </x:c>
      <x:c r="E13" s="10" t="n">
        <x:f>'HP DIN1019'!F25/1</x:f>
        <x:v>49.7</x:v>
      </x:c>
      <x:c r="F13" s="10" t="n">
        <x:f>'HP DIN1019'!C56/1</x:f>
        <x:v>18.7</x:v>
      </x:c>
    </x:row>
    <x:row r="14" ht="32" customHeight="1">
      <x:c r="A14" s="3" t="str">
        <x:v>OF2</x:v>
      </x:c>
      <x:c r="B14" s="10" t="str">
        <x:f>'Балки'!$B$66</x:f>
        <x:v>HP 300x11</x:v>
      </x:c>
      <x:c r="C14" s="10" t="n">
        <x:f>'HP DIN1019'!B24/10</x:f>
        <x:v>30</x:v>
      </x:c>
      <x:c r="D14" s="10" t="n">
        <x:f>'HP DIN1019'!C24/10</x:f>
        <x:v>1.1</x:v>
      </x:c>
      <x:c r="E14" s="10" t="n">
        <x:f>'HP DIN1019'!F24/1</x:f>
        <x:v>46.7</x:v>
      </x:c>
      <x:c r="F14" s="10" t="n">
        <x:f>'HP DIN1019'!C55/1</x:f>
        <x:v>18.9</x:v>
      </x:c>
    </x:row>
    <x:row r="15" ht="32" customHeight="1">
      <x:c r="A15" s="3" t="str">
        <x:v>OF3</x:v>
      </x:c>
      <x:c r="B15" s="10" t="str">
        <x:f>'Балки'!$B$67</x:f>
        <x:v>HP 260x11</x:v>
      </x:c>
      <x:c r="C15" s="10" t="n">
        <x:f>'HP DIN1019'!B20/10</x:f>
        <x:v>26</x:v>
      </x:c>
      <x:c r="D15" s="10" t="n">
        <x:f>'HP DIN1019'!C20/10</x:f>
        <x:v>1.1</x:v>
      </x:c>
      <x:c r="E15" s="10" t="n">
        <x:f>'HP DIN1019'!F20/1</x:f>
        <x:v>38.7</x:v>
      </x:c>
      <x:c r="F15" s="10" t="n">
        <x:f>'HP DIN1019'!C51/1</x:f>
        <x:v>16</x:v>
      </x:c>
    </x:row>
    <x:row r="16" ht="32" customHeight="1">
      <x:c r="A16" s="3" t="str">
        <x:v>OF4</x:v>
      </x:c>
      <x:c r="B16" s="10" t="str">
        <x:f>'Балки'!$B$68</x:f>
        <x:v>HP 220x11.5</x:v>
      </x:c>
      <x:c r="C16" s="10" t="n">
        <x:f>'HP DIN1019'!B15/10</x:f>
        <x:v>22</x:v>
      </x:c>
      <x:c r="D16" s="10" t="n">
        <x:f>'HP DIN1019'!C15/10</x:f>
        <x:v>1.15</x:v>
      </x:c>
      <x:c r="E16" s="10" t="n">
        <x:f>'HP DIN1019'!F15/1</x:f>
        <x:v>32.3</x:v>
      </x:c>
      <x:c r="F16" s="10" t="n">
        <x:f>'HP DIN1019'!C46/1</x:f>
        <x:v>13.1</x:v>
      </x:c>
    </x:row>
    <x:row r="17" ht="32" customHeight="1">
      <x:c r="A17" s="3" t="str">
        <x:v>IF1</x:v>
      </x:c>
      <x:c r="B17" s="10" t="str">
        <x:f>'Балки'!$B$69</x:f>
        <x:v>HP 300x11</x:v>
      </x:c>
      <x:c r="C17" s="10" t="n">
        <x:f>'HP DIN1019'!B24/10</x:f>
        <x:v>30</x:v>
      </x:c>
      <x:c r="D17" s="10" t="n">
        <x:f>'HP DIN1019'!C24/10</x:f>
        <x:v>1.1</x:v>
      </x:c>
      <x:c r="E17" s="10" t="n">
        <x:f>'HP DIN1019'!F24/1</x:f>
        <x:v>46.7</x:v>
      </x:c>
      <x:c r="F17" s="10" t="n">
        <x:f>'HP DIN1019'!C55/1</x:f>
        <x:v>18.9</x:v>
      </x:c>
    </x:row>
    <x:row r="18" ht="32" customHeight="1">
      <x:c r="A18" s="3" t="str">
        <x:v>IF2</x:v>
      </x:c>
      <x:c r="B18" s="10" t="str">
        <x:f>'Балки'!$B$70</x:f>
        <x:v>HP 280x11</x:v>
      </x:c>
      <x:c r="C18" s="10" t="n">
        <x:f>'HP DIN1019'!B22/10</x:f>
        <x:v>28</x:v>
      </x:c>
      <x:c r="D18" s="10" t="n">
        <x:f>'HP DIN1019'!C22/10</x:f>
        <x:v>1.1</x:v>
      </x:c>
      <x:c r="E18" s="10" t="n">
        <x:f>'HP DIN1019'!F22/1</x:f>
        <x:v>42.6</x:v>
      </x:c>
      <x:c r="F18" s="10" t="n">
        <x:f>'HP DIN1019'!C53/1</x:f>
        <x:v>17.4</x:v>
      </x:c>
    </x:row>
    <x:row r="19" ht="32" customHeight="1">
      <x:c r="A19" s="3" t="str">
        <x:v>IF3</x:v>
      </x:c>
      <x:c r="B19" s="10" t="str">
        <x:f>'Балки'!$B$71</x:f>
        <x:v>HP 260x10</x:v>
      </x:c>
      <x:c r="C19" s="10" t="n">
        <x:f>'HP DIN1019'!B19/10</x:f>
        <x:v>26</x:v>
      </x:c>
      <x:c r="D19" s="10" t="n">
        <x:f>'HP DIN1019'!C19/10</x:f>
        <x:v>1</x:v>
      </x:c>
      <x:c r="E19" s="10" t="n">
        <x:f>'HP DIN1019'!F19/1</x:f>
        <x:v>36.1</x:v>
      </x:c>
      <x:c r="F19" s="10" t="n">
        <x:f>'HP DIN1019'!C50/1</x:f>
        <x:v>16.2</x:v>
      </x:c>
    </x:row>
    <x:row r="20" ht="32" customHeight="1">
      <x:c r="A20" s="3" t="str">
        <x:v>IF4</x:v>
      </x:c>
      <x:c r="B20" s="10" t="str">
        <x:f>'Балки'!$B$72</x:f>
        <x:v>HP 220x10</x:v>
      </x:c>
      <x:c r="C20" s="10" t="n">
        <x:f>'HP DIN1019'!B14/10</x:f>
        <x:v>22</x:v>
      </x:c>
      <x:c r="D20" s="10" t="n">
        <x:f>'HP DIN1019'!C14/10</x:f>
        <x:v>1</x:v>
      </x:c>
      <x:c r="E20" s="10" t="n">
        <x:f>'HP DIN1019'!F14/1</x:f>
        <x:v>29</x:v>
      </x:c>
      <x:c r="F20" s="10" t="n">
        <x:f>'HP DIN1019'!C45/1</x:f>
        <x:v>13.4</x:v>
      </x:c>
    </x:row>
    <x:row r="21" ht="32" customHeight="1">
      <x:c r="A21" s="3" t="str">
        <x:v>D-L</x:v>
      </x:c>
      <x:c r="B21" s="12" t="str">
        <x:f>'Балки'!$B$73</x:f>
        <x:v>HP 180x10</x:v>
      </x:c>
      <x:c r="C21" s="10" t="n">
        <x:f>'HP DIN1019'!B11/10</x:f>
        <x:v>18</x:v>
      </x:c>
      <x:c r="D21" s="10" t="n">
        <x:f>'HP DIN1019'!C11/10</x:f>
        <x:v>1</x:v>
      </x:c>
      <x:c r="E21" s="10" t="n">
        <x:f>'HP DIN1019'!F11/1</x:f>
        <x:v>22.5</x:v>
      </x:c>
      <x:c r="F21" s="10" t="n">
        <x:f>'HP DIN1019'!C42/1</x:f>
        <x:v>10.6</x:v>
      </x:c>
    </x:row>
    <x:row r="22" ht="32" customHeight="1">
      <x:c r="A22" s="3" t="str">
        <x:v>D-W</x:v>
      </x:c>
      <x:c r="B22" s="12" t="str">
        <x:f>'Балки'!$B$74</x:f>
        <x:v>HP 180x10</x:v>
      </x:c>
      <x:c r="C22" s="10" t="n">
        <x:f>'HP DIN1019'!B11/10</x:f>
        <x:v>18</x:v>
      </x:c>
      <x:c r="D22" s="10" t="n">
        <x:f>'HP DIN1019'!C11/10</x:f>
        <x:v>1</x:v>
      </x:c>
      <x:c r="E22" s="10" t="n">
        <x:f>'HP DIN1019'!F11/1</x:f>
        <x:v>22.5</x:v>
      </x:c>
      <x:c r="F22" s="10" t="n">
        <x:f>'HP DIN1019'!C42/1</x:f>
        <x:v>10.6</x:v>
      </x:c>
    </x:row>
    <x:row r="23" ht="32" customHeight="1">
      <x:c r="A23" s="3"/>
      <x:c r="B23" s="3"/>
      <x:c r="C23" s="3"/>
      <x:c r="D23" s="3"/>
      <x:c r="E23" s="3"/>
      <x:c r="F23" s="3"/>
    </x:row>
    <x:row r="24" ht="32" customHeight="1">
      <x:c r="A24" s="3"/>
      <x:c r="B24" s="3"/>
      <x:c r="C24" s="3"/>
      <x:c r="D24" s="3"/>
      <x:c r="E24" s="3"/>
      <x:c r="F24" s="3"/>
    </x:row>
    <x:row r="25" ht="32" customHeight="1">
      <x:c r="A25" s="3"/>
      <x:c r="B25" s="3"/>
      <x:c r="C25" s="3"/>
      <x:c r="D25" s="3"/>
      <x:c r="E25" s="3"/>
      <x:c r="F25" s="3"/>
    </x:row>
    <x:row r="26" ht="36" customHeight="1">
      <x:c r="A26" s="11" t="str">
        <x:v>2. Площадь и нейтральная ось</x:v>
      </x:c>
      <x:c r="B26" s="11"/>
      <x:c r="C26" s="11"/>
      <x:c r="D26" s="11"/>
      <x:c r="E26" s="11"/>
      <x:c r="F26" s="11"/>
    </x:row>
    <x:row r="27" ht="54" customHeight="1">
      <x:c r="A27" s="6" t="str">
        <x:v>Марка</x:v>
      </x:c>
      <x:c r="B27" s="6" t="str">
        <x:v>Iпроф</x:v>
      </x:c>
      <x:c r="C27" s="6" t="str">
        <x:v>bп</x:v>
      </x:c>
      <x:c r="D27" s="6" t="str">
        <x:v>sп</x:v>
      </x:c>
      <x:c r="E27" s="6" t="str">
        <x:v>Aп</x:v>
      </x:c>
      <x:c r="F27" s="6" t="str">
        <x:v>e, см</x:v>
      </x:c>
    </x:row>
    <x:row r="28" ht="32" customHeight="1">
      <x:c r="A28" s="13" t="str">
        <x:f>'Сечения'!$A$11</x:f>
        <x:v>B-L</x:v>
      </x:c>
      <x:c r="B28" s="10" t="n">
        <x:f>'HP DIN1019'!D52/1</x:f>
        <x:v>2770</x:v>
      </x:c>
      <x:c r="C28" s="10" t="n">
        <x:f>'Балки'!$F$46*100</x:f>
        <x:v>37.5</x:v>
      </x:c>
      <x:c r="D28" s="10" t="n">
        <x:f>'Балки'!$E$46/10</x:f>
        <x:v>1.5</x:v>
      </x:c>
      <x:c r="E28" s="10" t="n">
        <x:f>'Сечения'!$C$28*'Сечения'!$D$28</x:f>
        <x:v>56.25</x:v>
      </x:c>
      <x:c r="F28" s="10" t="n">
        <x:f>'Сечения'!$E$11*('Сечения'!$F$11+'Сечения'!$D$28/2)/('Сечения'!$E$11+'Сечения'!$E$28)</x:f>
        <x:v>7.006817016914403</x:v>
      </x:c>
    </x:row>
    <x:row r="29" ht="32" customHeight="1">
      <x:c r="A29" s="13" t="str">
        <x:f>'Сечения'!$A$12</x:f>
        <x:v>IB-L</x:v>
      </x:c>
      <x:c r="B29" s="10" t="n">
        <x:f>'HP DIN1019'!D50/1</x:f>
        <x:v>2477</x:v>
      </x:c>
      <x:c r="C29" s="10" t="n">
        <x:f>'Балки'!$F$47*100</x:f>
        <x:v>37.5</x:v>
      </x:c>
      <x:c r="D29" s="10" t="n">
        <x:f>'Балки'!$E$47/10</x:f>
        <x:v>1.5</x:v>
      </x:c>
      <x:c r="E29" s="10" t="n">
        <x:f>'Сечения'!$C$29*'Сечения'!$D$29</x:f>
        <x:v>56.25</x:v>
      </x:c>
      <x:c r="F29" s="10" t="n">
        <x:f>'Сечения'!$E$12*('Сечения'!$F$12+'Сечения'!$D$29/2)/('Сечения'!$E$12+'Сечения'!$E$29)</x:f>
        <x:v>6.625825663237683</x:v>
      </x:c>
    </x:row>
    <x:row r="30" ht="32" customHeight="1">
      <x:c r="A30" s="13" t="str">
        <x:f>'Сечения'!$A$13</x:f>
        <x:v>OF1</x:v>
      </x:c>
      <x:c r="B30" s="10" t="n">
        <x:f>'HP DIN1019'!D56/1</x:f>
        <x:v>4460</x:v>
      </x:c>
      <x:c r="C30" s="10" t="n">
        <x:f>'Балки'!$F$48*100</x:f>
        <x:v>50</x:v>
      </x:c>
      <x:c r="D30" s="10" t="n">
        <x:f>'Балки'!$E$48/10</x:f>
        <x:v>1.5</x:v>
      </x:c>
      <x:c r="E30" s="10" t="n">
        <x:f>'Сечения'!$C$30*'Сечения'!$D$30</x:f>
        <x:v>75</x:v>
      </x:c>
      <x:c r="F30" s="10" t="n">
        <x:f>'Сечения'!$E$13*('Сечения'!$F$13+'Сечения'!$D$30/2)/('Сечения'!$E$13+'Сечения'!$E$30)</x:f>
        <x:v>7.7519246190858055</x:v>
      </x:c>
    </x:row>
    <x:row r="31" ht="32" customHeight="1">
      <x:c r="A31" s="13" t="str">
        <x:f>'Сечения'!$A$14</x:f>
        <x:v>OF2</x:v>
      </x:c>
      <x:c r="B31" s="10" t="n">
        <x:f>'HP DIN1019'!D55/1</x:f>
        <x:v>4190</x:v>
      </x:c>
      <x:c r="C31" s="10" t="n">
        <x:f>'Балки'!$F$49*100</x:f>
        <x:v>51.66666666666667</x:v>
      </x:c>
      <x:c r="D31" s="10" t="n">
        <x:f>'Балки'!$E$49/10</x:f>
        <x:v>1.4</x:v>
      </x:c>
      <x:c r="E31" s="10" t="n">
        <x:f>'Сечения'!$C$31*'Сечения'!$D$31</x:f>
        <x:v>72.33333333333333</x:v>
      </x:c>
      <x:c r="F31" s="10" t="n">
        <x:f>'Сечения'!$E$14*('Сечения'!$F$14+'Сечения'!$D$31/2)/('Сечения'!$E$14+'Сечения'!$E$31)</x:f>
        <x:v>7.689610753290395</x:v>
      </x:c>
    </x:row>
    <x:row r="32" ht="32" customHeight="1">
      <x:c r="A32" s="13" t="str">
        <x:f>'Сечения'!$A$15</x:f>
        <x:v>OF3</x:v>
      </x:c>
      <x:c r="B32" s="10" t="n">
        <x:f>'HP DIN1019'!D51/1</x:f>
        <x:v>2610</x:v>
      </x:c>
      <x:c r="C32" s="10" t="n">
        <x:f>'Балки'!$F$50*100</x:f>
        <x:v>51.66666666666666</x:v>
      </x:c>
      <x:c r="D32" s="10" t="n">
        <x:f>'Балки'!$E$50/10</x:f>
        <x:v>1.2</x:v>
      </x:c>
      <x:c r="E32" s="10" t="n">
        <x:f>'Сечения'!$C$32*'Сечения'!$D$32</x:f>
        <x:v>61.999999999999986</x:v>
      </x:c>
      <x:c r="F32" s="10" t="n">
        <x:f>'Сечения'!$E$15*('Сечения'!$F$15+'Сечения'!$D$32/2)/('Сечения'!$E$15+'Сечения'!$E$32)</x:f>
        <x:v>6.379543197616685</x:v>
      </x:c>
    </x:row>
    <x:row r="33" ht="32" customHeight="1">
      <x:c r="A33" s="13" t="str">
        <x:f>'Сечения'!$A$16</x:f>
        <x:v>OF4</x:v>
      </x:c>
      <x:c r="B33" s="10" t="n">
        <x:f>'HP DIN1019'!D46/1</x:f>
        <x:v>1550</x:v>
      </x:c>
      <x:c r="C33" s="10" t="n">
        <x:f>'Балки'!$F$51*100</x:f>
        <x:v>51.66666666666666</x:v>
      </x:c>
      <x:c r="D33" s="10" t="n">
        <x:f>'Балки'!$E$51/10</x:f>
        <x:v>1.2</x:v>
      </x:c>
      <x:c r="E33" s="10" t="n">
        <x:f>'Сечения'!$C$33*'Сечения'!$D$33</x:f>
        <x:v>61.999999999999986</x:v>
      </x:c>
      <x:c r="F33" s="10" t="n">
        <x:f>'Сечения'!$E$16*('Сечения'!$F$16+'Сечения'!$D$33/2)/('Сечения'!$E$16+'Сечения'!$E$33)</x:f>
        <x:v>4.692576882290562</x:v>
      </x:c>
    </x:row>
    <x:row r="34" ht="32" customHeight="1">
      <x:c r="A34" s="13" t="str">
        <x:f>'Сечения'!$A$17</x:f>
        <x:v>IF1</x:v>
      </x:c>
      <x:c r="B34" s="10" t="n">
        <x:f>'HP DIN1019'!D55/1</x:f>
        <x:v>4190</x:v>
      </x:c>
      <x:c r="C34" s="10" t="n">
        <x:f>'Балки'!$F$52*100</x:f>
        <x:v>50</x:v>
      </x:c>
      <x:c r="D34" s="10" t="n">
        <x:f>'Балки'!$E$52/10</x:f>
        <x:v>1.4</x:v>
      </x:c>
      <x:c r="E34" s="10" t="n">
        <x:f>'Сечения'!$C$34*'Сечения'!$D$34</x:f>
        <x:v>70</x:v>
      </x:c>
      <x:c r="F34" s="10" t="n">
        <x:f>'Сечения'!$E$17*('Сечения'!$F$17+'Сечения'!$D$34/2)/('Сечения'!$E$17+'Сечения'!$E$34)</x:f>
        <x:v>7.843359040274207</x:v>
      </x:c>
    </x:row>
    <x:row r="35" ht="32" customHeight="1">
      <x:c r="A35" s="13" t="str">
        <x:f>'Сечения'!$A$18</x:f>
        <x:v>IF2</x:v>
      </x:c>
      <x:c r="B35" s="10" t="n">
        <x:f>'HP DIN1019'!D53/1</x:f>
        <x:v>3330</x:v>
      </x:c>
      <x:c r="C35" s="10" t="n">
        <x:f>'Балки'!$F$53*100</x:f>
        <x:v>51.66666666666667</x:v>
      </x:c>
      <x:c r="D35" s="10" t="n">
        <x:f>'Балки'!$E$53/10</x:f>
        <x:v>1.3</x:v>
      </x:c>
      <x:c r="E35" s="10" t="n">
        <x:f>'Сечения'!$C$35*'Сечения'!$D$35</x:f>
        <x:v>67.16666666666667</x:v>
      </x:c>
      <x:c r="F35" s="10" t="n">
        <x:f>'Сечения'!$E$18*('Сечения'!$F$18+'Сечения'!$D$35/2)/('Сечения'!$E$18+'Сечения'!$E$35)</x:f>
        <x:v>7.005132098390524</x:v>
      </x:c>
    </x:row>
    <x:row r="36" ht="32" customHeight="1">
      <x:c r="A36" s="13" t="str">
        <x:f>'Сечения'!$A$19</x:f>
        <x:v>IF3</x:v>
      </x:c>
      <x:c r="B36" s="10" t="n">
        <x:f>'HP DIN1019'!D50/1</x:f>
        <x:v>2477</x:v>
      </x:c>
      <x:c r="C36" s="10" t="n">
        <x:f>'Балки'!$F$54*100</x:f>
        <x:v>51.66666666666666</x:v>
      </x:c>
      <x:c r="D36" s="10" t="n">
        <x:f>'Балки'!$E$54/10</x:f>
        <x:v>1.2</x:v>
      </x:c>
      <x:c r="E36" s="10" t="n">
        <x:f>'Сечения'!$C$36*'Сечения'!$D$36</x:f>
        <x:v>61.999999999999986</x:v>
      </x:c>
      <x:c r="F36" s="10" t="n">
        <x:f>'Сечения'!$E$19*('Сечения'!$F$19+'Сечения'!$D$36/2)/('Сечения'!$E$19+'Сечения'!$E$36)</x:f>
        <x:v>6.182262996941897</x:v>
      </x:c>
    </x:row>
    <x:row r="37" ht="32" customHeight="1">
      <x:c r="A37" s="13" t="str">
        <x:f>'Сечения'!$A$20</x:f>
        <x:v>IF4</x:v>
      </x:c>
      <x:c r="B37" s="10" t="n">
        <x:f>'HP DIN1019'!D45/1</x:f>
        <x:v>1400</x:v>
      </x:c>
      <x:c r="C37" s="10" t="n">
        <x:f>'Балки'!$F$55*100</x:f>
        <x:v>52.99999999999999</x:v>
      </x:c>
      <x:c r="D37" s="10" t="n">
        <x:f>'Балки'!$E$55/10</x:f>
        <x:v>1.2</x:v>
      </x:c>
      <x:c r="E37" s="10" t="n">
        <x:f>'Сечения'!$C$37*'Сечения'!$D$37</x:f>
        <x:v>63.59999999999999</x:v>
      </x:c>
      <x:c r="F37" s="10" t="n">
        <x:f>'Сечения'!$E$20*('Сечения'!$F$20+'Сечения'!$D$37/2)/('Сечения'!$E$20+'Сечения'!$E$37)</x:f>
        <x:v>4.384449244060476</x:v>
      </x:c>
    </x:row>
    <x:row r="38" ht="32" customHeight="1">
      <x:c r="A38" s="13" t="str">
        <x:f>'Сечения'!$A$21</x:f>
        <x:v>D-L</x:v>
      </x:c>
      <x:c r="B38" s="10" t="n">
        <x:f>'HP DIN1019'!D42/1</x:f>
        <x:v>717</x:v>
      </x:c>
      <x:c r="C38" s="10" t="n">
        <x:f>'Балки'!$F$56*100</x:f>
        <x:v>37.5</x:v>
      </x:c>
      <x:c r="D38" s="10" t="n">
        <x:f>'Балки'!$E$56/10</x:f>
        <x:v>1.1</x:v>
      </x:c>
      <x:c r="E38" s="10" t="n">
        <x:f>'Сечения'!$C$38*'Сечения'!$D$38</x:f>
        <x:v>41.25</x:v>
      </x:c>
      <x:c r="F38" s="10" t="n">
        <x:f>'Сечения'!$E$21*('Сечения'!$F$21+'Сечения'!$D$38/2)/('Сечения'!$E$21+'Сечения'!$E$38)</x:f>
        <x:v>3.9352941176470586</x:v>
      </x:c>
    </x:row>
    <x:row r="39" ht="32" customHeight="1">
      <x:c r="A39" s="13" t="str">
        <x:f>'Сечения'!$A$22</x:f>
        <x:v>D-W</x:v>
      </x:c>
      <x:c r="B39" s="10" t="n">
        <x:f>'HP DIN1019'!D42/1</x:f>
        <x:v>717</x:v>
      </x:c>
      <x:c r="C39" s="10" t="n">
        <x:f>'Балки'!$F$57*100</x:f>
        <x:v>37.5</x:v>
      </x:c>
      <x:c r="D39" s="10" t="n">
        <x:f>'Балки'!$E$57/10</x:f>
        <x:v>1.1</x:v>
      </x:c>
      <x:c r="E39" s="10" t="n">
        <x:f>'Сечения'!$C$39*'Сечения'!$D$39</x:f>
        <x:v>41.25</x:v>
      </x:c>
      <x:c r="F39" s="10" t="n">
        <x:f>'Сечения'!$E$22*('Сечения'!$F$22+'Сечения'!$D$39/2)/('Сечения'!$E$22+'Сечения'!$E$39)</x:f>
        <x:v>3.9352941176470586</x:v>
      </x:c>
    </x:row>
    <x:row r="40" ht="32" customHeight="1">
      <x:c r="A40" s="3"/>
      <x:c r="B40" s="3"/>
      <x:c r="C40" s="3"/>
      <x:c r="D40" s="3"/>
      <x:c r="E40" s="3"/>
      <x:c r="F40" s="3"/>
    </x:row>
    <x:row r="41" ht="32" customHeight="1">
      <x:c r="A41" s="3"/>
      <x:c r="B41" s="3"/>
      <x:c r="C41" s="3"/>
      <x:c r="D41" s="3"/>
      <x:c r="E41" s="3"/>
      <x:c r="F41" s="3"/>
    </x:row>
    <x:row r="42" ht="32" customHeight="1">
      <x:c r="A42" s="3"/>
      <x:c r="B42" s="3"/>
      <x:c r="C42" s="3"/>
      <x:c r="D42" s="3"/>
      <x:c r="E42" s="3"/>
      <x:c r="F42" s="3"/>
    </x:row>
    <x:row r="43" ht="36" customHeight="1">
      <x:c r="A43" s="11" t="str">
        <x:v>3. Инерция и моменты сопротивления</x:v>
      </x:c>
      <x:c r="B43" s="11"/>
      <x:c r="C43" s="11"/>
      <x:c r="D43" s="11"/>
      <x:c r="E43" s="11"/>
      <x:c r="F43" s="11"/>
    </x:row>
    <x:row r="44" ht="54" customHeight="1">
      <x:c r="A44" s="6" t="str">
        <x:v>Марка</x:v>
      </x:c>
      <x:c r="B44" s="6" t="str">
        <x:v>IΣ, см⁴</x:v>
      </x:c>
      <x:c r="C44" s="6" t="str">
        <x:v>Wверх</x:v>
      </x:c>
      <x:c r="D44" s="6" t="str">
        <x:v>Wниз</x:v>
      </x:c>
      <x:c r="E44" s="6" t="str">
        <x:v>Wmin, см³</x:v>
      </x:c>
      <x:c r="F44" s="6" t="str">
        <x:v>Проверка</x:v>
      </x:c>
    </x:row>
    <x:row r="45" ht="32" customHeight="1">
      <x:c r="A45" s="13" t="str">
        <x:f>'Сечения'!$A$11</x:f>
        <x:v>B-L</x:v>
      </x:c>
      <x:c r="B45" s="10" t="n">
        <x:f>'Сечения'!$B$28+'Сечения'!$C$28*'Сечения'!$D$28^3/12+'Сечения'!$E$11*('Сечения'!$F$11+'Сечения'!$D$28/2)^2-('Сечения'!$E$11+'Сечения'!$E$28)*'Сечения'!$F$28^2</x:f>
        <x:v>9303.455591683753</x:v>
      </x:c>
      <x:c r="C45" s="10" t="n">
        <x:f>'Сечения'!$B$45/('Сечения'!$C$11+'Сечения'!$D$28/2-'Сечения'!$F$28)</x:f>
        <x:v>471.22369273760063</x:v>
      </x:c>
      <x:c r="D45" s="10" t="n">
        <x:f>'Сечения'!$B$45/('Сечения'!$F$28+'Сечения'!$D$28/2)</x:f>
        <x:v>1199.390880485742</x:v>
      </x:c>
      <x:c r="E45" s="10" t="n">
        <x:f>MIN('Сечения'!$C$45,'Сечения'!$D$45)</x:f>
        <x:v>471.22369273760063</x:v>
      </x:c>
      <x:c r="F45" s="10" t="str">
        <x:f>IF(AND('Сечения'!$E$45&gt;='Балки'!$C$46,'Сечения'!$D$11*10&gt;='Балки'!$D$46),"Выполнено","Не выполнено")</x:f>
        <x:v>Выполнено</x:v>
      </x:c>
    </x:row>
    <x:row r="46" ht="32" customHeight="1">
      <x:c r="A46" s="13" t="str">
        <x:f>'Сечения'!$A$12</x:f>
        <x:v>IB-L</x:v>
      </x:c>
      <x:c r="B46" s="10" t="n">
        <x:f>'Сечения'!$B$29+'Сечения'!$C$29*'Сечения'!$D$29^3/12+'Сечения'!$E$12*('Сечения'!$F$12+'Сечения'!$D$29/2)^2-('Сечения'!$E$12+'Сечения'!$E$29)*'Сечения'!$F$29^2</x:f>
        <x:v>8804.857530793175</x:v>
      </x:c>
      <x:c r="C46" s="10" t="n">
        <x:f>'Сечения'!$B$46/('Сечения'!$C$12+'Сечения'!$D$29/2-'Сечения'!$F$29)</x:f>
        <x:v>437.52639901894963</x:v>
      </x:c>
      <x:c r="D46" s="10" t="n">
        <x:f>'Сечения'!$B$46/('Сечения'!$F$29+'Сечения'!$D$29/2)</x:f>
        <x:v>1193.7453422574804</x:v>
      </x:c>
      <x:c r="E46" s="10" t="n">
        <x:f>MIN('Сечения'!$C$46,'Сечения'!$D$46)</x:f>
        <x:v>437.52639901894963</x:v>
      </x:c>
      <x:c r="F46" s="10" t="str">
        <x:f>IF(AND('Сечения'!$E$46&gt;='Балки'!$C$47,'Сечения'!$D$12*10&gt;='Балки'!$D$47),"Выполнено","Не выполнено")</x:f>
        <x:v>Выполнено</x:v>
      </x:c>
    </x:row>
    <x:row r="47" ht="32" customHeight="1">
      <x:c r="A47" s="13" t="str">
        <x:f>'Сечения'!$A$13</x:f>
        <x:v>OF1</x:v>
      </x:c>
      <x:c r="B47" s="10" t="n">
        <x:f>'Сечения'!$B$30+'Сечения'!$C$30*'Сечения'!$D$30^3/12+'Сечения'!$E$13*('Сечения'!$F$13+'Сечения'!$D$30/2)^2-('Сечения'!$E$13+'Сечения'!$E$30)*'Сечения'!$F$30^2</x:f>
        <x:v>15782.18253809142</x:v>
      </x:c>
      <x:c r="C47" s="10" t="n">
        <x:f>'Сечения'!$B$47/('Сечения'!$C$13+'Сечения'!$D$30/2-'Сечения'!$F$30)</x:f>
        <x:v>686.2392733606243</x:v>
      </x:c>
      <x:c r="D47" s="10" t="n">
        <x:f>'Сечения'!$B$47/('Сечения'!$F$30+'Сечения'!$D$30/2)</x:f>
        <x:v>1856.3070416623436</x:v>
      </x:c>
      <x:c r="E47" s="10" t="n">
        <x:f>MIN('Сечения'!$C$47,'Сечения'!$D$47)</x:f>
        <x:v>686.2392733606243</x:v>
      </x:c>
      <x:c r="F47" s="10" t="str">
        <x:f>IF(AND('Сечения'!$E$47&gt;='Балки'!$C$48,'Сечения'!$D$13*10&gt;='Балки'!$D$48),"Выполнено","Не выполнено")</x:f>
        <x:v>Выполнено</x:v>
      </x:c>
    </x:row>
    <x:row r="48" ht="32" customHeight="1">
      <x:c r="A48" s="13" t="str">
        <x:f>'Сечения'!$A$14</x:f>
        <x:v>OF2</x:v>
      </x:c>
      <x:c r="B48" s="10" t="n">
        <x:f>'Сечения'!$B$31+'Сечения'!$C$31*'Сечения'!$D$31^3/12+'Сечения'!$E$14*('Сечения'!$F$14+'Сечения'!$D$31/2)^2-('Сечения'!$E$14+'Сечения'!$E$31)*'Сечения'!$F$31^2</x:f>
        <x:v>15103.631929742678</x:v>
      </x:c>
      <x:c r="C48" s="10" t="n">
        <x:f>'Сечения'!$B$48/('Сечения'!$C$14+'Сечения'!$D$31/2-'Сечения'!$F$31)</x:f>
        <x:v>656.3831566605262</x:v>
      </x:c>
      <x:c r="D48" s="10" t="n">
        <x:f>'Сечения'!$B$48/('Сечения'!$F$31+'Сечения'!$D$31/2)</x:f>
        <x:v>1800.2780312327425</x:v>
      </x:c>
      <x:c r="E48" s="10" t="n">
        <x:f>MIN('Сечения'!$C$48,'Сечения'!$D$48)</x:f>
        <x:v>656.3831566605262</x:v>
      </x:c>
      <x:c r="F48" s="10" t="str">
        <x:f>IF(AND('Сечения'!$E$48&gt;='Балки'!$C$49,'Сечения'!$D$14*10&gt;='Балки'!$D$49),"Выполнено","Не выполнено")</x:f>
        <x:v>Выполнено</x:v>
      </x:c>
    </x:row>
    <x:row r="49" ht="32" customHeight="1">
      <x:c r="A49" s="13" t="str">
        <x:f>'Сечения'!$A$15</x:f>
        <x:v>OF3</x:v>
      </x:c>
      <x:c r="B49" s="10" t="n">
        <x:f>'Сечения'!$B$32+'Сечения'!$C$32*'Сечения'!$D$32^3/12+'Сечения'!$E$15*('Сечения'!$F$15+'Сечения'!$D$32/2)^2-('Сечения'!$E$15+'Сечения'!$E$32)*'Сечения'!$F$32^2</x:f>
        <x:v>9183.265858987092</x:v>
      </x:c>
      <x:c r="C49" s="10" t="n">
        <x:f>'Сечения'!$B$49/('Сечения'!$C$15+'Сечения'!$D$32/2-'Сечения'!$F$32)</x:f>
        <x:v>454.157190845693</x:v>
      </x:c>
      <x:c r="D49" s="10" t="n">
        <x:f>'Сечения'!$B$49/('Сечения'!$F$32+'Сечения'!$D$32/2)</x:f>
        <x:v>1315.7402424449376</x:v>
      </x:c>
      <x:c r="E49" s="10" t="n">
        <x:f>MIN('Сечения'!$C$49,'Сечения'!$D$49)</x:f>
        <x:v>454.157190845693</x:v>
      </x:c>
      <x:c r="F49" s="10" t="str">
        <x:f>IF(AND('Сечения'!$E$49&gt;='Балки'!$C$50,'Сечения'!$D$15*10&gt;='Балки'!$D$50),"Выполнено","Не выполнено")</x:f>
        <x:v>Выполнено</x:v>
      </x:c>
    </x:row>
    <x:row r="50" ht="32" customHeight="1">
      <x:c r="A50" s="13" t="str">
        <x:f>'Сечения'!$A$16</x:f>
        <x:v>OF4</x:v>
      </x:c>
      <x:c r="B50" s="10" t="n">
        <x:f>'Сечения'!$B$33+'Сечения'!$C$33*'Сечения'!$D$33^3/12+'Сечения'!$E$16*('Сечения'!$F$16+'Сечения'!$D$33/2)^2-('Сечения'!$E$16+'Сечения'!$E$33)*'Сечения'!$F$33^2</x:f>
        <x:v>5543.314803817602</x:v>
      </x:c>
      <x:c r="C50" s="10" t="n">
        <x:f>'Сечения'!$B$50/('Сечения'!$C$16+'Сечения'!$D$33/2-'Сечения'!$F$33)</x:f>
        <x:v>309.5540194354136</x:v>
      </x:c>
      <x:c r="D50" s="10" t="n">
        <x:f>'Сечения'!$B$50/('Сечения'!$F$33+'Сечения'!$D$33/2)</x:f>
        <x:v>1047.375395219299</x:v>
      </x:c>
      <x:c r="E50" s="10" t="n">
        <x:f>MIN('Сечения'!$C$50,'Сечения'!$D$50)</x:f>
        <x:v>309.5540194354136</x:v>
      </x:c>
      <x:c r="F50" s="10" t="str">
        <x:f>IF(AND('Сечения'!$E$50&gt;='Балки'!$C$51,'Сечения'!$D$16*10&gt;='Балки'!$D$51),"Выполнено","Не выполнено")</x:f>
        <x:v>Выполнено</x:v>
      </x:c>
    </x:row>
    <x:row r="51" ht="32" customHeight="1">
      <x:c r="A51" s="13" t="str">
        <x:f>'Сечения'!$A$17</x:f>
        <x:v>IF1</x:v>
      </x:c>
      <x:c r="B51" s="10" t="n">
        <x:f>'Сечения'!$B$34+'Сечения'!$C$34*'Сечения'!$D$34^3/12+'Сечения'!$E$17*('Сечения'!$F$17+'Сечения'!$D$34/2)^2-('Сечения'!$E$17+'Сечения'!$E$34)*'Сечения'!$F$34^2</x:f>
        <x:v>14962.521936589546</x:v>
      </x:c>
      <x:c r="C51" s="10" t="n">
        <x:f>'Сечения'!$B$51/('Сечения'!$C$17+'Сечения'!$D$34/2-'Сечения'!$F$34)</x:f>
        <x:v>654.6247089830057</x:v>
      </x:c>
      <x:c r="D51" s="10" t="n">
        <x:f>'Сечения'!$B$51/('Сечения'!$F$34+'Сечения'!$D$34/2)</x:f>
        <x:v>1751.3628850262287</x:v>
      </x:c>
      <x:c r="E51" s="10" t="n">
        <x:f>MIN('Сечения'!$C$51,'Сечения'!$D$51)</x:f>
        <x:v>654.6247089830057</x:v>
      </x:c>
      <x:c r="F51" s="10" t="str">
        <x:f>IF(AND('Сечения'!$E$51&gt;='Балки'!$C$52,'Сечения'!$D$17*10&gt;='Балки'!$D$52),"Выполнено","Не выполнено")</x:f>
        <x:v>Выполнено</x:v>
      </x:c>
    </x:row>
    <x:row r="52" ht="32" customHeight="1">
      <x:c r="A52" s="13" t="str">
        <x:f>'Сечения'!$A$18</x:f>
        <x:v>IF2</x:v>
      </x:c>
      <x:c r="B52" s="10" t="n">
        <x:f>'Сечения'!$B$35+'Сечения'!$C$35*'Сечения'!$D$35^3/12+'Сечения'!$E$18*('Сечения'!$F$18+'Сечения'!$D$35/2)^2-('Сечения'!$E$18+'Сечения'!$E$35)*'Сечения'!$F$35^2</x:f>
        <x:v>11832.189581140126</x:v>
      </x:c>
      <x:c r="C52" s="10" t="n">
        <x:f>'Сечения'!$B$52/('Сечения'!$C$18+'Сечения'!$D$35/2-'Сечения'!$F$35)</x:f>
        <x:v>546.6510414813068</x:v>
      </x:c>
      <x:c r="D52" s="10" t="n">
        <x:f>'Сечения'!$B$52/('Сечения'!$F$35+'Сечения'!$D$35/2)</x:f>
        <x:v>1545.6545268014147</x:v>
      </x:c>
      <x:c r="E52" s="10" t="n">
        <x:f>MIN('Сечения'!$C$52,'Сечения'!$D$52)</x:f>
        <x:v>546.6510414813068</x:v>
      </x:c>
      <x:c r="F52" s="10" t="str">
        <x:f>IF(AND('Сечения'!$E$52&gt;='Балки'!$C$53,'Сечения'!$D$18*10&gt;='Балки'!$D$53),"Выполнено","Не выполнено")</x:f>
        <x:v>Выполнено</x:v>
      </x:c>
    </x:row>
    <x:row r="53" ht="32" customHeight="1">
      <x:c r="A53" s="13" t="str">
        <x:f>'Сечения'!$A$19</x:f>
        <x:v>IF3</x:v>
      </x:c>
      <x:c r="B53" s="10" t="n">
        <x:f>'Сечения'!$B$36+'Сечения'!$C$36*'Сечения'!$D$36^3/12+'Сечения'!$E$19*('Сечения'!$F$19+'Сечения'!$D$36/2)^2-('Сечения'!$E$19+'Сечения'!$E$36)*'Сечения'!$F$36^2</x:f>
        <x:v>8923.88513761468</x:v>
      </x:c>
      <x:c r="C53" s="10" t="n">
        <x:f>'Сечения'!$B$53/('Сечения'!$C$19+'Сечения'!$D$36/2-'Сечения'!$F$36)</x:f>
        <x:v>437.06533864541836</x:v>
      </x:c>
      <x:c r="D53" s="10" t="n">
        <x:f>'Сечения'!$B$53/('Сечения'!$F$36+'Сечения'!$D$36/2)</x:f>
        <x:v>1315.7680764721797</x:v>
      </x:c>
      <x:c r="E53" s="10" t="n">
        <x:f>MIN('Сечения'!$C$53,'Сечения'!$D$53)</x:f>
        <x:v>437.06533864541836</x:v>
      </x:c>
      <x:c r="F53" s="10" t="str">
        <x:f>IF(AND('Сечения'!$E$53&gt;='Балки'!$C$54,'Сечения'!$D$19*10&gt;='Балки'!$D$54),"Выполнено","Не выполнено")</x:f>
        <x:v>Выполнено</x:v>
      </x:c>
    </x:row>
    <x:row r="54" ht="32" customHeight="1">
      <x:c r="A54" s="13" t="str">
        <x:f>'Сечения'!$A$20</x:f>
        <x:v>IF4</x:v>
      </x:c>
      <x:c r="B54" s="10" t="n">
        <x:f>'Сечения'!$B$37+'Сечения'!$C$37*'Сечения'!$D$37^3/12+'Сечения'!$E$20*('Сечения'!$F$20+'Сечения'!$D$37/2)^2-('Сечения'!$E$20+'Сечения'!$E$37)*'Сечения'!$F$37^2</x:f>
        <x:v>5311.545606911446</x:v>
      </x:c>
      <x:c r="C54" s="10" t="n">
        <x:f>'Сечения'!$B$54/('Сечения'!$C$20+'Сечения'!$D$37/2-'Сечения'!$F$37)</x:f>
        <x:v>291.59401645758726</x:v>
      </x:c>
      <x:c r="D54" s="10" t="n">
        <x:f>'Сечения'!$B$54/('Сечения'!$F$37+'Сечения'!$D$37/2)</x:f>
        <x:v>1065.6233711760115</x:v>
      </x:c>
      <x:c r="E54" s="10" t="n">
        <x:f>MIN('Сечения'!$C$54,'Сечения'!$D$54)</x:f>
        <x:v>291.59401645758726</x:v>
      </x:c>
      <x:c r="F54" s="10" t="str">
        <x:f>IF(AND('Сечения'!$E$54&gt;='Балки'!$C$55,'Сечения'!$D$20*10&gt;='Балки'!$D$55),"Выполнено","Не выполнено")</x:f>
        <x:v>Выполнено</x:v>
      </x:c>
    </x:row>
    <x:row r="55" ht="32" customHeight="1">
      <x:c r="A55" s="13" t="str">
        <x:f>'Сечения'!$A$21</x:f>
        <x:v>D-L</x:v>
      </x:c>
      <x:c r="B55" s="10" t="n">
        <x:f>'Сечения'!$B$38+'Сечения'!$C$38*'Сечения'!$D$38^3/12+'Сечения'!$E$21*('Сечения'!$F$21+'Сечения'!$D$38/2)^2-('Сечения'!$E$21+'Сечения'!$E$38)*'Сечения'!$F$38^2</x:f>
        <x:v>2531.148713235294</x:v>
      </x:c>
      <x:c r="C55" s="10" t="n">
        <x:f>'Сечения'!$B$55/('Сечения'!$C$21+'Сечения'!$D$38/2-'Сечения'!$F$38)</x:f>
        <x:v>173.19190229422418</x:v>
      </x:c>
      <x:c r="D55" s="10" t="n">
        <x:f>'Сечения'!$B$55/('Сечения'!$F$38+'Сечения'!$D$38/2)</x:f>
        <x:v>564.3216803278689</x:v>
      </x:c>
      <x:c r="E55" s="10" t="n">
        <x:f>MIN('Сечения'!$C$55,'Сечения'!$D$55)</x:f>
        <x:v>173.19190229422418</x:v>
      </x:c>
      <x:c r="F55" s="12" t="str">
        <x:f>IF(AND('Сечения'!$E$55&gt;='Балки'!$C$56,'Сечения'!$D$21*10&gt;='Балки'!$D$56),"Выполнено","Не выполнено")</x:f>
        <x:v>Выполнено</x:v>
      </x:c>
    </x:row>
    <x:row r="56" ht="32" customHeight="1">
      <x:c r="A56" s="13" t="str">
        <x:f>'Сечения'!$A$22</x:f>
        <x:v>D-W</x:v>
      </x:c>
      <x:c r="B56" s="10" t="n">
        <x:f>'Сечения'!$B$39+'Сечения'!$C$39*'Сечения'!$D$39^3/12+'Сечения'!$E$22*('Сечения'!$F$22+'Сечения'!$D$39/2)^2-('Сечения'!$E$22+'Сечения'!$E$39)*'Сечения'!$F$39^2</x:f>
        <x:v>2531.148713235294</x:v>
      </x:c>
      <x:c r="C56" s="10" t="n">
        <x:f>'Сечения'!$B$56/('Сечения'!$C$22+'Сечения'!$D$39/2-'Сечения'!$F$39)</x:f>
        <x:v>173.19190229422418</x:v>
      </x:c>
      <x:c r="D56" s="10" t="n">
        <x:f>'Сечения'!$B$56/('Сечения'!$F$39+'Сечения'!$D$39/2)</x:f>
        <x:v>564.3216803278689</x:v>
      </x:c>
      <x:c r="E56" s="10" t="n">
        <x:f>MIN('Сечения'!$C$56,'Сечения'!$D$56)</x:f>
        <x:v>173.19190229422418</x:v>
      </x:c>
      <x:c r="F56" s="12" t="str">
        <x:f>IF(AND('Сечения'!$E$56&gt;='Балки'!$C$57,'Сечения'!$D$22*10&gt;='Балки'!$D$57),"Выполнено","Не выполнено")</x:f>
        <x:v>Выполнено</x:v>
      </x:c>
    </x:row>
    <x:row r="57" ht="32" customHeight="1">
      <x:c r="A57" s="3"/>
      <x:c r="B57" s="3"/>
      <x:c r="C57" s="3"/>
      <x:c r="D57" s="3"/>
      <x:c r="E57" s="3"/>
      <x:c r="F57" s="3"/>
    </x:row>
    <x:row r="58" ht="32" customHeight="1">
      <x:c r="A58" s="3"/>
      <x:c r="B58" s="3"/>
      <x:c r="C58" s="3"/>
      <x:c r="D58" s="3"/>
      <x:c r="E58" s="3"/>
      <x:c r="F58" s="3"/>
    </x:row>
    <x:row r="59" ht="32" customHeight="1">
      <x:c r="A59" s="3"/>
      <x:c r="B59" s="3"/>
      <x:c r="C59" s="3"/>
      <x:c r="D59" s="3"/>
      <x:c r="E59" s="3"/>
      <x:c r="F59" s="3"/>
    </x:row>
    <x:row r="60" ht="32" customHeight="1">
      <x:c r="A60" s="3"/>
      <x:c r="B60" s="3"/>
      <x:c r="C60" s="3"/>
      <x:c r="D60" s="3"/>
      <x:c r="E60" s="3"/>
      <x:c r="F60" s="3"/>
    </x:row>
    <x:row r="61" ht="32" customHeight="1">
      <x:c r="A61" s="3"/>
      <x:c r="B61" s="3"/>
      <x:c r="C61" s="3"/>
      <x:c r="D61" s="3"/>
      <x:c r="E61" s="3"/>
      <x:c r="F61" s="3"/>
    </x:row>
  </x:sheetData>
  <x:mergeCells>
    <x:mergeCell ref="A1:F1"/>
    <x:mergeCell ref="A2:F3"/>
    <x:mergeCell ref="A5:F5"/>
    <x:mergeCell ref="A6:F6"/>
    <x:mergeCell ref="A9:F9"/>
    <x:mergeCell ref="A26:F26"/>
    <x:mergeCell ref="A43:F4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5" hidden="0" customWidth="1"/>
    <x:col min="2" max="2" width="23.1299991607666" hidden="0" customWidth="1"/>
    <x:col min="3" max="3" width="13.130000114440918" hidden="0" customWidth="1"/>
    <x:col min="4" max="4" width="47.5" hidden="0" customWidth="1"/>
  </x:cols>
  <x:sheetData>
    <x:row r="1" ht="42" customHeight="1">
      <x:c r="A1" s="4" t="str">
        <x:v>Изгиб корпуса</x:v>
      </x:c>
      <x:c r="B1" s="3"/>
      <x:c r="C1" s="3"/>
      <x:c r="D1" s="3"/>
    </x:row>
    <x:row r="2" ht="24" customHeight="1">
      <x:c r="A2" s="3"/>
      <x:c r="B2" s="3"/>
      <x:c r="C2" s="3"/>
      <x:c r="D2" s="3"/>
    </x:row>
    <x:row r="3" ht="24" customHeight="1">
      <x:c r="A3" s="3"/>
      <x:c r="B3" s="3"/>
      <x:c r="C3" s="3"/>
      <x:c r="D3" s="3"/>
    </x:row>
    <x:row r="4" ht="32" customHeight="1">
      <x:c r="A4" s="3"/>
      <x:c r="B4" s="3"/>
      <x:c r="C4" s="3"/>
      <x:c r="D4" s="3"/>
    </x:row>
    <x:row r="5" ht="32" customHeight="1">
      <x:c r="A5" s="3"/>
      <x:c r="B5" s="3"/>
      <x:c r="C5" s="3"/>
      <x:c r="D5" s="3"/>
    </x:row>
    <x:row r="6" ht="54" customHeight="1">
      <x:c r="A6" s="6" t="str">
        <x:v>Параметр</x:v>
      </x:c>
      <x:c r="B6" s="6" t="str">
        <x:v>Значение</x:v>
      </x:c>
      <x:c r="C6" s="6" t="str">
        <x:v>Ед.</x:v>
      </x:c>
      <x:c r="D6" s="28"/>
    </x:row>
    <x:row r="7" ht="32" customHeight="1">
      <x:c r="A7" s="3" t="str">
        <x:v>ksw</x:v>
      </x:c>
      <x:c r="B7" s="9" t="n">
        <x:v>80</x:v>
      </x:c>
      <x:c r="C7" s="3" t="str">
        <x:v>—</x:v>
      </x:c>
      <x:c r="D7" s="29"/>
    </x:row>
    <x:row r="8" ht="32" customHeight="1">
      <x:c r="A8" s="3" t="str">
        <x:v>M+sw</x:v>
      </x:c>
      <x:c r="B8" s="10" t="n">
        <x:f>9.81*'Исходные данные'!$B$8*'Исходные данные'!$B$43/'Изгиб корпуса'!$B$7</x:f>
        <x:v>355924.236294</x:v>
      </x:c>
      <x:c r="C8" s="3" t="str">
        <x:v>кНм</x:v>
      </x:c>
      <x:c r="D8" s="29"/>
    </x:row>
    <x:row r="9" ht="32" customHeight="1">
      <x:c r="A9" s="3" t="str">
        <x:v>M-sw</x:v>
      </x:c>
      <x:c r="B9" s="10" t="n">
        <x:f>-0.75*'Изгиб корпуса'!$B$8</x:f>
        <x:v>-266943.1772205</x:v>
      </x:c>
      <x:c r="C9" s="3" t="str">
        <x:v>кНм</x:v>
      </x:c>
      <x:c r="D9" s="29"/>
    </x:row>
    <x:row r="10" ht="32" customHeight="1">
      <x:c r="A10" s="3" t="str">
        <x:v>M+w</x:v>
      </x:c>
      <x:c r="B10" s="10" t="n">
        <x:f>190*'Нагрузки'!$B$6*'Исходные данные'!$B$9*'Исходные данные'!$B$8^2*'Исходные данные'!$B$12*10^-3</x:f>
        <x:v>542619.4817661318</x:v>
      </x:c>
      <x:c r="C10" s="3" t="str">
        <x:v>кНм</x:v>
      </x:c>
      <x:c r="D10" s="29"/>
    </x:row>
    <x:row r="11" ht="32" customHeight="1">
      <x:c r="A11" s="3" t="str">
        <x:v>M-w</x:v>
      </x:c>
      <x:c r="B11" s="10" t="n">
        <x:f>-110*'Нагрузки'!$B$6*'Исходные данные'!$B$9*'Исходные данные'!$B$8^2*('Исходные данные'!$B$12+0.7)*10^-3</x:f>
        <x:v>-589027.7269171824</x:v>
      </x:c>
      <x:c r="C11" s="3" t="str">
        <x:v>кНм</x:v>
      </x:c>
      <x:c r="D11" s="29"/>
    </x:row>
    <x:row r="12" ht="32" customHeight="1">
      <x:c r="A12" s="3" t="str">
        <x:v>M+T</x:v>
      </x:c>
      <x:c r="B12" s="10" t="n">
        <x:f>'Изгиб корпуса'!$B$8+'Изгиб корпуса'!$B$10</x:f>
        <x:v>898543.7180601319</x:v>
      </x:c>
      <x:c r="C12" s="3" t="str">
        <x:v>кНм</x:v>
      </x:c>
      <x:c r="D12" s="29"/>
    </x:row>
    <x:row r="13" ht="32" customHeight="1">
      <x:c r="A13" s="3" t="str">
        <x:v>M-T</x:v>
      </x:c>
      <x:c r="B13" s="10" t="n">
        <x:f>'Изгиб корпуса'!$B$9+'Изгиб корпуса'!$B$11</x:f>
        <x:v>-855970.9041376824</x:v>
      </x:c>
      <x:c r="C13" s="3" t="str">
        <x:v>кНм</x:v>
      </x:c>
      <x:c r="D13" s="29"/>
    </x:row>
    <x:row r="14" ht="32" customHeight="1">
      <x:c r="A14" s="3"/>
      <x:c r="B14" s="3"/>
      <x:c r="C14" s="3"/>
      <x:c r="D14" s="29"/>
    </x:row>
    <x:row r="15" ht="32" customHeight="1">
      <x:c r="A15" s="3" t="str">
        <x:v>Требуемые характеристики</x:v>
      </x:c>
      <x:c r="B15" s="3"/>
      <x:c r="C15" s="3"/>
      <x:c r="D15" s="29"/>
    </x:row>
    <x:row r="16" ht="32" customHeight="1">
      <x:c r="A16" s="3" t="str">
        <x:v>MT, наибольший модуль</x:v>
      </x:c>
      <x:c r="B16" s="17" t="n">
        <x:f>MAX(ABS('Изгиб корпуса'!$B$12),ABS('Изгиб корпуса'!$B$13))</x:f>
        <x:v>898543.7180601319</x:v>
      </x:c>
      <x:c r="C16" s="3" t="str">
        <x:v>кНм</x:v>
      </x:c>
      <x:c r="D16" s="29"/>
    </x:row>
    <x:row r="17" ht="32" customHeight="1">
      <x:c r="A17" s="3" t="str">
        <x:v>η палубы</x:v>
      </x:c>
      <x:c r="B17" s="17" t="n">
        <x:f>'Исходные данные'!$B$34</x:f>
        <x:v>1</x:v>
      </x:c>
      <x:c r="C17" s="3" t="str">
        <x:v>—</x:v>
      </x:c>
      <x:c r="D17" s="29"/>
    </x:row>
    <x:row r="18" ht="32" customHeight="1">
      <x:c r="A18" s="3" t="str">
        <x:v>Допускаемое напряжение палубы</x:v>
      </x:c>
      <x:c r="B18" s="17" t="n">
        <x:f>175/'Изгиб корпуса'!$B$17</x:f>
        <x:v>175</x:v>
      </x:c>
      <x:c r="C18" s="3" t="str">
        <x:v>МПа</x:v>
      </x:c>
      <x:c r="D18" s="29"/>
    </x:row>
    <x:row r="19" ht="32" customHeight="1">
      <x:c r="A19" s="3" t="str">
        <x:v>WD по изгибающему моменту</x:v>
      </x:c>
      <x:c r="B19" s="17" t="n">
        <x:f>'Изгиб корпуса'!$B$16/'Изгиб корпуса'!$B$18*1000</x:f>
        <x:v>5134535.531772182</x:v>
      </x:c>
      <x:c r="C19" s="3" t="str">
        <x:v>см³</x:v>
      </x:c>
      <x:c r="D19" s="29"/>
    </x:row>
    <x:row r="20" ht="32" customHeight="1">
      <x:c r="A20" s="3" t="str">
        <x:v>WD минимум</x:v>
      </x:c>
      <x:c r="B20" s="17" t="n">
        <x:f>'Нагрузки'!$B$6*'Исходные данные'!$B$9*'Исходные данные'!$B$8^2*('Исходные данные'!$B$12+0.7)*'Изгиб корпуса'!$B$17</x:f>
        <x:v>5354797.517428932</x:v>
      </x:c>
      <x:c r="C20" s="3" t="str">
        <x:v>см³</x:v>
      </x:c>
      <x:c r="D20" s="29"/>
    </x:row>
    <x:row r="21" ht="32" customHeight="1">
      <x:c r="A21" s="3" t="str">
        <x:v>WD требуемый</x:v>
      </x:c>
      <x:c r="B21" s="17" t="n">
        <x:f>MAX('Изгиб корпуса'!$B$19:$B$20)</x:f>
        <x:v>5354797.517428932</x:v>
      </x:c>
      <x:c r="C21" s="3" t="str">
        <x:v>см³</x:v>
      </x:c>
      <x:c r="D21" s="29"/>
    </x:row>
    <x:row r="22" ht="32" customHeight="1">
      <x:c r="A22" s="3"/>
      <x:c r="B22" s="3"/>
      <x:c r="C22" s="3"/>
      <x:c r="D22" s="29"/>
    </x:row>
    <x:row r="23" ht="32" customHeight="1">
      <x:c r="A23" s="3" t="str">
        <x:v>η днища</x:v>
      </x:c>
      <x:c r="B23" s="17" t="n">
        <x:f>'Исходные данные'!$B$34</x:f>
        <x:v>1</x:v>
      </x:c>
      <x:c r="C23" s="3" t="str">
        <x:v>—</x:v>
      </x:c>
      <x:c r="D23" s="29"/>
    </x:row>
    <x:row r="24" ht="32" customHeight="1">
      <x:c r="A24" s="3" t="str">
        <x:v>Допускаемое напряжение днища</x:v>
      </x:c>
      <x:c r="B24" s="17" t="n">
        <x:f>175/'Изгиб корпуса'!$B$23</x:f>
        <x:v>175</x:v>
      </x:c>
      <x:c r="C24" s="3" t="str">
        <x:v>МПа</x:v>
      </x:c>
      <x:c r="D24" s="29"/>
    </x:row>
    <x:row r="25" ht="32" customHeight="1">
      <x:c r="A25" s="3" t="str">
        <x:v>WB по изгибающему моменту</x:v>
      </x:c>
      <x:c r="B25" s="17" t="n">
        <x:f>'Изгиб корпуса'!$B$16/'Изгиб корпуса'!$B$24*1000</x:f>
        <x:v>5134535.531772182</x:v>
      </x:c>
      <x:c r="C25" s="3" t="str">
        <x:v>см³</x:v>
      </x:c>
      <x:c r="D25" s="29"/>
    </x:row>
    <x:row r="26" ht="32" customHeight="1">
      <x:c r="A26" s="3" t="str">
        <x:v>WB минимум</x:v>
      </x:c>
      <x:c r="B26" s="17" t="n">
        <x:f>'Нагрузки'!$B$6*'Исходные данные'!$B$9*'Исходные данные'!$B$8^2*('Исходные данные'!$B$12+0.7)*'Изгиб корпуса'!$B$23</x:f>
        <x:v>5354797.517428932</x:v>
      </x:c>
      <x:c r="C26" s="3" t="str">
        <x:v>см³</x:v>
      </x:c>
      <x:c r="D26" s="29"/>
    </x:row>
    <x:row r="27" ht="32" customHeight="1">
      <x:c r="A27" s="3" t="str">
        <x:v>WB требуемый</x:v>
      </x:c>
      <x:c r="B27" s="17" t="n">
        <x:f>MAX('Изгиб корпуса'!$B$25:$B$26)</x:f>
        <x:v>5354797.517428932</x:v>
      </x:c>
      <x:c r="C27" s="3" t="str">
        <x:v>см³</x:v>
      </x:c>
      <x:c r="D27" s="29"/>
    </x:row>
    <x:row r="28" ht="32" customHeight="1">
      <x:c r="A28" s="3"/>
      <x:c r="B28" s="3"/>
      <x:c r="C28" s="3"/>
      <x:c r="D28" s="29"/>
    </x:row>
    <x:row r="29" ht="32" customHeight="1">
      <x:c r="A29" s="3" t="str">
        <x:v>I минимум</x:v>
      </x:c>
      <x:c r="B29" s="18" t="n">
        <x:f>'Нагрузки'!$B$6*'Исходные данные'!$B$9*'Исходные данные'!$B$8^3*('Исходные данные'!$B$12+0.7)</x:f>
        <x:v>706833272.300619</x:v>
      </x:c>
      <x:c r="C29" s="3" t="str">
        <x:v>см⁴</x:v>
      </x:c>
      <x:c r="D29" s="29"/>
    </x:row>
    <x:row r="30" ht="32" customHeight="1">
      <x:c r="A30" s="3"/>
      <x:c r="B30" s="3"/>
      <x:c r="C30" s="3"/>
      <x:c r="D30" s="29"/>
    </x:row>
    <x:row r="31" ht="32" customHeight="1">
      <x:c r="A31" s="3" t="str">
        <x:v>Расчётное сечение</x:v>
      </x:c>
      <x:c r="B31" s="3"/>
      <x:c r="C31" s="3"/>
      <x:c r="D31" s="29"/>
    </x:row>
    <x:row r="32" ht="32" customHeight="1">
      <x:c r="A32" s="3" t="str">
        <x:v>Суммарная площадь</x:v>
      </x:c>
      <x:c r="B32" s="17" t="n">
        <x:f>'Эквивалентный брус'!D114+SUM('Дополнительные связи'!F22:F25)</x:f>
        <x:v>23758.12992519544</x:v>
      </x:c>
      <x:c r="C32" s="3" t="str">
        <x:v>см²</x:v>
      </x:c>
      <x:c r="D32" s="29"/>
    </x:row>
    <x:row r="33" ht="32" customHeight="1">
      <x:c r="A33" s="3" t="str">
        <x:v>Высота нейтральной оси</x:v>
      </x:c>
      <x:c r="B33" s="17" t="n">
        <x:f>('Эквивалентный брус'!E114+SUM('Дополнительные связи'!B29:B32))/'Изгиб корпуса'!B32</x:f>
        <x:v>566.9969614475045</x:v>
      </x:c>
      <x:c r="C33" s="3" t="str">
        <x:v>см</x:v>
      </x:c>
      <x:c r="D33" s="29"/>
    </x:row>
    <x:row r="34" ht="32" customHeight="1">
      <x:c r="A34" s="3" t="str">
        <x:v>I расчётного сечения</x:v>
      </x:c>
      <x:c r="B34" s="18" t="n">
        <x:f>'Эквивалентный брус'!F114+'Эквивалентный брус'!B168+SUM('Дополнительные связи'!C29:D32)-'Изгиб корпуса'!B32*'Изгиб корпуса'!B33^2</x:f>
        <x:v>6614531700.238431</x:v>
      </x:c>
      <x:c r="C34" s="3" t="str">
        <x:v>см⁴</x:v>
      </x:c>
      <x:c r="D34" s="29"/>
    </x:row>
    <x:row r="35" ht="32" customHeight="1">
      <x:c r="A35" s="3" t="str">
        <x:v>WB</x:v>
      </x:c>
      <x:c r="B35" s="18" t="n">
        <x:f>'Изгиб корпуса'!$B$34/'Изгиб корпуса'!$B$33</x:f>
        <x:v>11665903.258726437</x:v>
      </x:c>
      <x:c r="C35" s="3" t="str">
        <x:v>см³</x:v>
      </x:c>
      <x:c r="D35" s="29"/>
    </x:row>
    <x:row r="36" ht="32" customHeight="1">
      <x:c r="A36" s="3" t="str">
        <x:v>WD по верхней точке</x:v>
      </x:c>
      <x:c r="B36" s="17" t="n">
        <x:f>'Изгиб корпуса'!$B$34/(('Исходные данные'!$B$10+'Исходные данные'!$B$17)*100-'Изгиб корпуса'!$B$33)</x:f>
        <x:v>7425358.259876023</x:v>
      </x:c>
      <x:c r="C36" s="3" t="str">
        <x:v>см³</x:v>
      </x:c>
      <x:c r="D36" s="29"/>
    </x:row>
    <x:row r="37" ht="32" customHeight="1">
      <x:c r="A37" s="3" t="str">
        <x:v>I / I минимум</x:v>
      </x:c>
      <x:c r="B37" s="17" t="n">
        <x:f>'Изгиб корпуса'!$B$34/'Изгиб корпуса'!$B$29</x:f>
        <x:v>9.357980105703406</x:v>
      </x:c>
      <x:c r="C37" s="3" t="str">
        <x:v>—</x:v>
      </x:c>
      <x:c r="D37" s="29"/>
    </x:row>
    <x:row r="38" ht="32" customHeight="1">
      <x:c r="A38" s="3" t="str">
        <x:v>WB / WB требуемый</x:v>
      </x:c>
      <x:c r="B38" s="17" t="n">
        <x:f>'Изгиб корпуса'!$B$35/'Изгиб корпуса'!$B$27</x:f>
        <x:v>2.1785890541623574</x:v>
      </x:c>
      <x:c r="C38" s="3" t="str">
        <x:v>—</x:v>
      </x:c>
      <x:c r="D38" s="29"/>
    </x:row>
    <x:row r="39" ht="32" customHeight="1">
      <x:c r="A39" s="3" t="str">
        <x:v>WD / WD требуемый</x:v>
      </x:c>
      <x:c r="B39" s="17" t="n">
        <x:f>'Изгиб корпуса'!$B$36/'Изгиб корпуса'!$B$21</x:f>
        <x:v>1.3866739565236177</x:v>
      </x:c>
      <x:c r="C39" s="3" t="str">
        <x:v>—</x:v>
      </x:c>
      <x:c r="D39" s="29"/>
    </x:row>
    <x:row r="40" ht="32" customHeight="1">
      <x:c r="A40" s="3"/>
      <x:c r="B40" s="3"/>
      <x:c r="C40" s="3"/>
      <x:c r="D40" s="29"/>
    </x:row>
    <x:row r="41" ht="32" customHeight="1">
      <x:c r="A41" s="3" t="str">
        <x:v>Итоговая проверка</x:v>
      </x:c>
      <x:c r="B41" s="3" t="str">
        <x:f>IF(AND('Изгиб корпуса'!B37&gt;=1,'Изгиб корпуса'!B38&gt;=1,'Изгиб корпуса'!B39&gt;=1),"Выполнено","Требуется усиление")</x:f>
        <x:v>Выполнено</x:v>
      </x:c>
      <x:c r="C41" s="3" t="str">
        <x:v>—</x:v>
      </x:c>
      <x:c r="D41" s="29"/>
    </x:row>
    <x:row r="42" ht="52" customHeight="1">
      <x:c r="A42" s="3"/>
      <x:c r="B42" s="3"/>
      <x:c r="C42" s="3"/>
      <x:c r="D42" s="29"/>
    </x:row>
    <x:row r="43" ht="32" customHeight="1">
      <x:c r="A43" s="3"/>
      <x:c r="B43" s="3"/>
      <x:c r="C43" s="3"/>
      <x:c r="D43" s="29"/>
    </x:row>
    <x:row r="44" ht="32" customHeight="1">
      <x:c r="A44" s="3"/>
      <x:c r="B44" s="3"/>
      <x:c r="C44" s="3"/>
      <x:c r="D44" s="29"/>
    </x:row>
    <x:row r="45" ht="32" customHeight="1">
      <x:c r="A45" s="3"/>
      <x:c r="B45" s="3"/>
      <x:c r="C45" s="3"/>
      <x:c r="D45" s="3"/>
    </x:row>
  </x:sheetData>
  <x:mergeCells>
    <x:mergeCell ref="A1:D1"/>
    <x:mergeCell ref="A2:D3"/>
    <x:mergeCell ref="A5:D5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42" customHeight="1">
      <x:c r="A1" s="4" t="str">
        <x:v>Эквивалентный брус</x:v>
      </x:c>
      <x:c r="B1" s="3"/>
      <x:c r="C1" s="3"/>
      <x:c r="D1" s="3"/>
      <x:c r="E1" s="3"/>
      <x:c r="F1" s="3"/>
    </x:row>
    <x:row r="2" ht="24" customHeight="1">
      <x:c r="A2" s="7"/>
      <x:c r="B2" s="7"/>
      <x:c r="C2" s="7"/>
      <x:c r="D2" s="7"/>
      <x:c r="E2" s="7"/>
      <x:c r="F2" s="7"/>
    </x:row>
    <x:row r="3" ht="24" customHeight="1">
      <x:c r="A3" s="7"/>
      <x:c r="B3" s="7"/>
      <x:c r="C3" s="7"/>
      <x:c r="D3" s="7"/>
      <x:c r="E3" s="7"/>
      <x:c r="F3" s="7"/>
    </x:row>
    <x:row r="4" ht="32" customHeight="1">
      <x:c r="A4" s="3"/>
      <x:c r="B4" s="3"/>
      <x:c r="C4" s="3"/>
      <x:c r="D4" s="3"/>
      <x:c r="E4" s="3"/>
      <x:c r="F4" s="3"/>
    </x:row>
    <x:row r="5" ht="32" customHeight="1">
      <x:c r="A5" s="3"/>
      <x:c r="B5" s="3"/>
      <x:c r="C5" s="3"/>
      <x:c r="D5" s="3"/>
      <x:c r="E5" s="3"/>
      <x:c r="F5" s="3"/>
    </x:row>
    <x:row r="6" ht="32" customHeight="1">
      <x:c r="A6" s="3"/>
      <x:c r="B6" s="3"/>
      <x:c r="C6" s="3"/>
      <x:c r="D6" s="3"/>
      <x:c r="E6" s="3"/>
      <x:c r="F6" s="3"/>
    </x:row>
    <x:row r="7" ht="32" customHeight="1">
      <x:c r="A7" s="3"/>
      <x:c r="B7" s="3"/>
      <x:c r="C7" s="3"/>
      <x:c r="D7" s="3"/>
      <x:c r="E7" s="3"/>
      <x:c r="F7" s="3"/>
    </x:row>
    <x:row r="8" ht="32" customHeight="1">
      <x:c r="A8" s="3"/>
      <x:c r="B8" s="3"/>
      <x:c r="C8" s="3"/>
      <x:c r="D8" s="3"/>
      <x:c r="E8" s="3"/>
      <x:c r="F8" s="3"/>
    </x:row>
    <x:row r="9" ht="32" customHeight="1">
      <x:c r="A9" s="3"/>
      <x:c r="B9" s="3"/>
      <x:c r="C9" s="3"/>
      <x:c r="D9" s="3"/>
      <x:c r="E9" s="3"/>
      <x:c r="F9" s="3"/>
    </x:row>
    <x:row r="10" ht="36" customHeight="1">
      <x:c r="A10" s="11" t="str">
        <x:v>1. Геометрия продольных элементов</x:v>
      </x:c>
      <x:c r="B10" s="11"/>
      <x:c r="C10" s="11"/>
      <x:c r="D10" s="11"/>
      <x:c r="E10" s="11"/>
      <x:c r="F10" s="11"/>
    </x:row>
    <x:row r="11" ht="54" customHeight="1">
      <x:c r="A11" s="6" t="str">
        <x:v>Марка</x:v>
      </x:c>
      <x:c r="B11" s="6" t="str">
        <x:v>Продольный элемент</x:v>
      </x:c>
      <x:c r="C11" s="6" t="str">
        <x:v>n</x:v>
      </x:c>
      <x:c r="D11" s="6" t="str">
        <x:v>Длина, мм / HP</x:v>
      </x:c>
      <x:c r="E11" s="6" t="str">
        <x:v>s, мм</x:v>
      </x:c>
      <x:c r="F11" s="6" t="str">
        <x:v>Высота z, см</x:v>
      </x:c>
    </x:row>
    <x:row r="12" ht="32" customHeight="1">
      <x:c r="A12" s="3" t="str">
        <x:v>KL/2</x:v>
      </x:c>
      <x:c r="B12" s="3" t="str">
        <x:v>Половина горизонтального киля</x:v>
      </x:c>
      <x:c r="C12" s="19" t="n">
        <x:v>2</x:v>
      </x:c>
      <x:c r="D12" s="17" t="n">
        <x:f>'Исходные данные'!$B$49*500</x:f>
        <x:v>730</x:v>
      </x:c>
      <x:c r="E12" s="17" t="n">
        <x:f>'Листы'!$D$74</x:f>
        <x:v>17</x:v>
      </x:c>
      <x:c r="F12" s="17" t="n">
        <x:f>0</x:f>
        <x:v>0</x:v>
      </x:c>
    </x:row>
    <x:row r="13" ht="32" customHeight="1">
      <x:c r="A13" s="3" t="str">
        <x:v>A</x:v>
      </x:c>
      <x:c r="B13" s="3" t="str">
        <x:v>Плоское днище — A</x:v>
      </x:c>
      <x:c r="C13" s="19" t="n">
        <x:v>2</x:v>
      </x:c>
      <x:c r="D13" s="17" t="n">
        <x:v>1800</x:v>
      </x:c>
      <x:c r="E13" s="17" t="n">
        <x:f>'Листы'!$D$75</x:f>
        <x:v>15</x:v>
      </x:c>
      <x:c r="F13" s="17" t="n">
        <x:f>0</x:f>
        <x:v>0</x:v>
      </x:c>
    </x:row>
    <x:row r="14" ht="32" customHeight="1">
      <x:c r="A14" s="3" t="str">
        <x:v>B</x:v>
      </x:c>
      <x:c r="B14" s="3" t="str">
        <x:v>Плоское днище — B</x:v>
      </x:c>
      <x:c r="C14" s="19" t="n">
        <x:v>2</x:v>
      </x:c>
      <x:c r="D14" s="17" t="n">
        <x:v>1800</x:v>
      </x:c>
      <x:c r="E14" s="17" t="n">
        <x:f>'Листы'!$D$76</x:f>
        <x:v>15</x:v>
      </x:c>
      <x:c r="F14" s="17" t="n">
        <x:f>0</x:f>
        <x:v>0</x:v>
      </x:c>
    </x:row>
    <x:row r="15" ht="32" customHeight="1">
      <x:c r="A15" s="3" t="str">
        <x:v>C</x:v>
      </x:c>
      <x:c r="B15" s="3" t="str">
        <x:v>Плоское днище — C</x:v>
      </x:c>
      <x:c r="C15" s="19" t="n">
        <x:v>2</x:v>
      </x:c>
      <x:c r="D15" s="17" t="n">
        <x:v>1800</x:v>
      </x:c>
      <x:c r="E15" s="17" t="n">
        <x:f>'Листы'!$D$77</x:f>
        <x:v>15</x:v>
      </x:c>
      <x:c r="F15" s="17" t="n">
        <x:f>0</x:f>
        <x:v>0</x:v>
      </x:c>
    </x:row>
    <x:row r="16" ht="32" customHeight="1">
      <x:c r="A16" s="3" t="str">
        <x:v>D</x:v>
      </x:c>
      <x:c r="B16" s="3" t="str">
        <x:v>Плоское днище — D</x:v>
      </x:c>
      <x:c r="C16" s="19" t="n">
        <x:v>2</x:v>
      </x:c>
      <x:c r="D16" s="17" t="n">
        <x:v>1800</x:v>
      </x:c>
      <x:c r="E16" s="17" t="n">
        <x:f>'Листы'!$D$78</x:f>
        <x:v>15</x:v>
      </x:c>
      <x:c r="F16" s="17" t="n">
        <x:f>0</x:f>
        <x:v>0</x:v>
      </x:c>
    </x:row>
    <x:row r="17" ht="32" customHeight="1">
      <x:c r="A17" s="3" t="str">
        <x:v>E</x:v>
      </x:c>
      <x:c r="B17" s="3" t="str">
        <x:v>Плоское днище — E</x:v>
      </x:c>
      <x:c r="C17" s="19" t="n">
        <x:v>2</x:v>
      </x:c>
      <x:c r="D17" s="17" t="n">
        <x:v>1800</x:v>
      </x:c>
      <x:c r="E17" s="17" t="n">
        <x:f>'Листы'!$D$79</x:f>
        <x:v>15</x:v>
      </x:c>
      <x:c r="F17" s="17" t="n">
        <x:f>0</x:f>
        <x:v>0</x:v>
      </x:c>
    </x:row>
    <x:row r="18" ht="32" customHeight="1">
      <x:c r="A18" s="3" t="str">
        <x:v>F₁</x:v>
      </x:c>
      <x:c r="B18" s="3" t="str">
        <x:v>Пояс F — плоская часть</x:v>
      </x:c>
      <x:c r="C18" s="19" t="n">
        <x:v>2</x:v>
      </x:c>
      <x:c r="D18" s="17" t="n">
        <x:f>('Исходные данные'!$B$9/2-'Исходные данные'!$B$16)*1000-SUM('Эквивалентный брус'!$D$12:$D$17)</x:f>
        <x:v>819.9999999999982</x:v>
      </x:c>
      <x:c r="E18" s="17" t="n">
        <x:f>'Листы'!$D$80</x:f>
        <x:v>15</x:v>
      </x:c>
      <x:c r="F18" s="17" t="n">
        <x:f>0</x:f>
        <x:v>0</x:v>
      </x:c>
    </x:row>
    <x:row r="19" ht="32" customHeight="1">
      <x:c r="A19" s="3" t="str">
        <x:v>F₂</x:v>
      </x:c>
      <x:c r="B19" s="3" t="str">
        <x:v>Пояс F — скуловая дуга</x:v>
      </x:c>
      <x:c r="C19" s="19" t="n">
        <x:v>2</x:v>
      </x:c>
      <x:c r="D19" s="17" t="n">
        <x:f>2000-'Эквивалентный брус'!$D$18</x:f>
        <x:v>1180.0000000000018</x:v>
      </x:c>
      <x:c r="E19" s="17" t="n">
        <x:f>'Листы'!$D$80</x:f>
        <x:v>15</x:v>
      </x:c>
      <x:c r="F19" s="17" t="n">
        <x:f>('Исходные данные'!$B$16*100)*(1-SIN(('Эквивалентный брус'!$D$19/('Исходные данные'!$B$16*1000)))/('Эквивалентный брус'!$D$19/('Исходные данные'!$B$16*1000)))</x:f>
        <x:v>15.997258920232317</x:v>
      </x:c>
    </x:row>
    <x:row r="20" ht="32" customHeight="1">
      <x:c r="A20" s="3" t="str">
        <x:v>G₁</x:v>
      </x:c>
      <x:c r="B20" s="3" t="str">
        <x:v>Пояс G — скуловая дуга</x:v>
      </x:c>
      <x:c r="C20" s="19" t="n">
        <x:v>2</x:v>
      </x:c>
      <x:c r="D20" s="17" t="n">
        <x:f>'Исходные данные'!$B$16*1000*PI()/2-'Эквивалентный брус'!$D$19</x:f>
        <x:v>1019.1148575128532</x:v>
      </x:c>
      <x:c r="E20" s="17" t="n">
        <x:f>'Листы'!$D$81</x:f>
        <x:v>15</x:v>
      </x:c>
      <x:c r="F20" s="17" t="n">
        <x:f>('Исходные данные'!$B$16*100)*(1-((1-SIN(('Эквивалентный брус'!$D$19/('Исходные данные'!$B$16*1000))))/(PI()/2-('Эквивалентный брус'!$D$19/('Исходные данные'!$B$16*1000)))))</x:f>
        <x:v>91.25498842484754</x:v>
      </x:c>
    </x:row>
    <x:row r="21" ht="32" customHeight="1">
      <x:c r="A21" s="3" t="str">
        <x:v>G₂</x:v>
      </x:c>
      <x:c r="B21" s="3" t="str">
        <x:v>Пояс G — вертикальная часть</x:v>
      </x:c>
      <x:c r="C21" s="19" t="n">
        <x:v>2</x:v>
      </x:c>
      <x:c r="D21" s="17" t="n">
        <x:f>2000-'Эквивалентный брус'!$D$20</x:f>
        <x:v>980.8851424871468</x:v>
      </x:c>
      <x:c r="E21" s="17" t="n">
        <x:f>'Листы'!$D$81</x:f>
        <x:v>15</x:v>
      </x:c>
      <x:c r="F21" s="17" t="n">
        <x:f>('Исходные данные'!$B$16*100)+'Эквивалентный брус'!$D$21/20</x:f>
        <x:v>189.04425712435733</x:v>
      </x:c>
    </x:row>
    <x:row r="22" ht="32" customHeight="1">
      <x:c r="A22" s="3" t="str">
        <x:v>H</x:v>
      </x:c>
      <x:c r="B22" s="3" t="str">
        <x:v>Борт — H</x:v>
      </x:c>
      <x:c r="C22" s="19" t="n">
        <x:v>2</x:v>
      </x:c>
      <x:c r="D22" s="17" t="n">
        <x:v>1600</x:v>
      </x:c>
      <x:c r="E22" s="17" t="n">
        <x:f>'Листы'!$D$82</x:f>
        <x:v>16</x:v>
      </x:c>
      <x:c r="F22" s="17" t="n">
        <x:f>'Эквивалентный брус'!$F$21+('Эквивалентный брус'!$D$21+'Эквивалентный брус'!$D$22)/20</x:f>
        <x:v>318.08851424871466</x:v>
      </x:c>
    </x:row>
    <x:row r="23" ht="32" customHeight="1">
      <x:c r="A23" s="3" t="str">
        <x:v>I</x:v>
      </x:c>
      <x:c r="B23" s="3" t="str">
        <x:v>Борт — I</x:v>
      </x:c>
      <x:c r="C23" s="19" t="n">
        <x:v>2</x:v>
      </x:c>
      <x:c r="D23" s="17" t="n">
        <x:v>1600</x:v>
      </x:c>
      <x:c r="E23" s="17" t="n">
        <x:f>'Листы'!$D$83</x:f>
        <x:v>15</x:v>
      </x:c>
      <x:c r="F23" s="17" t="n">
        <x:f>'Эквивалентный брус'!$F$22+('Эквивалентный брус'!$D$22+'Эквивалентный брус'!$D$23)/20</x:f>
        <x:v>478.08851424871466</x:v>
      </x:c>
    </x:row>
    <x:row r="24" ht="32" customHeight="1">
      <x:c r="A24" s="3" t="str">
        <x:v>J</x:v>
      </x:c>
      <x:c r="B24" s="3" t="str">
        <x:v>Борт — J</x:v>
      </x:c>
      <x:c r="C24" s="19" t="n">
        <x:v>2</x:v>
      </x:c>
      <x:c r="D24" s="17" t="n">
        <x:v>1600</x:v>
      </x:c>
      <x:c r="E24" s="17" t="n">
        <x:f>'Листы'!$D$84</x:f>
        <x:v>15</x:v>
      </x:c>
      <x:c r="F24" s="17" t="n">
        <x:f>'Эквивалентный брус'!$F$23+('Эквивалентный брус'!$D$23+'Эквивалентный брус'!$D$24)/20</x:f>
        <x:v>638.0885142487147</x:v>
      </x:c>
    </x:row>
    <x:row r="25" ht="32" customHeight="1">
      <x:c r="A25" s="3" t="str">
        <x:v>K</x:v>
      </x:c>
      <x:c r="B25" s="3" t="str">
        <x:v>Борт — K</x:v>
      </x:c>
      <x:c r="C25" s="19" t="n">
        <x:v>2</x:v>
      </x:c>
      <x:c r="D25" s="17" t="n">
        <x:v>1600</x:v>
      </x:c>
      <x:c r="E25" s="17" t="n">
        <x:f>'Листы'!$D$85</x:f>
        <x:v>14</x:v>
      </x:c>
      <x:c r="F25" s="17" t="n">
        <x:f>'Эквивалентный брус'!$F$24+('Эквивалентный брус'!$D$24+'Эквивалентный брус'!$D$25)/20</x:f>
        <x:v>798.0885142487147</x:v>
      </x:c>
    </x:row>
    <x:row r="26" ht="32" customHeight="1">
      <x:c r="A26" s="3" t="str">
        <x:v>L</x:v>
      </x:c>
      <x:c r="B26" s="3" t="str">
        <x:v>Борт — L</x:v>
      </x:c>
      <x:c r="C26" s="19" t="n">
        <x:v>2</x:v>
      </x:c>
      <x:c r="D26" s="17" t="n">
        <x:v>1600</x:v>
      </x:c>
      <x:c r="E26" s="17" t="n">
        <x:f>'Листы'!$D$86</x:f>
        <x:v>13</x:v>
      </x:c>
      <x:c r="F26" s="17" t="n">
        <x:f>'Эквивалентный брус'!$F$25+('Эквивалентный брус'!$D$25+'Эквивалентный брус'!$D$26)/20</x:f>
        <x:v>958.0885142487147</x:v>
      </x:c>
    </x:row>
    <x:row r="27" ht="32" customHeight="1">
      <x:c r="A27" s="3" t="str">
        <x:v>M</x:v>
      </x:c>
      <x:c r="B27" s="3" t="str">
        <x:v>Борт — M</x:v>
      </x:c>
      <x:c r="C27" s="19" t="n">
        <x:v>2</x:v>
      </x:c>
      <x:c r="D27" s="17" t="n">
        <x:f>('Исходные данные'!$B$10*1000-'Исходные данные'!$B$49*1000-('Эквивалентный брус'!$F$26*10+'Эквивалентный брус'!$D$26/2))/2</x:f>
        <x:v>1129.5574287564268</x:v>
      </x:c>
      <x:c r="E27" s="17" t="n">
        <x:f>'Листы'!$D$87</x:f>
        <x:v>12</x:v>
      </x:c>
      <x:c r="F27" s="17" t="n">
        <x:f>'Эквивалентный брус'!$F$26+('Эквивалентный брус'!$D$26+'Эквивалентный брус'!$D$27)/20</x:f>
        <x:v>1094.566385686536</x:v>
      </x:c>
    </x:row>
    <x:row r="28" ht="32" customHeight="1">
      <x:c r="A28" s="3" t="str">
        <x:v>N</x:v>
      </x:c>
      <x:c r="B28" s="3" t="str">
        <x:v>Борт — N</x:v>
      </x:c>
      <x:c r="C28" s="19" t="n">
        <x:v>2</x:v>
      </x:c>
      <x:c r="D28" s="17" t="n">
        <x:f>'Эквивалентный брус'!$D$27</x:f>
        <x:v>1129.5574287564268</x:v>
      </x:c>
      <x:c r="E28" s="17" t="n">
        <x:f>'Листы'!$D$88</x:f>
        <x:v>12</x:v>
      </x:c>
      <x:c r="F28" s="17" t="n">
        <x:f>'Эквивалентный брус'!$F$27+('Эквивалентный брус'!$D$27+'Эквивалентный брус'!$D$28)/20</x:f>
        <x:v>1207.5221285621788</x:v>
      </x:c>
    </x:row>
    <x:row r="29" ht="32" customHeight="1">
      <x:c r="A29" s="3" t="str">
        <x:v>SH</x:v>
      </x:c>
      <x:c r="B29" s="3" t="str">
        <x:v>Ширстрек</x:v>
      </x:c>
      <x:c r="C29" s="19" t="n">
        <x:v>2</x:v>
      </x:c>
      <x:c r="D29" s="17" t="n">
        <x:f>'Исходные данные'!$B$49*1000</x:f>
        <x:v>1460</x:v>
      </x:c>
      <x:c r="E29" s="17" t="n">
        <x:f>'Листы'!$D$89</x:f>
        <x:v>11</x:v>
      </x:c>
      <x:c r="F29" s="17" t="n">
        <x:f>'Эквивалентный брус'!$F$28+('Эквивалентный брус'!$D$28+'Эквивалентный брус'!$D$29)/20</x:f>
        <x:v>1337</x:v>
      </x:c>
    </x:row>
    <x:row r="30" ht="32" customHeight="1">
      <x:c r="A30" s="3" t="str">
        <x:v>IM</x:v>
      </x:c>
      <x:c r="B30" s="3" t="str">
        <x:v>Крайний лист второго дна</x:v>
      </x:c>
      <x:c r="C30" s="19" t="n">
        <x:v>2</x:v>
      </x:c>
      <x:c r="D30" s="17" t="n">
        <x:f>'Исходные данные'!$B$15*1000</x:f>
        <x:v>2000</x:v>
      </x:c>
      <x:c r="E30" s="17" t="n">
        <x:f>'Листы'!$D$91</x:f>
        <x:v>15</x:v>
      </x:c>
      <x:c r="F30" s="17" t="n">
        <x:f>'Исходные данные'!$B$14*100</x:f>
        <x:v>180</x:v>
      </x:c>
    </x:row>
    <x:row r="31" ht="52" customHeight="1">
      <x:c r="A31" s="3" t="str">
        <x:v>IB</x:v>
      </x:c>
      <x:c r="B31" s="3" t="str">
        <x:v>Настил второго дна в грузовом танке</x:v>
      </x:c>
      <x:c r="C31" s="19" t="n">
        <x:v>2</x:v>
      </x:c>
      <x:c r="D31" s="17" t="n">
        <x:f>('Исходные данные'!$B$9/2-'Исходные данные'!$B$15)*1000</x:f>
        <x:v>9950</x:v>
      </x:c>
      <x:c r="E31" s="17" t="n">
        <x:f>'Листы'!$D$90</x:f>
        <x:v>15</x:v>
      </x:c>
      <x:c r="F31" s="17" t="n">
        <x:f>'Исходные данные'!$B$14*100</x:f>
        <x:v>180</x:v>
      </x:c>
    </x:row>
    <x:row r="32" ht="32" customHeight="1">
      <x:c r="A32" s="3" t="str">
        <x:v>DK</x:v>
      </x:c>
      <x:c r="B32" s="3" t="str">
        <x:v>Половина верхней палубы</x:v>
      </x:c>
      <x:c r="C32" s="19" t="n">
        <x:v>2</x:v>
      </x:c>
      <x:c r="D32" s="17" t="n">
        <x:f>SQRT(('Исходные данные'!$B$9/2)^2+'Исходные данные'!$B$17^2)*1000</x:f>
        <x:v>11959.556179056144</x:v>
      </x:c>
      <x:c r="E32" s="17" t="n">
        <x:f>'Листы'!$D$92</x:f>
        <x:v>11</x:v>
      </x:c>
      <x:c r="F32" s="17" t="n">
        <x:f>('Исходные данные'!$B$10+'Исходные данные'!$B$17/2)*100</x:f>
        <x:v>1433.9</x:v>
      </x:c>
    </x:row>
    <x:row r="33" ht="32" customHeight="1">
      <x:c r="A33" s="3" t="str">
        <x:v>ISG</x:v>
      </x:c>
      <x:c r="B33" s="3" t="str">
        <x:v>Внутренний борт — ISG</x:v>
      </x:c>
      <x:c r="C33" s="19" t="n">
        <x:v>2</x:v>
      </x:c>
      <x:c r="D33" s="17" t="n">
        <x:v>1700</x:v>
      </x:c>
      <x:c r="E33" s="17" t="n">
        <x:f>'Листы'!$D$93</x:f>
        <x:v>15</x:v>
      </x:c>
      <x:c r="F33" s="17" t="n">
        <x:f>'Исходные данные'!$B$14*100+'Эквивалентный брус'!$D$33/20</x:f>
        <x:v>265</x:v>
      </x:c>
    </x:row>
    <x:row r="34" ht="32" customHeight="1">
      <x:c r="A34" s="3" t="str">
        <x:v>ISF</x:v>
      </x:c>
      <x:c r="B34" s="3" t="str">
        <x:v>Внутренний борт — ISF</x:v>
      </x:c>
      <x:c r="C34" s="19" t="n">
        <x:v>2</x:v>
      </x:c>
      <x:c r="D34" s="17" t="n">
        <x:v>1700</x:v>
      </x:c>
      <x:c r="E34" s="17" t="n">
        <x:f>'Листы'!$D$94</x:f>
        <x:v>14</x:v>
      </x:c>
      <x:c r="F34" s="17" t="n">
        <x:f>'Эквивалентный брус'!$F$33+('Эквивалентный брус'!$D$33+'Эквивалентный брус'!$D$34)/20</x:f>
        <x:v>435</x:v>
      </x:c>
    </x:row>
    <x:row r="35" ht="32" customHeight="1">
      <x:c r="A35" s="3" t="str">
        <x:v>ISE</x:v>
      </x:c>
      <x:c r="B35" s="3" t="str">
        <x:v>Внутренний борт — ISE</x:v>
      </x:c>
      <x:c r="C35" s="19" t="n">
        <x:v>2</x:v>
      </x:c>
      <x:c r="D35" s="17" t="n">
        <x:v>1700</x:v>
      </x:c>
      <x:c r="E35" s="17" t="n">
        <x:f>'Листы'!$D$95</x:f>
        <x:v>14</x:v>
      </x:c>
      <x:c r="F35" s="17" t="n">
        <x:f>'Эквивалентный брус'!$F$34+('Эквивалентный брус'!$D$34+'Эквивалентный брус'!$D$35)/20</x:f>
        <x:v>605</x:v>
      </x:c>
    </x:row>
    <x:row r="36" ht="32" customHeight="1">
      <x:c r="A36" s="3" t="str">
        <x:v>ISD</x:v>
      </x:c>
      <x:c r="B36" s="3" t="str">
        <x:v>Внутренний борт — ISD</x:v>
      </x:c>
      <x:c r="C36" s="19" t="n">
        <x:v>2</x:v>
      </x:c>
      <x:c r="D36" s="17" t="n">
        <x:v>1700</x:v>
      </x:c>
      <x:c r="E36" s="17" t="n">
        <x:f>'Листы'!$D$96</x:f>
        <x:v>13</x:v>
      </x:c>
      <x:c r="F36" s="17" t="n">
        <x:f>'Эквивалентный брус'!$F$35+('Эквивалентный брус'!$D$35+'Эквивалентный брус'!$D$36)/20</x:f>
        <x:v>775</x:v>
      </x:c>
    </x:row>
    <x:row r="37" ht="32" customHeight="1">
      <x:c r="A37" s="3" t="str">
        <x:v>ISC</x:v>
      </x:c>
      <x:c r="B37" s="3" t="str">
        <x:v>Внутренний борт — ISC</x:v>
      </x:c>
      <x:c r="C37" s="19" t="n">
        <x:v>2</x:v>
      </x:c>
      <x:c r="D37" s="17" t="n">
        <x:v>1700</x:v>
      </x:c>
      <x:c r="E37" s="17" t="n">
        <x:f>'Листы'!$D$97</x:f>
        <x:v>12</x:v>
      </x:c>
      <x:c r="F37" s="17" t="n">
        <x:f>'Эквивалентный брус'!$F$36+('Эквивалентный брус'!$D$36+'Эквивалентный брус'!$D$37)/20</x:f>
        <x:v>945</x:v>
      </x:c>
    </x:row>
    <x:row r="38" ht="32" customHeight="1">
      <x:c r="A38" s="3" t="str">
        <x:v>ISB</x:v>
      </x:c>
      <x:c r="B38" s="3" t="str">
        <x:v>Внутренний борт — ISB</x:v>
      </x:c>
      <x:c r="C38" s="19" t="n">
        <x:v>2</x:v>
      </x:c>
      <x:c r="D38" s="17" t="n">
        <x:v>1700</x:v>
      </x:c>
      <x:c r="E38" s="17" t="n">
        <x:f>'Листы'!$D$98</x:f>
        <x:v>12</x:v>
      </x:c>
      <x:c r="F38" s="17" t="n">
        <x:f>'Эквивалентный брус'!$F$37+('Эквивалентный брус'!$D$37+'Эквивалентный брус'!$D$38)/20</x:f>
        <x:v>1115</x:v>
      </x:c>
    </x:row>
    <x:row r="39" ht="32" customHeight="1">
      <x:c r="A39" s="3" t="str">
        <x:v>ISA</x:v>
      </x:c>
      <x:c r="B39" s="3" t="str">
        <x:v>Внутренний борт — ISA</x:v>
      </x:c>
      <x:c r="C39" s="19" t="n">
        <x:v>2</x:v>
      </x:c>
      <x:c r="D39" s="17" t="n">
        <x:f>('Исходные данные'!B10+'Исходные данные'!B17*'Исходные данные'!B15/('Исходные данные'!B9/2)-'Исходные данные'!B14)*1000-SUM('Эквивалентный брус'!D33,'Эквивалентный брус'!D34,'Эквивалентный брус'!D35,'Эквивалентный брус'!D36,'Эквивалентный брус'!D37,'Эквивалентный брус'!D38)</x:f>
        <x:v>2179.999999999998</x:v>
      </x:c>
      <x:c r="E39" s="17" t="n">
        <x:f>'Листы'!$D$99</x:f>
        <x:v>12</x:v>
      </x:c>
      <x:c r="F39" s="17" t="n">
        <x:f>'Эквивалентный брус'!$F$38+('Эквивалентный брус'!$D$38+'Эквивалентный брус'!$D$39)/20</x:f>
        <x:v>1309</x:v>
      </x:c>
    </x:row>
    <x:row r="40" ht="32" customHeight="1">
      <x:c r="A40" s="3" t="str">
        <x:v>VK</x:v>
      </x:c>
      <x:c r="B40" s="3" t="str">
        <x:v>Вертикальный киль</x:v>
      </x:c>
      <x:c r="C40" s="19" t="n">
        <x:v>1</x:v>
      </x:c>
      <x:c r="D40" s="17" t="n">
        <x:f>'Исходные данные'!$B$14*1000</x:f>
        <x:v>1800</x:v>
      </x:c>
      <x:c r="E40" s="17" t="n">
        <x:f>'Флоры и киль'!$C$20</x:f>
        <x:v>14</x:v>
      </x:c>
      <x:c r="F40" s="17" t="n">
        <x:f>'Исходные данные'!$B$14*50</x:f>
        <x:v>90</x:v>
      </x:c>
    </x:row>
    <x:row r="41" ht="32" customHeight="1">
      <x:c r="A41" s="3" t="str">
        <x:v>ST</x:v>
      </x:c>
      <x:c r="B41" s="3" t="str">
        <x:v>Стрингер под внутренним бортом</x:v>
      </x:c>
      <x:c r="C41" s="19" t="n">
        <x:v>2</x:v>
      </x:c>
      <x:c r="D41" s="17" t="n">
        <x:f>'Исходные данные'!$B$14*1000</x:f>
        <x:v>1800</x:v>
      </x:c>
      <x:c r="E41" s="17" t="n">
        <x:f>'Флоры и киль'!$C$21</x:f>
        <x:v>14</x:v>
      </x:c>
      <x:c r="F41" s="17" t="n">
        <x:f>'Исходные данные'!$B$14*50</x:f>
        <x:v>90</x:v>
      </x:c>
    </x:row>
    <x:row r="42" ht="32" customHeight="1">
      <x:c r="A42" s="3" t="str">
        <x:v>B-L</x:v>
      </x:c>
      <x:c r="B42" s="3" t="str">
        <x:v>Продольные балки днища</x:v>
      </x:c>
      <x:c r="C42" s="19" t="n">
        <x:v>28</x:v>
      </x:c>
      <x:c r="D42" s="3" t="str">
        <x:f>'Балки'!B63</x:f>
        <x:v>HP 260x12</x:v>
      </x:c>
      <x:c r="E42" s="17" t="n">
        <x:f>'HP DIN1019'!C21</x:f>
        <x:v>12</x:v>
      </x:c>
      <x:c r="F42" s="17" t="n">
        <x:f>'HP DIN1019'!C52</x:f>
        <x:v>15.8</x:v>
      </x:c>
    </x:row>
    <x:row r="43" ht="32" customHeight="1">
      <x:c r="A43" s="3" t="str">
        <x:v>IB-L</x:v>
      </x:c>
      <x:c r="B43" s="3" t="str">
        <x:v>Продольные балки второго дна</x:v>
      </x:c>
      <x:c r="C43" s="19" t="n">
        <x:v>28</x:v>
      </x:c>
      <x:c r="D43" s="3" t="str">
        <x:f>'Балки'!B64</x:f>
        <x:v>HP 260x10</x:v>
      </x:c>
      <x:c r="E43" s="17" t="n">
        <x:f>'HP DIN1019'!C19</x:f>
        <x:v>10</x:v>
      </x:c>
      <x:c r="F43" s="17" t="n">
        <x:f>'Исходные данные'!B14*100-'HP DIN1019'!C50</x:f>
        <x:v>163.8</x:v>
      </x:c>
    </x:row>
    <x:row r="44" ht="52" customHeight="1">
      <x:c r="A44" s="3" t="str">
        <x:v>DW1</x:v>
      </x:c>
      <x:c r="B44" s="3" t="str">
        <x:v>Палуба над двойным бортом — пара 1</x:v>
      </x:c>
      <x:c r="C44" s="19" t="n">
        <x:v>2</x:v>
      </x:c>
      <x:c r="D44" s="3" t="str">
        <x:f>'Балки'!B74</x:f>
        <x:v>HP 180x10</x:v>
      </x:c>
      <x:c r="E44" s="17" t="n">
        <x:f>'HP DIN1019'!C11</x:f>
        <x:v>10</x:v>
      </x:c>
      <x:c r="F44" s="17" t="n">
        <x:f>('Исходные данные'!B10+'Исходные данные'!B17*(('Исходные данные'!B15-'Исходные данные'!B22)/2)/('Исходные данные'!B9/2))*100-'HP DIN1019'!C42</x:f>
        <x:v>1402</x:v>
      </x:c>
    </x:row>
    <x:row r="45" ht="52" customHeight="1">
      <x:c r="A45" s="3" t="str">
        <x:v>DW2</x:v>
      </x:c>
      <x:c r="B45" s="3" t="str">
        <x:v>Палуба над двойным бортом — пара 2</x:v>
      </x:c>
      <x:c r="C45" s="19" t="n">
        <x:v>2</x:v>
      </x:c>
      <x:c r="D45" s="3" t="str">
        <x:f>'Балки'!B74</x:f>
        <x:v>HP 180x10</x:v>
      </x:c>
      <x:c r="E45" s="17" t="n">
        <x:f>'HP DIN1019'!C11</x:f>
        <x:v>10</x:v>
      </x:c>
      <x:c r="F45" s="17" t="n">
        <x:f>('Исходные данные'!B10+'Исходные данные'!B17*(('Исходные данные'!B15+'Исходные данные'!B22)/2)/('Исходные данные'!B9/2))*100-'HP DIN1019'!C42</x:f>
        <x:v>1404.8000000000002</x:v>
      </x:c>
    </x:row>
    <x:row r="46" ht="52" customHeight="1">
      <x:c r="A46" s="3" t="str">
        <x:v>DL1</x:v>
      </x:c>
      <x:c r="B46" s="3" t="str">
        <x:v>Палуба над грузовым танком — пара 1</x:v>
      </x:c>
      <x:c r="C46" s="19" t="n">
        <x:v>2</x:v>
      </x:c>
      <x:c r="D46" s="3" t="str">
        <x:f>'Балки'!B73</x:f>
        <x:v>HP 180x10</x:v>
      </x:c>
      <x:c r="E46" s="17" t="n">
        <x:f>'HP DIN1019'!C11</x:f>
        <x:v>10</x:v>
      </x:c>
      <x:c r="F46" s="17" t="n">
        <x:f>('Исходные данные'!B10+'Исходные данные'!B17*('Исходные данные'!B15+('Исходные данные'!B22*1-0.05*0))/('Исходные данные'!B9/2))*100-'HP DIN1019'!C42</x:f>
        <x:v>1410.2</x:v>
      </x:c>
    </x:row>
    <x:row r="47" ht="52" customHeight="1">
      <x:c r="A47" s="3" t="str">
        <x:v>DL2</x:v>
      </x:c>
      <x:c r="B47" s="3" t="str">
        <x:v>Палуба над грузовым танком — пара 2</x:v>
      </x:c>
      <x:c r="C47" s="19" t="n">
        <x:v>2</x:v>
      </x:c>
      <x:c r="D47" s="3" t="str">
        <x:f>'Балки'!B73</x:f>
        <x:v>HP 180x10</x:v>
      </x:c>
      <x:c r="E47" s="17" t="n">
        <x:f>'HP DIN1019'!C11</x:f>
        <x:v>10</x:v>
      </x:c>
      <x:c r="F47" s="17" t="n">
        <x:f>('Исходные данные'!B10+'Исходные данные'!B17*('Исходные данные'!B15+('Исходные данные'!B22*2-0.05*0))/('Исходные данные'!B9/2))*100-'HP DIN1019'!C42</x:f>
        <x:v>1413</x:v>
      </x:c>
    </x:row>
    <x:row r="48" ht="52" customHeight="1">
      <x:c r="A48" s="3" t="str">
        <x:v>DL3</x:v>
      </x:c>
      <x:c r="B48" s="3" t="str">
        <x:v>Палуба над грузовым танком — пара 3</x:v>
      </x:c>
      <x:c r="C48" s="19" t="n">
        <x:v>2</x:v>
      </x:c>
      <x:c r="D48" s="3" t="str">
        <x:f>'Балки'!B73</x:f>
        <x:v>HP 180x10</x:v>
      </x:c>
      <x:c r="E48" s="17" t="n">
        <x:f>'HP DIN1019'!C11</x:f>
        <x:v>10</x:v>
      </x:c>
      <x:c r="F48" s="17" t="n">
        <x:f>('Исходные данные'!B10+'Исходные данные'!B17*('Исходные данные'!B15+('Исходные данные'!B22*3-0.05*1))/('Исходные данные'!B9/2))*100-'HP DIN1019'!C42</x:f>
        <x:v>1415.6000000000001</x:v>
      </x:c>
    </x:row>
    <x:row r="49" ht="52" customHeight="1">
      <x:c r="A49" s="3" t="str">
        <x:v>DL4</x:v>
      </x:c>
      <x:c r="B49" s="3" t="str">
        <x:v>Палуба над грузовым танком — пара 4</x:v>
      </x:c>
      <x:c r="C49" s="19" t="n">
        <x:v>2</x:v>
      </x:c>
      <x:c r="D49" s="3" t="str">
        <x:f>'Балки'!B73</x:f>
        <x:v>HP 180x10</x:v>
      </x:c>
      <x:c r="E49" s="17" t="n">
        <x:f>'HP DIN1019'!C11</x:f>
        <x:v>10</x:v>
      </x:c>
      <x:c r="F49" s="17" t="n">
        <x:f>('Исходные данные'!B10+'Исходные данные'!B17*('Исходные данные'!B15+('Исходные данные'!B22*4-0.05*2))/('Исходные данные'!B9/2))*100-'HP DIN1019'!C42</x:f>
        <x:v>1418.2</x:v>
      </x:c>
    </x:row>
    <x:row r="50" ht="52" customHeight="1">
      <x:c r="A50" s="3" t="str">
        <x:v>DL5</x:v>
      </x:c>
      <x:c r="B50" s="3" t="str">
        <x:v>Палуба над грузовым танком — пара 5</x:v>
      </x:c>
      <x:c r="C50" s="19" t="n">
        <x:v>2</x:v>
      </x:c>
      <x:c r="D50" s="3" t="str">
        <x:f>'Балки'!B73</x:f>
        <x:v>HP 180x10</x:v>
      </x:c>
      <x:c r="E50" s="17" t="n">
        <x:f>'HP DIN1019'!C11</x:f>
        <x:v>10</x:v>
      </x:c>
      <x:c r="F50" s="17" t="n">
        <x:f>('Исходные данные'!B10+'Исходные данные'!B17*('Исходные данные'!B15+('Исходные данные'!B22*5-0.05*3))/('Исходные данные'!B9/2))*100-'HP DIN1019'!C42</x:f>
        <x:v>1420.8000000000002</x:v>
      </x:c>
    </x:row>
    <x:row r="51" ht="52" customHeight="1">
      <x:c r="A51" s="3" t="str">
        <x:v>DL6</x:v>
      </x:c>
      <x:c r="B51" s="3" t="str">
        <x:v>Палуба над грузовым танком — пара 6</x:v>
      </x:c>
      <x:c r="C51" s="19" t="n">
        <x:v>2</x:v>
      </x:c>
      <x:c r="D51" s="3" t="str">
        <x:f>'Балки'!B73</x:f>
        <x:v>HP 180x10</x:v>
      </x:c>
      <x:c r="E51" s="17" t="n">
        <x:f>'HP DIN1019'!C11</x:f>
        <x:v>10</x:v>
      </x:c>
      <x:c r="F51" s="17" t="n">
        <x:f>('Исходные данные'!B10+'Исходные данные'!B17*('Исходные данные'!B15+('Исходные данные'!B22*6-0.05*4))/('Исходные данные'!B9/2))*100-'HP DIN1019'!C42</x:f>
        <x:v>1423.4</x:v>
      </x:c>
    </x:row>
    <x:row r="52" ht="52" customHeight="1">
      <x:c r="A52" s="3" t="str">
        <x:v>DL7</x:v>
      </x:c>
      <x:c r="B52" s="3" t="str">
        <x:v>Палуба над грузовым танком — пара 7</x:v>
      </x:c>
      <x:c r="C52" s="19" t="n">
        <x:v>2</x:v>
      </x:c>
      <x:c r="D52" s="3" t="str">
        <x:f>'Балки'!B73</x:f>
        <x:v>HP 180x10</x:v>
      </x:c>
      <x:c r="E52" s="17" t="n">
        <x:f>'HP DIN1019'!C11</x:f>
        <x:v>10</x:v>
      </x:c>
      <x:c r="F52" s="17" t="n">
        <x:f>('Исходные данные'!B10+'Исходные данные'!B17*('Исходные данные'!B15+('Исходные данные'!B22*7-0.05*5))/('Исходные данные'!B9/2))*100-'HP DIN1019'!C42</x:f>
        <x:v>1426</x:v>
      </x:c>
    </x:row>
    <x:row r="53" ht="52" customHeight="1">
      <x:c r="A53" s="3" t="str">
        <x:v>DL8</x:v>
      </x:c>
      <x:c r="B53" s="3" t="str">
        <x:v>Палуба над грузовым танком — пара 8</x:v>
      </x:c>
      <x:c r="C53" s="19" t="n">
        <x:v>2</x:v>
      </x:c>
      <x:c r="D53" s="3" t="str">
        <x:f>'Балки'!B73</x:f>
        <x:v>HP 180x10</x:v>
      </x:c>
      <x:c r="E53" s="17" t="n">
        <x:f>'HP DIN1019'!C11</x:f>
        <x:v>10</x:v>
      </x:c>
      <x:c r="F53" s="17" t="n">
        <x:f>('Исходные данные'!B10+'Исходные данные'!B17*('Исходные данные'!B15+('Исходные данные'!B22*8-0.05*6))/('Исходные данные'!B9/2))*100-'HP DIN1019'!C42</x:f>
        <x:v>1428.6000000000001</x:v>
      </x:c>
    </x:row>
    <x:row r="54" ht="52" customHeight="1">
      <x:c r="A54" s="3" t="str">
        <x:v>DL9</x:v>
      </x:c>
      <x:c r="B54" s="3" t="str">
        <x:v>Палуба над грузовым танком — пара 9</x:v>
      </x:c>
      <x:c r="C54" s="19" t="n">
        <x:v>2</x:v>
      </x:c>
      <x:c r="D54" s="3" t="str">
        <x:f>'Балки'!B73</x:f>
        <x:v>HP 180x10</x:v>
      </x:c>
      <x:c r="E54" s="17" t="n">
        <x:f>'HP DIN1019'!C11</x:f>
        <x:v>10</x:v>
      </x:c>
      <x:c r="F54" s="17" t="n">
        <x:f>('Исходные данные'!B10+'Исходные данные'!B17*('Исходные данные'!B15+('Исходные данные'!B22*9-0.05*7))/('Исходные данные'!B9/2))*100-'HP DIN1019'!C42</x:f>
        <x:v>1431.2</x:v>
      </x:c>
    </x:row>
    <x:row r="55" ht="52" customHeight="1">
      <x:c r="A55" s="3" t="str">
        <x:v>DL10</x:v>
      </x:c>
      <x:c r="B55" s="3" t="str">
        <x:v>Палуба над грузовым танком — пара 10</x:v>
      </x:c>
      <x:c r="C55" s="19" t="n">
        <x:v>2</x:v>
      </x:c>
      <x:c r="D55" s="3" t="str">
        <x:f>'Балки'!B73</x:f>
        <x:v>HP 180x10</x:v>
      </x:c>
      <x:c r="E55" s="17" t="n">
        <x:f>'HP DIN1019'!C11</x:f>
        <x:v>10</x:v>
      </x:c>
      <x:c r="F55" s="17" t="n">
        <x:f>('Исходные данные'!B10+'Исходные данные'!B17*('Исходные данные'!B15+('Исходные данные'!B22*10-0.05*8))/('Исходные данные'!B9/2))*100-'HP DIN1019'!C42</x:f>
        <x:v>1433.8</x:v>
      </x:c>
    </x:row>
    <x:row r="56" ht="52" customHeight="1">
      <x:c r="A56" s="3" t="str">
        <x:v>DL11</x:v>
      </x:c>
      <x:c r="B56" s="3" t="str">
        <x:v>Палуба над грузовым танком — пара 11</x:v>
      </x:c>
      <x:c r="C56" s="19" t="n">
        <x:v>2</x:v>
      </x:c>
      <x:c r="D56" s="3" t="str">
        <x:f>'Балки'!B73</x:f>
        <x:v>HP 180x10</x:v>
      </x:c>
      <x:c r="E56" s="17" t="n">
        <x:f>'HP DIN1019'!C11</x:f>
        <x:v>10</x:v>
      </x:c>
      <x:c r="F56" s="17" t="n">
        <x:f>('Исходные данные'!B10+'Исходные данные'!B17*('Исходные данные'!B15+('Исходные данные'!B22*11-0.05*9))/('Исходные данные'!B9/2))*100-'HP DIN1019'!C42</x:f>
        <x:v>1436.4</x:v>
      </x:c>
    </x:row>
    <x:row r="57" ht="52" customHeight="1">
      <x:c r="A57" s="3" t="str">
        <x:v>DL12</x:v>
      </x:c>
      <x:c r="B57" s="3" t="str">
        <x:v>Палуба над грузовым танком — пара 12</x:v>
      </x:c>
      <x:c r="C57" s="19" t="n">
        <x:v>2</x:v>
      </x:c>
      <x:c r="D57" s="3" t="str">
        <x:f>'Балки'!B73</x:f>
        <x:v>HP 180x10</x:v>
      </x:c>
      <x:c r="E57" s="17" t="n">
        <x:f>'HP DIN1019'!C11</x:f>
        <x:v>10</x:v>
      </x:c>
      <x:c r="F57" s="17" t="n">
        <x:f>('Исходные данные'!B10+'Исходные данные'!B17*('Исходные данные'!B15+('Исходные данные'!B22*12-0.05*10))/('Исходные данные'!B9/2))*100-'HP DIN1019'!C42</x:f>
        <x:v>1439</x:v>
      </x:c>
    </x:row>
    <x:row r="58" ht="52" customHeight="1">
      <x:c r="A58" s="3" t="str">
        <x:v>DL13</x:v>
      </x:c>
      <x:c r="B58" s="3" t="str">
        <x:v>Палуба над грузовым танком — пара 13</x:v>
      </x:c>
      <x:c r="C58" s="19" t="n">
        <x:v>2</x:v>
      </x:c>
      <x:c r="D58" s="3" t="str">
        <x:f>'Балки'!B73</x:f>
        <x:v>HP 180x10</x:v>
      </x:c>
      <x:c r="E58" s="17" t="n">
        <x:f>'HP DIN1019'!C11</x:f>
        <x:v>10</x:v>
      </x:c>
      <x:c r="F58" s="17" t="n">
        <x:f>('Исходные данные'!B10+'Исходные данные'!B17*('Исходные данные'!B15+('Исходные данные'!B22*13-0.05*11))/('Исходные данные'!B9/2))*100-'HP DIN1019'!C42</x:f>
        <x:v>1441.6000000000001</x:v>
      </x:c>
    </x:row>
    <x:row r="59" ht="52" customHeight="1">
      <x:c r="A59" s="3" t="str">
        <x:v>DL14</x:v>
      </x:c>
      <x:c r="B59" s="3" t="str">
        <x:v>Палуба над грузовым танком — пара 14</x:v>
      </x:c>
      <x:c r="C59" s="19" t="n">
        <x:v>2</x:v>
      </x:c>
      <x:c r="D59" s="3" t="str">
        <x:f>'Балки'!B73</x:f>
        <x:v>HP 180x10</x:v>
      </x:c>
      <x:c r="E59" s="17" t="n">
        <x:f>'HP DIN1019'!C11</x:f>
        <x:v>10</x:v>
      </x:c>
      <x:c r="F59" s="17" t="n">
        <x:f>('Исходные данные'!B10+'Исходные данные'!B17*('Исходные данные'!B15+('Исходные данные'!B22*14-0.05*11))/('Исходные данные'!B9/2))*100-'HP DIN1019'!C42</x:f>
        <x:v>1444.4</x:v>
      </x:c>
    </x:row>
    <x:row r="60" ht="32" customHeight="1">
      <x:c r="A60" s="3" t="str">
        <x:v>Σ</x:v>
      </x:c>
      <x:c r="B60" s="3" t="str">
        <x:v>Сумма определённых элементов</x:v>
      </x:c>
      <x:c r="C60" s="3"/>
      <x:c r="D60" s="3"/>
      <x:c r="E60" s="3"/>
      <x:c r="F60" s="3"/>
    </x:row>
    <x:row r="61" ht="32" customHeight="1">
      <x:c r="A61" s="3"/>
      <x:c r="B61" s="3"/>
      <x:c r="C61" s="3"/>
      <x:c r="D61" s="3"/>
      <x:c r="E61" s="3"/>
      <x:c r="F61" s="3"/>
    </x:row>
    <x:row r="62" ht="32" customHeight="1">
      <x:c r="A62" s="3"/>
      <x:c r="B62" s="3"/>
      <x:c r="C62" s="3"/>
      <x:c r="D62" s="3"/>
      <x:c r="E62" s="3"/>
      <x:c r="F62" s="3"/>
    </x:row>
    <x:row r="63" ht="32" customHeight="1">
      <x:c r="A63" s="3"/>
      <x:c r="B63" s="3"/>
      <x:c r="C63" s="3"/>
      <x:c r="D63" s="3"/>
      <x:c r="E63" s="3"/>
      <x:c r="F63" s="3"/>
    </x:row>
    <x:row r="64" ht="36" customHeight="1">
      <x:c r="A64" s="11" t="str">
        <x:v>2. Площади и моменты</x:v>
      </x:c>
      <x:c r="B64" s="11"/>
      <x:c r="C64" s="11"/>
      <x:c r="D64" s="11"/>
      <x:c r="E64" s="11"/>
      <x:c r="F64" s="11"/>
    </x:row>
    <x:row r="65" ht="54" customHeight="1">
      <x:c r="A65" s="6" t="str">
        <x:v>Марка</x:v>
      </x:c>
      <x:c r="B65" s="6" t="str">
        <x:v>A₁, см²</x:v>
      </x:c>
      <x:c r="C65" s="6" t="str">
        <x:v>i₁, см⁴</x:v>
      </x:c>
      <x:c r="D65" s="6" t="str">
        <x:v>nA, см²</x:v>
      </x:c>
      <x:c r="E65" s="6" t="str">
        <x:v>nAz, см³</x:v>
      </x:c>
      <x:c r="F65" s="6" t="str">
        <x:v>nAz², см⁴</x:v>
      </x:c>
    </x:row>
    <x:row r="66" ht="32" customHeight="1">
      <x:c r="A66" s="13" t="str">
        <x:f>'Эквивалентный брус'!$A$12</x:f>
        <x:v>KL/2</x:v>
      </x:c>
      <x:c r="B66" s="17" t="n">
        <x:f>'Эквивалентный брус'!$D$12*'Эквивалентный брус'!$E$12/100</x:f>
        <x:v>124.1</x:v>
      </x:c>
      <x:c r="C66" s="17" t="n">
        <x:f>'Эквивалентный брус'!$D$12*'Эквивалентный брус'!$E$12^3/120000</x:f>
        <x:v>29.887416666666667</x:v>
      </x:c>
      <x:c r="D66" s="17" t="n">
        <x:f>'Эквивалентный брус'!$C$12*'Эквивалентный брус'!$B$66</x:f>
        <x:v>248.2</x:v>
      </x:c>
      <x:c r="E66" s="17" t="n">
        <x:f>'Эквивалентный брус'!$D$66*'Эквивалентный брус'!$F$12</x:f>
        <x:v>0</x:v>
      </x:c>
      <x:c r="F66" s="17" t="n">
        <x:f>'Эквивалентный брус'!$E$66*'Эквивалентный брус'!$F$12</x:f>
        <x:v>0</x:v>
      </x:c>
    </x:row>
    <x:row r="67" ht="32" customHeight="1">
      <x:c r="A67" s="13" t="str">
        <x:f>'Эквивалентный брус'!$A$13</x:f>
        <x:v>A</x:v>
      </x:c>
      <x:c r="B67" s="17" t="n">
        <x:f>'Эквивалентный брус'!$D$13*'Эквивалентный брус'!$E$13/100</x:f>
        <x:v>270</x:v>
      </x:c>
      <x:c r="C67" s="17" t="n">
        <x:f>'Эквивалентный брус'!$D$13*'Эквивалентный брус'!$E$13^3/120000</x:f>
        <x:v>50.625</x:v>
      </x:c>
      <x:c r="D67" s="17" t="n">
        <x:f>'Эквивалентный брус'!$C$13*'Эквивалентный брус'!$B$67</x:f>
        <x:v>540</x:v>
      </x:c>
      <x:c r="E67" s="17" t="n">
        <x:f>'Эквивалентный брус'!$D$67*'Эквивалентный брус'!$F$13</x:f>
        <x:v>0</x:v>
      </x:c>
      <x:c r="F67" s="17" t="n">
        <x:f>'Эквивалентный брус'!$E$67*'Эквивалентный брус'!$F$13</x:f>
        <x:v>0</x:v>
      </x:c>
    </x:row>
    <x:row r="68" ht="32" customHeight="1">
      <x:c r="A68" s="13" t="str">
        <x:f>'Эквивалентный брус'!$A$14</x:f>
        <x:v>B</x:v>
      </x:c>
      <x:c r="B68" s="17" t="n">
        <x:f>'Эквивалентный брус'!$D$14*'Эквивалентный брус'!$E$14/100</x:f>
        <x:v>270</x:v>
      </x:c>
      <x:c r="C68" s="17" t="n">
        <x:f>'Эквивалентный брус'!$D$14*'Эквивалентный брус'!$E$14^3/120000</x:f>
        <x:v>50.625</x:v>
      </x:c>
      <x:c r="D68" s="17" t="n">
        <x:f>'Эквивалентный брус'!$C$14*'Эквивалентный брус'!$B$68</x:f>
        <x:v>540</x:v>
      </x:c>
      <x:c r="E68" s="17" t="n">
        <x:f>'Эквивалентный брус'!$D$68*'Эквивалентный брус'!$F$14</x:f>
        <x:v>0</x:v>
      </x:c>
      <x:c r="F68" s="17" t="n">
        <x:f>'Эквивалентный брус'!$E$68*'Эквивалентный брус'!$F$14</x:f>
        <x:v>0</x:v>
      </x:c>
    </x:row>
    <x:row r="69" ht="32" customHeight="1">
      <x:c r="A69" s="13" t="str">
        <x:f>'Эквивалентный брус'!$A$15</x:f>
        <x:v>C</x:v>
      </x:c>
      <x:c r="B69" s="17" t="n">
        <x:f>'Эквивалентный брус'!$D$15*'Эквивалентный брус'!$E$15/100</x:f>
        <x:v>270</x:v>
      </x:c>
      <x:c r="C69" s="17" t="n">
        <x:f>'Эквивалентный брус'!$D$15*'Эквивалентный брус'!$E$15^3/120000</x:f>
        <x:v>50.625</x:v>
      </x:c>
      <x:c r="D69" s="17" t="n">
        <x:f>'Эквивалентный брус'!$C$15*'Эквивалентный брус'!$B$69</x:f>
        <x:v>540</x:v>
      </x:c>
      <x:c r="E69" s="17" t="n">
        <x:f>'Эквивалентный брус'!$D$69*'Эквивалентный брус'!$F$15</x:f>
        <x:v>0</x:v>
      </x:c>
      <x:c r="F69" s="17" t="n">
        <x:f>'Эквивалентный брус'!$E$69*'Эквивалентный брус'!$F$15</x:f>
        <x:v>0</x:v>
      </x:c>
    </x:row>
    <x:row r="70" ht="32" customHeight="1">
      <x:c r="A70" s="13" t="str">
        <x:f>'Эквивалентный брус'!$A$16</x:f>
        <x:v>D</x:v>
      </x:c>
      <x:c r="B70" s="17" t="n">
        <x:f>'Эквивалентный брус'!$D$16*'Эквивалентный брус'!$E$16/100</x:f>
        <x:v>270</x:v>
      </x:c>
      <x:c r="C70" s="17" t="n">
        <x:f>'Эквивалентный брус'!$D$16*'Эквивалентный брус'!$E$16^3/120000</x:f>
        <x:v>50.625</x:v>
      </x:c>
      <x:c r="D70" s="17" t="n">
        <x:f>'Эквивалентный брус'!$C$16*'Эквивалентный брус'!$B$70</x:f>
        <x:v>540</x:v>
      </x:c>
      <x:c r="E70" s="17" t="n">
        <x:f>'Эквивалентный брус'!$D$70*'Эквивалентный брус'!$F$16</x:f>
        <x:v>0</x:v>
      </x:c>
      <x:c r="F70" s="17" t="n">
        <x:f>'Эквивалентный брус'!$E$70*'Эквивалентный брус'!$F$16</x:f>
        <x:v>0</x:v>
      </x:c>
    </x:row>
    <x:row r="71" ht="32" customHeight="1">
      <x:c r="A71" s="13" t="str">
        <x:f>'Эквивалентный брус'!$A$17</x:f>
        <x:v>E</x:v>
      </x:c>
      <x:c r="B71" s="17" t="n">
        <x:f>'Эквивалентный брус'!$D$17*'Эквивалентный брус'!$E$17/100</x:f>
        <x:v>270</x:v>
      </x:c>
      <x:c r="C71" s="17" t="n">
        <x:f>'Эквивалентный брус'!$D$17*'Эквивалентный брус'!$E$17^3/120000</x:f>
        <x:v>50.625</x:v>
      </x:c>
      <x:c r="D71" s="17" t="n">
        <x:f>'Эквивалентный брус'!$C$17*'Эквивалентный брус'!$B$71</x:f>
        <x:v>540</x:v>
      </x:c>
      <x:c r="E71" s="17" t="n">
        <x:f>'Эквивалентный брус'!$D$71*'Эквивалентный брус'!$F$17</x:f>
        <x:v>0</x:v>
      </x:c>
      <x:c r="F71" s="17" t="n">
        <x:f>'Эквивалентный брус'!$E$71*'Эквивалентный брус'!$F$17</x:f>
        <x:v>0</x:v>
      </x:c>
    </x:row>
    <x:row r="72" ht="32" customHeight="1">
      <x:c r="A72" s="13" t="str">
        <x:f>'Эквивалентный брус'!$A$18</x:f>
        <x:v>F₁</x:v>
      </x:c>
      <x:c r="B72" s="17" t="n">
        <x:f>'Эквивалентный брус'!$D$18*'Эквивалентный брус'!$E$18/100</x:f>
        <x:v>122.99999999999973</x:v>
      </x:c>
      <x:c r="C72" s="17" t="n">
        <x:f>'Эквивалентный брус'!$D$18*'Эквивалентный брус'!$E$18^3/120000</x:f>
        <x:v>23.06249999999995</x:v>
      </x:c>
      <x:c r="D72" s="17" t="n">
        <x:f>'Эквивалентный брус'!$C$18*'Эквивалентный брус'!$B$72</x:f>
        <x:v>245.99999999999946</x:v>
      </x:c>
      <x:c r="E72" s="17" t="n">
        <x:f>'Эквивалентный брус'!$D$72*'Эквивалентный брус'!$F$18</x:f>
        <x:v>0</x:v>
      </x:c>
      <x:c r="F72" s="17" t="n">
        <x:f>'Эквивалентный брус'!$E$72*'Эквивалентный брус'!$F$18</x:f>
        <x:v>0</x:v>
      </x:c>
    </x:row>
    <x:row r="73" ht="32" customHeight="1">
      <x:c r="A73" s="13" t="str">
        <x:f>'Эквивалентный брус'!$A$19</x:f>
        <x:v>F₂</x:v>
      </x:c>
      <x:c r="B73" s="17" t="n">
        <x:f>'Эквивалентный брус'!$D$19*'Эквивалентный брус'!$E$19/100</x:f>
        <x:v>177.00000000000028</x:v>
      </x:c>
      <x:c r="C73" s="17" t="n">
        <x:f>'Эквивалентный брус'!$B$73*(('Исходные данные'!$B$16*100)^2*(0.5+SIN(2*('Эквивалентный брус'!$D$19/('Исходные данные'!$B$16*1000)))/(4*('Эквивалентный брус'!$D$19/('Исходные данные'!$B$16*1000)))-(SIN(('Эквивалентный брус'!$D$19/('Исходные данные'!$B$16*1000)))/('Эквивалентный брус'!$D$19/('Исходные данные'!$B$16*1000)))^2)+('Эквивалентный брус'!$E$19/10)^2*(0.5+SIN(2*('Эквивалентный брус'!$D$19/('Исходные данные'!$B$16*1000)))/(4*('Эквивалентный брус'!$D$19/('Исходные данные'!$B$16*1000))))/12)</x:f>
        <x:v>35166.965371032085</x:v>
      </x:c>
      <x:c r="D73" s="17" t="n">
        <x:f>'Эквивалентный брус'!$C$19*'Эквивалентный брус'!$B$73</x:f>
        <x:v>354.00000000000057</x:v>
      </x:c>
      <x:c r="E73" s="17" t="n">
        <x:f>'Эквивалентный брус'!$D$73*'Эквивалентный брус'!$F$19</x:f>
        <x:v>5663.029657762249</x:v>
      </x:c>
      <x:c r="F73" s="17" t="n">
        <x:f>'Эквивалентный брус'!$E$73*'Эквивалентный брус'!$F$19</x:f>
        <x:v>90592.95170817731</x:v>
      </x:c>
    </x:row>
    <x:row r="74" ht="32" customHeight="1">
      <x:c r="A74" s="13" t="str">
        <x:f>'Эквивалентный брус'!$A$20</x:f>
        <x:v>G₁</x:v>
      </x:c>
      <x:c r="B74" s="17" t="n">
        <x:f>'Эквивалентный брус'!$D$20*'Эквивалентный брус'!$E$20/100</x:f>
        <x:v>152.86722862692798</x:v>
      </x:c>
      <x:c r="C74" s="17" t="n">
        <x:f>'Эквивалентный брус'!$B$74*(('Исходные данные'!$B$16*100)^2*((0.5-SIN(2*('Эквивалентный брус'!$D$19/('Исходные данные'!$B$16*1000)))/(4*(PI()/2-('Эквивалентный брус'!$D$19/('Исходные данные'!$B$16*1000)))))-((1-SIN(('Эквивалентный брус'!$D$19/('Исходные данные'!$B$16*1000))))/(PI()/2-('Эквивалентный брус'!$D$19/('Исходные данные'!$B$16*1000))))^2)+('Эквивалентный брус'!$E$20/10)^2*(0.5-SIN(2*('Эквивалентный брус'!$D$19/('Исходные данные'!$B$16*1000)))/(4*(PI()/2-('Эквивалентный брус'!$D$19/('Исходные данные'!$B$16*1000)))))/12)</x:f>
        <x:v>112666.29987194095</x:v>
      </x:c>
      <x:c r="D74" s="17" t="n">
        <x:f>'Эквивалентный брус'!$C$20*'Эквивалентный брус'!$B$74</x:f>
        <x:v>305.73445725385596</x:v>
      </x:c>
      <x:c r="E74" s="17" t="n">
        <x:f>'Эквивалентный брус'!$D$74*'Эквивалентный брус'!$F$20</x:f>
        <x:v>27899.79435777767</x:v>
      </x:c>
      <x:c r="F74" s="17" t="n">
        <x:f>'Эквивалентный брус'!$E$74*'Эквивалентный брус'!$F$20</x:f>
        <x:v>2545995.411174628</x:v>
      </x:c>
    </x:row>
    <x:row r="75" ht="32" customHeight="1">
      <x:c r="A75" s="13" t="str">
        <x:f>'Эквивалентный брус'!$A$21</x:f>
        <x:v>G₂</x:v>
      </x:c>
      <x:c r="B75" s="17" t="n">
        <x:f>'Эквивалентный брус'!$D$21*'Эквивалентный брус'!$E$21/100</x:f>
        <x:v>147.13277137307202</x:v>
      </x:c>
      <x:c r="C75" s="17" t="n">
        <x:f>'Эквивалентный брус'!$E$21*'Эквивалентный брус'!$D$21^3/120000</x:f>
        <x:v>117968.07208131136</x:v>
      </x:c>
      <x:c r="D75" s="17" t="n">
        <x:f>'Эквивалентный брус'!$C$21*'Эквивалентный брус'!$B$75</x:f>
        <x:v>294.26554274614404</x:v>
      </x:c>
      <x:c r="E75" s="17" t="n">
        <x:f>'Эквивалентный брус'!$D$75*'Эквивалентный брус'!$F$21</x:f>
        <x:v>55629.21092574062</x:v>
      </x:c>
      <x:c r="F75" s="17" t="n">
        <x:f>'Эквивалентный брус'!$E$75*'Эквивалентный брус'!$F$21</x:f>
        <x:v>10516382.853870818</x:v>
      </x:c>
    </x:row>
    <x:row r="76" ht="32" customHeight="1">
      <x:c r="A76" s="13" t="str">
        <x:f>'Эквивалентный брус'!$A$22</x:f>
        <x:v>H</x:v>
      </x:c>
      <x:c r="B76" s="17" t="n">
        <x:f>'Эквивалентный брус'!$D$22*'Эквивалентный брус'!$E$22/100</x:f>
        <x:v>256</x:v>
      </x:c>
      <x:c r="C76" s="17" t="n">
        <x:f>'Эквивалентный брус'!$E$22*'Эквивалентный брус'!$D$22^3/120000</x:f>
        <x:v>546133.3333333334</x:v>
      </x:c>
      <x:c r="D76" s="17" t="n">
        <x:f>'Эквивалентный брус'!$C$22*'Эквивалентный брус'!$B$76</x:f>
        <x:v>512</x:v>
      </x:c>
      <x:c r="E76" s="17" t="n">
        <x:f>'Эквивалентный брус'!$D$76*'Эквивалентный брус'!$F$22</x:f>
        <x:v>162861.3192953419</x:v>
      </x:c>
      <x:c r="F76" s="18" t="n">
        <x:f>'Эквивалентный брус'!$E$76*'Эквивалентный брус'!$F$22</x:f>
        <x:v>51804315.08324083</x:v>
      </x:c>
    </x:row>
    <x:row r="77" ht="32" customHeight="1">
      <x:c r="A77" s="13" t="str">
        <x:f>'Эквивалентный брус'!$A$23</x:f>
        <x:v>I</x:v>
      </x:c>
      <x:c r="B77" s="17" t="n">
        <x:f>'Эквивалентный брус'!$D$23*'Эквивалентный брус'!$E$23/100</x:f>
        <x:v>240</x:v>
      </x:c>
      <x:c r="C77" s="17" t="n">
        <x:f>'Эквивалентный брус'!$E$23*'Эквивалентный брус'!$D$23^3/120000</x:f>
        <x:v>512000</x:v>
      </x:c>
      <x:c r="D77" s="17" t="n">
        <x:f>'Эквивалентный брус'!$C$23*'Эквивалентный брус'!$B$77</x:f>
        <x:v>480</x:v>
      </x:c>
      <x:c r="E77" s="17" t="n">
        <x:f>'Эквивалентный брус'!$D$77*'Эквивалентный брус'!$F$23</x:f>
        <x:v>229482.48683938303</x:v>
      </x:c>
      <x:c r="F77" s="18" t="n">
        <x:f>'Эквивалентный брус'!$E$77*'Эквивалентный брус'!$F$23</x:f>
        <x:v>109712941.17914085</x:v>
      </x:c>
    </x:row>
    <x:row r="78" ht="32" customHeight="1">
      <x:c r="A78" s="13" t="str">
        <x:f>'Эквивалентный брус'!$A$24</x:f>
        <x:v>J</x:v>
      </x:c>
      <x:c r="B78" s="17" t="n">
        <x:f>'Эквивалентный брус'!$D$24*'Эквивалентный брус'!$E$24/100</x:f>
        <x:v>240</x:v>
      </x:c>
      <x:c r="C78" s="17" t="n">
        <x:f>'Эквивалентный брус'!$E$24*'Эквивалентный брус'!$D$24^3/120000</x:f>
        <x:v>512000</x:v>
      </x:c>
      <x:c r="D78" s="17" t="n">
        <x:f>'Эквивалентный брус'!$C$24*'Эквивалентный брус'!$B$78</x:f>
        <x:v>480</x:v>
      </x:c>
      <x:c r="E78" s="17" t="n">
        <x:f>'Эквивалентный брус'!$D$78*'Эквивалентный брус'!$F$24</x:f>
        <x:v>306282.486839383</x:v>
      </x:c>
      <x:c r="F78" s="18" t="n">
        <x:f>'Эквивалентный брус'!$E$78*'Эквивалентный брус'!$F$24</x:f>
        <x:v>195435336.96774343</x:v>
      </x:c>
    </x:row>
    <x:row r="79" ht="32" customHeight="1">
      <x:c r="A79" s="13" t="str">
        <x:f>'Эквивалентный брус'!$A$25</x:f>
        <x:v>K</x:v>
      </x:c>
      <x:c r="B79" s="17" t="n">
        <x:f>'Эквивалентный брус'!$D$25*'Эквивалентный брус'!$E$25/100</x:f>
        <x:v>224</x:v>
      </x:c>
      <x:c r="C79" s="17" t="n">
        <x:f>'Эквивалентный брус'!$E$25*'Эквивалентный брус'!$D$25^3/120000</x:f>
        <x:v>477866.6666666667</x:v>
      </x:c>
      <x:c r="D79" s="17" t="n">
        <x:f>'Эквивалентный брус'!$C$25*'Эквивалентный брус'!$B$79</x:f>
        <x:v>448</x:v>
      </x:c>
      <x:c r="E79" s="17" t="n">
        <x:f>'Эквивалентный брус'!$D$79*'Эквивалентный брус'!$F$25</x:f>
        <x:v>357543.65438342415</x:v>
      </x:c>
      <x:c r="F79" s="18" t="n">
        <x:f>'Эквивалентный брус'!$E$79*'Эквивалентный брус'!$F$25</x:f>
        <x:v>285351483.9059229</x:v>
      </x:c>
    </x:row>
    <x:row r="80" ht="32" customHeight="1">
      <x:c r="A80" s="13" t="str">
        <x:f>'Эквивалентный брус'!$A$26</x:f>
        <x:v>L</x:v>
      </x:c>
      <x:c r="B80" s="17" t="n">
        <x:f>'Эквивалентный брус'!$D$26*'Эквивалентный брус'!$E$26/100</x:f>
        <x:v>208</x:v>
      </x:c>
      <x:c r="C80" s="17" t="n">
        <x:f>'Эквивалентный брус'!$E$26*'Эквивалентный брус'!$D$26^3/120000</x:f>
        <x:v>443733.3333333333</x:v>
      </x:c>
      <x:c r="D80" s="17" t="n">
        <x:f>'Эквивалентный брус'!$C$26*'Эквивалентный брус'!$B$80</x:f>
        <x:v>416</x:v>
      </x:c>
      <x:c r="E80" s="17" t="n">
        <x:f>'Эквивалентный брус'!$D$80*'Эквивалентный брус'!$F$26</x:f>
        <x:v>398564.8219274653</x:v>
      </x:c>
      <x:c r="F80" s="18" t="n">
        <x:f>'Эквивалентный брус'!$E$80*'Эквивалентный брус'!$F$26</x:f>
        <x:v>381860378.0722888</x:v>
      </x:c>
    </x:row>
    <x:row r="81" ht="32" customHeight="1">
      <x:c r="A81" s="13" t="str">
        <x:f>'Эквивалентный брус'!$A$27</x:f>
        <x:v>M</x:v>
      </x:c>
      <x:c r="B81" s="17" t="n">
        <x:f>'Эквивалентный брус'!$D$27*'Эквивалентный брус'!$E$27/100</x:f>
        <x:v>135.54689145077123</x:v>
      </x:c>
      <x:c r="C81" s="17" t="n">
        <x:f>'Эквивалентный брус'!$E$27*'Эквивалентный брус'!$D$27^3/120000</x:f>
        <x:v>144120.23062475043</x:v>
      </x:c>
      <x:c r="D81" s="17" t="n">
        <x:f>'Эквивалентный брус'!$C$27*'Эквивалентный брус'!$B$81</x:f>
        <x:v>271.09378290154245</x:v>
      </x:c>
      <x:c r="E81" s="17" t="n">
        <x:f>'Эквивалентный брус'!$D$81*'Эквивалентный брус'!$F$27</x:f>
        <x:v>296730.1421326318</x:v>
      </x:c>
      <x:c r="F81" s="18" t="n">
        <x:f>'Эквивалентный брус'!$E$81*'Эквивалентный брус'!$F$27</x:f>
        <x:v>324790839.1983669</x:v>
      </x:c>
    </x:row>
    <x:row r="82" ht="32" customHeight="1">
      <x:c r="A82" s="13" t="str">
        <x:f>'Эквивалентный брус'!$A$28</x:f>
        <x:v>N</x:v>
      </x:c>
      <x:c r="B82" s="17" t="n">
        <x:f>'Эквивалентный брус'!$D$28*'Эквивалентный брус'!$E$28/100</x:f>
        <x:v>135.54689145077123</x:v>
      </x:c>
      <x:c r="C82" s="17" t="n">
        <x:f>'Эквивалентный брус'!$E$28*'Эквивалентный брус'!$D$28^3/120000</x:f>
        <x:v>144120.23062475043</x:v>
      </x:c>
      <x:c r="D82" s="17" t="n">
        <x:f>'Эквивалентный брус'!$C$28*'Эквивалентный брус'!$B$82</x:f>
        <x:v>271.09378290154245</x:v>
      </x:c>
      <x:c r="E82" s="17" t="n">
        <x:f>'Эквивалентный брус'!$D$82*'Эквивалентный брус'!$F$28</x:f>
        <x:v>327351.74176924373</x:v>
      </x:c>
      <x:c r="F82" s="18" t="n">
        <x:f>'Эквивалентный брус'!$E$82*'Эквивалентный брус'!$F$28</x:f>
        <x:v>395284472.00973386</x:v>
      </x:c>
    </x:row>
    <x:row r="83" ht="32" customHeight="1">
      <x:c r="A83" s="13" t="str">
        <x:f>'Эквивалентный брус'!$A$29</x:f>
        <x:v>SH</x:v>
      </x:c>
      <x:c r="B83" s="17" t="n">
        <x:f>'Эквивалентный брус'!$D$29*'Эквивалентный брус'!$E$29/100</x:f>
        <x:v>160.6</x:v>
      </x:c>
      <x:c r="C83" s="17" t="n">
        <x:f>'Эквивалентный брус'!$E$29*'Эквивалентный брус'!$D$29^3/120000</x:f>
        <x:v>285279.13333333336</x:v>
      </x:c>
      <x:c r="D83" s="17" t="n">
        <x:f>'Эквивалентный брус'!$C$29*'Эквивалентный брус'!$B$83</x:f>
        <x:v>321.2</x:v>
      </x:c>
      <x:c r="E83" s="17" t="n">
        <x:f>'Эквивалентный брус'!$D$83*'Эквивалентный брус'!$F$29</x:f>
        <x:v>429444.39999999997</x:v>
      </x:c>
      <x:c r="F83" s="18" t="n">
        <x:f>'Эквивалентный брус'!$E$83*'Эквивалентный брус'!$F$29</x:f>
        <x:v>574167162.8</x:v>
      </x:c>
    </x:row>
    <x:row r="84" ht="32" customHeight="1">
      <x:c r="A84" s="13" t="str">
        <x:f>'Эквивалентный брус'!$A$30</x:f>
        <x:v>IM</x:v>
      </x:c>
      <x:c r="B84" s="17" t="n">
        <x:f>'Эквивалентный брус'!$D$30*'Эквивалентный брус'!$E$30/100</x:f>
        <x:v>300</x:v>
      </x:c>
      <x:c r="C84" s="17" t="n">
        <x:f>'Эквивалентный брус'!$D$30*'Эквивалентный брус'!$E$30^3/120000</x:f>
        <x:v>56.25</x:v>
      </x:c>
      <x:c r="D84" s="17" t="n">
        <x:f>'Эквивалентный брус'!$C$30*'Эквивалентный брус'!$B$84</x:f>
        <x:v>600</x:v>
      </x:c>
      <x:c r="E84" s="17" t="n">
        <x:f>'Эквивалентный брус'!$D$84*'Эквивалентный брус'!$F$30</x:f>
        <x:v>108000</x:v>
      </x:c>
      <x:c r="F84" s="18" t="n">
        <x:f>'Эквивалентный брус'!$E$84*'Эквивалентный брус'!$F$30</x:f>
        <x:v>19440000</x:v>
      </x:c>
    </x:row>
    <x:row r="85" ht="32" customHeight="1">
      <x:c r="A85" s="13" t="str">
        <x:f>'Эквивалентный брус'!$A$31</x:f>
        <x:v>IB</x:v>
      </x:c>
      <x:c r="B85" s="17" t="n">
        <x:f>'Эквивалентный брус'!$D$31*'Эквивалентный брус'!$E$31/100</x:f>
        <x:v>1492.5</x:v>
      </x:c>
      <x:c r="C85" s="17" t="n">
        <x:f>'Эквивалентный брус'!$D$31*'Эквивалентный брус'!$E$31^3/120000</x:f>
        <x:v>279.84375</x:v>
      </x:c>
      <x:c r="D85" s="17" t="n">
        <x:f>'Эквивалентный брус'!$C$31*'Эквивалентный брус'!$B$85</x:f>
        <x:v>2985</x:v>
      </x:c>
      <x:c r="E85" s="17" t="n">
        <x:f>'Эквивалентный брус'!$D$85*'Эквивалентный брус'!$F$31</x:f>
        <x:v>537300</x:v>
      </x:c>
      <x:c r="F85" s="18" t="n">
        <x:f>'Эквивалентный брус'!$E$85*'Эквивалентный брус'!$F$31</x:f>
        <x:v>96714000</x:v>
      </x:c>
    </x:row>
    <x:row r="86" ht="32" customHeight="1">
      <x:c r="A86" s="13" t="str">
        <x:f>'Эквивалентный брус'!$A$32</x:f>
        <x:v>DK</x:v>
      </x:c>
      <x:c r="B86" s="17" t="n">
        <x:f>'Эквивалентный брус'!$D$32*'Эквивалентный брус'!$E$32/100</x:f>
        <x:v>1315.551179696176</x:v>
      </x:c>
      <x:c r="C86" s="17" t="n">
        <x:f>'Эквивалентный брус'!$B$86*(('Исходные данные'!$B$17*100)^2+('Эквивалентный брус'!$E$32/10)^2*(('Исходные данные'!$B$9/2)^2/(('Исходные данные'!$B$9/2)^2+'Исходные данные'!$B$17^2)))/12</x:f>
        <x:v>250617.76929215834</x:v>
      </x:c>
      <x:c r="D86" s="17" t="n">
        <x:f>'Эквивалентный брус'!$C$32*'Эквивалентный брус'!$B$86</x:f>
        <x:v>2631.102359392352</x:v>
      </x:c>
      <x:c r="E86" s="17" t="n">
        <x:f>'Эквивалентный брус'!$D$86*'Эквивалентный брус'!$F$32</x:f>
        <x:v>3772737.673132694</x:v>
      </x:c>
      <x:c r="F86" s="18" t="n">
        <x:f>'Эквивалентный брус'!$E$86*'Эквивалентный брус'!$F$32</x:f>
        <x:v>5409728549.50497</x:v>
      </x:c>
    </x:row>
    <x:row r="87" ht="32" customHeight="1">
      <x:c r="A87" s="13" t="str">
        <x:f>'Эквивалентный брус'!$A$33</x:f>
        <x:v>ISG</x:v>
      </x:c>
      <x:c r="B87" s="17" t="n">
        <x:f>'Эквивалентный брус'!$D$33*'Эквивалентный брус'!$E$33/100</x:f>
        <x:v>255</x:v>
      </x:c>
      <x:c r="C87" s="17" t="n">
        <x:f>'Эквивалентный брус'!$E$33*'Эквивалентный брус'!$D$33^3/120000</x:f>
        <x:v>614125</x:v>
      </x:c>
      <x:c r="D87" s="17" t="n">
        <x:f>'Эквивалентный брус'!$C$33*'Эквивалентный брус'!$B$87</x:f>
        <x:v>510</x:v>
      </x:c>
      <x:c r="E87" s="17" t="n">
        <x:f>'Эквивалентный брус'!$D$87*'Эквивалентный брус'!$F$33</x:f>
        <x:v>135150</x:v>
      </x:c>
      <x:c r="F87" s="18" t="n">
        <x:f>'Эквивалентный брус'!$E$87*'Эквивалентный брус'!$F$33</x:f>
        <x:v>35814750</x:v>
      </x:c>
    </x:row>
    <x:row r="88" ht="32" customHeight="1">
      <x:c r="A88" s="13" t="str">
        <x:f>'Эквивалентный брус'!$A$34</x:f>
        <x:v>ISF</x:v>
      </x:c>
      <x:c r="B88" s="17" t="n">
        <x:f>'Эквивалентный брус'!$D$34*'Эквивалентный брус'!$E$34/100</x:f>
        <x:v>238</x:v>
      </x:c>
      <x:c r="C88" s="17" t="n">
        <x:f>'Эквивалентный брус'!$E$34*'Эквивалентный брус'!$D$34^3/120000</x:f>
        <x:v>573183.3333333334</x:v>
      </x:c>
      <x:c r="D88" s="17" t="n">
        <x:f>'Эквивалентный брус'!$C$34*'Эквивалентный брус'!$B$88</x:f>
        <x:v>476</x:v>
      </x:c>
      <x:c r="E88" s="17" t="n">
        <x:f>'Эквивалентный брус'!$D$88*'Эквивалентный брус'!$F$34</x:f>
        <x:v>207060</x:v>
      </x:c>
      <x:c r="F88" s="18" t="n">
        <x:f>'Эквивалентный брус'!$E$88*'Эквивалентный брус'!$F$34</x:f>
        <x:v>90071100</x:v>
      </x:c>
    </x:row>
    <x:row r="89" ht="32" customHeight="1">
      <x:c r="A89" s="13" t="str">
        <x:f>'Эквивалентный брус'!$A$35</x:f>
        <x:v>ISE</x:v>
      </x:c>
      <x:c r="B89" s="17" t="n">
        <x:f>'Эквивалентный брус'!$D$35*'Эквивалентный брус'!$E$35/100</x:f>
        <x:v>238</x:v>
      </x:c>
      <x:c r="C89" s="17" t="n">
        <x:f>'Эквивалентный брус'!$E$35*'Эквивалентный брус'!$D$35^3/120000</x:f>
        <x:v>573183.3333333334</x:v>
      </x:c>
      <x:c r="D89" s="17" t="n">
        <x:f>'Эквивалентный брус'!$C$35*'Эквивалентный брус'!$B$89</x:f>
        <x:v>476</x:v>
      </x:c>
      <x:c r="E89" s="17" t="n">
        <x:f>'Эквивалентный брус'!$D$89*'Эквивалентный брус'!$F$35</x:f>
        <x:v>287980</x:v>
      </x:c>
      <x:c r="F89" s="18" t="n">
        <x:f>'Эквивалентный брус'!$E$89*'Эквивалентный брус'!$F$35</x:f>
        <x:v>174227900</x:v>
      </x:c>
    </x:row>
    <x:row r="90" ht="32" customHeight="1">
      <x:c r="A90" s="13" t="str">
        <x:f>'Эквивалентный брус'!$A$36</x:f>
        <x:v>ISD</x:v>
      </x:c>
      <x:c r="B90" s="17" t="n">
        <x:f>'Эквивалентный брус'!$D$36*'Эквивалентный брус'!$E$36/100</x:f>
        <x:v>221</x:v>
      </x:c>
      <x:c r="C90" s="17" t="n">
        <x:f>'Эквивалентный брус'!$E$36*'Эквивалентный брус'!$D$36^3/120000</x:f>
        <x:v>532241.6666666666</x:v>
      </x:c>
      <x:c r="D90" s="17" t="n">
        <x:f>'Эквивалентный брус'!$C$36*'Эквивалентный брус'!$B$90</x:f>
        <x:v>442</x:v>
      </x:c>
      <x:c r="E90" s="17" t="n">
        <x:f>'Эквивалентный брус'!$D$90*'Эквивалентный брус'!$F$36</x:f>
        <x:v>342550</x:v>
      </x:c>
      <x:c r="F90" s="18" t="n">
        <x:f>'Эквивалентный брус'!$E$90*'Эквивалентный брус'!$F$36</x:f>
        <x:v>265476250</x:v>
      </x:c>
    </x:row>
    <x:row r="91" ht="32" customHeight="1">
      <x:c r="A91" s="13" t="str">
        <x:f>'Эквивалентный брус'!$A$37</x:f>
        <x:v>ISC</x:v>
      </x:c>
      <x:c r="B91" s="17" t="n">
        <x:f>'Эквивалентный брус'!$D$37*'Эквивалентный брус'!$E$37/100</x:f>
        <x:v>204</x:v>
      </x:c>
      <x:c r="C91" s="17" t="n">
        <x:f>'Эквивалентный брус'!$E$37*'Эквивалентный брус'!$D$37^3/120000</x:f>
        <x:v>491300</x:v>
      </x:c>
      <x:c r="D91" s="17" t="n">
        <x:f>'Эквивалентный брус'!$C$37*'Эквивалентный брус'!$B$91</x:f>
        <x:v>408</x:v>
      </x:c>
      <x:c r="E91" s="17" t="n">
        <x:f>'Эквивалентный брус'!$D$91*'Эквивалентный брус'!$F$37</x:f>
        <x:v>385560</x:v>
      </x:c>
      <x:c r="F91" s="18" t="n">
        <x:f>'Эквивалентный брус'!$E$91*'Эквивалентный брус'!$F$37</x:f>
        <x:v>364354200</x:v>
      </x:c>
    </x:row>
    <x:row r="92" ht="32" customHeight="1">
      <x:c r="A92" s="13" t="str">
        <x:f>'Эквивалентный брус'!$A$38</x:f>
        <x:v>ISB</x:v>
      </x:c>
      <x:c r="B92" s="17" t="n">
        <x:f>'Эквивалентный брус'!$D$38*'Эквивалентный брус'!$E$38/100</x:f>
        <x:v>204</x:v>
      </x:c>
      <x:c r="C92" s="17" t="n">
        <x:f>'Эквивалентный брус'!$E$38*'Эквивалентный брус'!$D$38^3/120000</x:f>
        <x:v>491300</x:v>
      </x:c>
      <x:c r="D92" s="17" t="n">
        <x:f>'Эквивалентный брус'!$C$38*'Эквивалентный брус'!$B$92</x:f>
        <x:v>408</x:v>
      </x:c>
      <x:c r="E92" s="17" t="n">
        <x:f>'Эквивалентный брус'!$D$92*'Эквивалентный брус'!$F$38</x:f>
        <x:v>454920</x:v>
      </x:c>
      <x:c r="F92" s="18" t="n">
        <x:f>'Эквивалентный брус'!$E$92*'Эквивалентный брус'!$F$38</x:f>
        <x:v>507235800</x:v>
      </x:c>
    </x:row>
    <x:row r="93" ht="32" customHeight="1">
      <x:c r="A93" s="13" t="str">
        <x:f>'Эквивалентный брус'!$A$39</x:f>
        <x:v>ISA</x:v>
      </x:c>
      <x:c r="B93" s="17" t="n">
        <x:f>'Эквивалентный брус'!$D$39*'Эквивалентный брус'!$E$39/100</x:f>
        <x:v>261.5999999999998</x:v>
      </x:c>
      <x:c r="C93" s="17" t="n">
        <x:f>'Эквивалентный брус'!$E$39*'Эквивалентный брус'!$D$39^3/120000</x:f>
        <x:v>1036023.1999999973</x:v>
      </x:c>
      <x:c r="D93" s="17" t="n">
        <x:f>'Эквивалентный брус'!$C$39*'Эквивалентный брус'!$B$93</x:f>
        <x:v>523.1999999999996</x:v>
      </x:c>
      <x:c r="E93" s="17" t="n">
        <x:f>'Эквивалентный брус'!$D$93*'Эквивалентный брус'!$F$39</x:f>
        <x:v>684868.7999999995</x:v>
      </x:c>
      <x:c r="F93" s="18" t="n">
        <x:f>'Эквивалентный брус'!$E$93*'Эквивалентный брус'!$F$39</x:f>
        <x:v>896493259.1999993</x:v>
      </x:c>
    </x:row>
    <x:row r="94" ht="32" customHeight="1">
      <x:c r="A94" s="13" t="str">
        <x:f>'Эквивалентный брус'!$A$40</x:f>
        <x:v>VK</x:v>
      </x:c>
      <x:c r="B94" s="17" t="n">
        <x:f>'Эквивалентный брус'!$D$40*'Эквивалентный брус'!$E$40/100</x:f>
        <x:v>252</x:v>
      </x:c>
      <x:c r="C94" s="17" t="n">
        <x:f>'Эквивалентный брус'!$E$40*'Эквивалентный брус'!$D$40^3/120000</x:f>
        <x:v>680400</x:v>
      </x:c>
      <x:c r="D94" s="17" t="n">
        <x:f>'Эквивалентный брус'!$C$40*'Эквивалентный брус'!$B$94</x:f>
        <x:v>252</x:v>
      </x:c>
      <x:c r="E94" s="17" t="n">
        <x:f>'Эквивалентный брус'!$D$94*'Эквивалентный брус'!$F$40</x:f>
        <x:v>22680</x:v>
      </x:c>
      <x:c r="F94" s="17" t="n">
        <x:f>'Эквивалентный брус'!$E$94*'Эквивалентный брус'!$F$40</x:f>
        <x:v>2041200</x:v>
      </x:c>
    </x:row>
    <x:row r="95" ht="32" customHeight="1">
      <x:c r="A95" s="13" t="str">
        <x:f>'Эквивалентный брус'!$A$41</x:f>
        <x:v>ST</x:v>
      </x:c>
      <x:c r="B95" s="17" t="n">
        <x:f>'Эквивалентный брус'!$D$41*'Эквивалентный брус'!$E$41/100</x:f>
        <x:v>252</x:v>
      </x:c>
      <x:c r="C95" s="17" t="n">
        <x:f>'Эквивалентный брус'!$E$41*'Эквивалентный брус'!$D$41^3/120000</x:f>
        <x:v>680400</x:v>
      </x:c>
      <x:c r="D95" s="17" t="n">
        <x:f>'Эквивалентный брус'!$C$41*'Эквивалентный брус'!$B$95</x:f>
        <x:v>504</x:v>
      </x:c>
      <x:c r="E95" s="17" t="n">
        <x:f>'Эквивалентный брус'!$D$95*'Эквивалентный брус'!$F$41</x:f>
        <x:v>45360</x:v>
      </x:c>
      <x:c r="F95" s="17" t="n">
        <x:f>'Эквивалентный брус'!$E$95*'Эквивалентный брус'!$F$41</x:f>
        <x:v>4082400</x:v>
      </x:c>
    </x:row>
    <x:row r="96" ht="32" customHeight="1">
      <x:c r="A96" s="13" t="str">
        <x:f>'Эквивалентный брус'!$A$42</x:f>
        <x:v>B-L</x:v>
      </x:c>
      <x:c r="B96" s="17" t="n">
        <x:f>'HP DIN1019'!F21</x:f>
        <x:v>41.3</x:v>
      </x:c>
      <x:c r="C96" s="17" t="n">
        <x:f>'HP DIN1019'!D52</x:f>
        <x:v>2770</x:v>
      </x:c>
      <x:c r="D96" s="17" t="n">
        <x:f>'Эквивалентный брус'!$C$42*'Эквивалентный брус'!$B$96</x:f>
        <x:v>1156.3999999999999</x:v>
      </x:c>
      <x:c r="E96" s="17" t="n">
        <x:f>'Эквивалентный брус'!$D$96*'Эквивалентный брус'!$F$42</x:f>
        <x:v>18271.12</x:v>
      </x:c>
      <x:c r="F96" s="17" t="n">
        <x:f>'Эквивалентный брус'!$E$96*'Эквивалентный брус'!$F$42</x:f>
        <x:v>288683.696</x:v>
      </x:c>
    </x:row>
    <x:row r="97" ht="32" customHeight="1">
      <x:c r="A97" s="13" t="str">
        <x:f>'Эквивалентный брус'!$A$43</x:f>
        <x:v>IB-L</x:v>
      </x:c>
      <x:c r="B97" s="17" t="n">
        <x:f>'HP DIN1019'!F19</x:f>
        <x:v>36.1</x:v>
      </x:c>
      <x:c r="C97" s="17" t="n">
        <x:f>'HP DIN1019'!D50</x:f>
        <x:v>2477</x:v>
      </x:c>
      <x:c r="D97" s="17" t="n">
        <x:f>'Эквивалентный брус'!$C$43*'Эквивалентный брус'!$B$97</x:f>
        <x:v>1010.8000000000001</x:v>
      </x:c>
      <x:c r="E97" s="17" t="n">
        <x:f>'Эквивалентный брус'!$D$97*'Эквивалентный брус'!$F$43</x:f>
        <x:v>165569.04</x:v>
      </x:c>
      <x:c r="F97" s="18" t="n">
        <x:f>'Эквивалентный брус'!$E$97*'Эквивалентный брус'!$F$43</x:f>
        <x:v>27120208.752000004</x:v>
      </x:c>
    </x:row>
    <x:row r="98" ht="32" customHeight="1">
      <x:c r="A98" s="13" t="str">
        <x:f>'Эквивалентный брус'!$A$44</x:f>
        <x:v>DW1</x:v>
      </x:c>
      <x:c r="B98" s="17" t="n">
        <x:f>'HP DIN1019'!F11</x:f>
        <x:v>22.5</x:v>
      </x:c>
      <x:c r="C98" s="17" t="n">
        <x:f>'HP DIN1019'!D42</x:f>
        <x:v>717</x:v>
      </x:c>
      <x:c r="D98" s="17" t="n">
        <x:f>'Эквивалентный брус'!$C$44*'Эквивалентный брус'!$B$98</x:f>
        <x:v>45</x:v>
      </x:c>
      <x:c r="E98" s="17" t="n">
        <x:f>'Эквивалентный брус'!$D$98*'Эквивалентный брус'!$F$44</x:f>
        <x:v>63090</x:v>
      </x:c>
      <x:c r="F98" s="18" t="n">
        <x:f>'Эквивалентный брус'!$E$98*'Эквивалентный брус'!$F$44</x:f>
        <x:v>88452180</x:v>
      </x:c>
    </x:row>
    <x:row r="99" ht="32" customHeight="1">
      <x:c r="A99" s="13" t="str">
        <x:f>'Эквивалентный брус'!$A$45</x:f>
        <x:v>DW2</x:v>
      </x:c>
      <x:c r="B99" s="17" t="n">
        <x:f>'HP DIN1019'!F11</x:f>
        <x:v>22.5</x:v>
      </x:c>
      <x:c r="C99" s="17" t="n">
        <x:f>'HP DIN1019'!D42</x:f>
        <x:v>717</x:v>
      </x:c>
      <x:c r="D99" s="17" t="n">
        <x:f>'Эквивалентный брус'!$C$45*'Эквивалентный брус'!$B$99</x:f>
        <x:v>45</x:v>
      </x:c>
      <x:c r="E99" s="17" t="n">
        <x:f>'Эквивалентный брус'!$D$99*'Эквивалентный брус'!$F$45</x:f>
        <x:v>63216.00000000001</x:v>
      </x:c>
      <x:c r="F99" s="18" t="n">
        <x:f>'Эквивалентный брус'!$E$99*'Эквивалентный брус'!$F$45</x:f>
        <x:v>88805836.80000003</x:v>
      </x:c>
    </x:row>
    <x:row r="100" ht="32" customHeight="1">
      <x:c r="A100" s="13" t="str">
        <x:f>'Эквивалентный брус'!$A$46</x:f>
        <x:v>DL1</x:v>
      </x:c>
      <x:c r="B100" s="17" t="n">
        <x:f>'HP DIN1019'!F11</x:f>
        <x:v>22.5</x:v>
      </x:c>
      <x:c r="C100" s="17" t="n">
        <x:f>'HP DIN1019'!D42</x:f>
        <x:v>717</x:v>
      </x:c>
      <x:c r="D100" s="17" t="n">
        <x:f>'Эквивалентный брус'!$C$46*'Эквивалентный брус'!$B$100</x:f>
        <x:v>45</x:v>
      </x:c>
      <x:c r="E100" s="17" t="n">
        <x:f>'Эквивалентный брус'!$D$100*'Эквивалентный брус'!$F$46</x:f>
        <x:v>63459</x:v>
      </x:c>
      <x:c r="F100" s="18" t="n">
        <x:f>'Эквивалентный брус'!$E$100*'Эквивалентный брус'!$F$46</x:f>
        <x:v>89489881.8</x:v>
      </x:c>
    </x:row>
    <x:row r="101" ht="32" customHeight="1">
      <x:c r="A101" s="13" t="str">
        <x:f>'Эквивалентный брус'!$A$47</x:f>
        <x:v>DL2</x:v>
      </x:c>
      <x:c r="B101" s="17" t="n">
        <x:f>'HP DIN1019'!F11</x:f>
        <x:v>22.5</x:v>
      </x:c>
      <x:c r="C101" s="17" t="n">
        <x:f>'HP DIN1019'!D42</x:f>
        <x:v>717</x:v>
      </x:c>
      <x:c r="D101" s="17" t="n">
        <x:f>'Эквивалентный брус'!$C$47*'Эквивалентный брус'!$B$101</x:f>
        <x:v>45</x:v>
      </x:c>
      <x:c r="E101" s="17" t="n">
        <x:f>'Эквивалентный брус'!$D$101*'Эквивалентный брус'!$F$47</x:f>
        <x:v>63585</x:v>
      </x:c>
      <x:c r="F101" s="18" t="n">
        <x:f>'Эквивалентный брус'!$E$101*'Эквивалентный брус'!$F$47</x:f>
        <x:v>89845605</x:v>
      </x:c>
    </x:row>
    <x:row r="102" ht="32" customHeight="1">
      <x:c r="A102" s="13" t="str">
        <x:f>'Эквивалентный брус'!$A$48</x:f>
        <x:v>DL3</x:v>
      </x:c>
      <x:c r="B102" s="17" t="n">
        <x:f>'HP DIN1019'!F11</x:f>
        <x:v>22.5</x:v>
      </x:c>
      <x:c r="C102" s="17" t="n">
        <x:f>'HP DIN1019'!D42</x:f>
        <x:v>717</x:v>
      </x:c>
      <x:c r="D102" s="17" t="n">
        <x:f>'Эквивалентный брус'!$C$48*'Эквивалентный брус'!$B$102</x:f>
        <x:v>45</x:v>
      </x:c>
      <x:c r="E102" s="17" t="n">
        <x:f>'Эквивалентный брус'!$D$102*'Эквивалентный брус'!$F$48</x:f>
        <x:v>63702.00000000001</x:v>
      </x:c>
      <x:c r="F102" s="18" t="n">
        <x:f>'Эквивалентный брус'!$E$102*'Эквивалентный брус'!$F$48</x:f>
        <x:v>90176551.20000002</x:v>
      </x:c>
    </x:row>
    <x:row r="103" ht="32" customHeight="1">
      <x:c r="A103" s="13" t="str">
        <x:f>'Эквивалентный брус'!$A$49</x:f>
        <x:v>DL4</x:v>
      </x:c>
      <x:c r="B103" s="17" t="n">
        <x:f>'HP DIN1019'!F11</x:f>
        <x:v>22.5</x:v>
      </x:c>
      <x:c r="C103" s="17" t="n">
        <x:f>'HP DIN1019'!D42</x:f>
        <x:v>717</x:v>
      </x:c>
      <x:c r="D103" s="17" t="n">
        <x:f>'Эквивалентный брус'!$C$49*'Эквивалентный брус'!$B$103</x:f>
        <x:v>45</x:v>
      </x:c>
      <x:c r="E103" s="17" t="n">
        <x:f>'Эквивалентный брус'!$D$103*'Эквивалентный брус'!$F$49</x:f>
        <x:v>63819</x:v>
      </x:c>
      <x:c r="F103" s="18" t="n">
        <x:f>'Эквивалентный брус'!$E$103*'Эквивалентный брус'!$F$49</x:f>
        <x:v>90508105.8</x:v>
      </x:c>
    </x:row>
    <x:row r="104" ht="32" customHeight="1">
      <x:c r="A104" s="13" t="str">
        <x:f>'Эквивалентный брус'!$A$50</x:f>
        <x:v>DL5</x:v>
      </x:c>
      <x:c r="B104" s="17" t="n">
        <x:f>'HP DIN1019'!F11</x:f>
        <x:v>22.5</x:v>
      </x:c>
      <x:c r="C104" s="17" t="n">
        <x:f>'HP DIN1019'!D42</x:f>
        <x:v>717</x:v>
      </x:c>
      <x:c r="D104" s="17" t="n">
        <x:f>'Эквивалентный брус'!$C$50*'Эквивалентный брус'!$B$104</x:f>
        <x:v>45</x:v>
      </x:c>
      <x:c r="E104" s="17" t="n">
        <x:f>'Эквивалентный брус'!$D$104*'Эквивалентный брус'!$F$50</x:f>
        <x:v>63936.00000000001</x:v>
      </x:c>
      <x:c r="F104" s="18" t="n">
        <x:f>'Эквивалентный брус'!$E$104*'Эквивалентный брус'!$F$50</x:f>
        <x:v>90840268.80000003</x:v>
      </x:c>
    </x:row>
    <x:row r="105" ht="32" customHeight="1">
      <x:c r="A105" s="13" t="str">
        <x:f>'Эквивалентный брус'!$A$51</x:f>
        <x:v>DL6</x:v>
      </x:c>
      <x:c r="B105" s="17" t="n">
        <x:f>'HP DIN1019'!F11</x:f>
        <x:v>22.5</x:v>
      </x:c>
      <x:c r="C105" s="17" t="n">
        <x:f>'HP DIN1019'!D42</x:f>
        <x:v>717</x:v>
      </x:c>
      <x:c r="D105" s="17" t="n">
        <x:f>'Эквивалентный брус'!$C$51*'Эквивалентный брус'!$B$105</x:f>
        <x:v>45</x:v>
      </x:c>
      <x:c r="E105" s="17" t="n">
        <x:f>'Эквивалентный брус'!$D$105*'Эквивалентный брус'!$F$51</x:f>
        <x:v>64053.00000000001</x:v>
      </x:c>
      <x:c r="F105" s="18" t="n">
        <x:f>'Эквивалентный брус'!$E$105*'Эквивалентный брус'!$F$51</x:f>
        <x:v>91173040.20000002</x:v>
      </x:c>
    </x:row>
    <x:row r="106" ht="32" customHeight="1">
      <x:c r="A106" s="13" t="str">
        <x:f>'Эквивалентный брус'!$A$52</x:f>
        <x:v>DL7</x:v>
      </x:c>
      <x:c r="B106" s="17" t="n">
        <x:f>'HP DIN1019'!F11</x:f>
        <x:v>22.5</x:v>
      </x:c>
      <x:c r="C106" s="17" t="n">
        <x:f>'HP DIN1019'!D42</x:f>
        <x:v>717</x:v>
      </x:c>
      <x:c r="D106" s="17" t="n">
        <x:f>'Эквивалентный брус'!$C$52*'Эквивалентный брус'!$B$106</x:f>
        <x:v>45</x:v>
      </x:c>
      <x:c r="E106" s="17" t="n">
        <x:f>'Эквивалентный брус'!$D$106*'Эквивалентный брус'!$F$52</x:f>
        <x:v>64170</x:v>
      </x:c>
      <x:c r="F106" s="18" t="n">
        <x:f>'Эквивалентный брус'!$E$106*'Эквивалентный брус'!$F$52</x:f>
        <x:v>91506420</x:v>
      </x:c>
    </x:row>
    <x:row r="107" ht="32" customHeight="1">
      <x:c r="A107" s="13" t="str">
        <x:f>'Эквивалентный брус'!$A$53</x:f>
        <x:v>DL8</x:v>
      </x:c>
      <x:c r="B107" s="17" t="n">
        <x:f>'HP DIN1019'!F11</x:f>
        <x:v>22.5</x:v>
      </x:c>
      <x:c r="C107" s="17" t="n">
        <x:f>'HP DIN1019'!D42</x:f>
        <x:v>717</x:v>
      </x:c>
      <x:c r="D107" s="17" t="n">
        <x:f>'Эквивалентный брус'!$C$53*'Эквивалентный брус'!$B$107</x:f>
        <x:v>45</x:v>
      </x:c>
      <x:c r="E107" s="17" t="n">
        <x:f>'Эквивалентный брус'!$D$107*'Эквивалентный брус'!$F$53</x:f>
        <x:v>64287.00000000001</x:v>
      </x:c>
      <x:c r="F107" s="18" t="n">
        <x:f>'Эквивалентный брус'!$E$107*'Эквивалентный брус'!$F$53</x:f>
        <x:v>91840408.20000002</x:v>
      </x:c>
    </x:row>
    <x:row r="108" ht="32" customHeight="1">
      <x:c r="A108" s="13" t="str">
        <x:f>'Эквивалентный брус'!$A$54</x:f>
        <x:v>DL9</x:v>
      </x:c>
      <x:c r="B108" s="17" t="n">
        <x:f>'HP DIN1019'!F11</x:f>
        <x:v>22.5</x:v>
      </x:c>
      <x:c r="C108" s="17" t="n">
        <x:f>'HP DIN1019'!D42</x:f>
        <x:v>717</x:v>
      </x:c>
      <x:c r="D108" s="17" t="n">
        <x:f>'Эквивалентный брус'!$C$54*'Эквивалентный брус'!$B$108</x:f>
        <x:v>45</x:v>
      </x:c>
      <x:c r="E108" s="17" t="n">
        <x:f>'Эквивалентный брус'!$D$108*'Эквивалентный брус'!$F$54</x:f>
        <x:v>64404</x:v>
      </x:c>
      <x:c r="F108" s="18" t="n">
        <x:f>'Эквивалентный брус'!$E$108*'Эквивалентный брус'!$F$54</x:f>
        <x:v>92175004.8</x:v>
      </x:c>
    </x:row>
    <x:row r="109" ht="32" customHeight="1">
      <x:c r="A109" s="13" t="str">
        <x:f>'Эквивалентный брус'!$A$55</x:f>
        <x:v>DL10</x:v>
      </x:c>
      <x:c r="B109" s="17" t="n">
        <x:f>'HP DIN1019'!F11</x:f>
        <x:v>22.5</x:v>
      </x:c>
      <x:c r="C109" s="17" t="n">
        <x:f>'HP DIN1019'!D42</x:f>
        <x:v>717</x:v>
      </x:c>
      <x:c r="D109" s="17" t="n">
        <x:f>'Эквивалентный брус'!$C$55*'Эквивалентный брус'!$B$109</x:f>
        <x:v>45</x:v>
      </x:c>
      <x:c r="E109" s="17" t="n">
        <x:f>'Эквивалентный брус'!$D$109*'Эквивалентный брус'!$F$55</x:f>
        <x:v>64521</x:v>
      </x:c>
      <x:c r="F109" s="18" t="n">
        <x:f>'Эквивалентный брус'!$E$109*'Эквивалентный брус'!$F$55</x:f>
        <x:v>92510209.8</x:v>
      </x:c>
    </x:row>
    <x:row r="110" ht="32" customHeight="1">
      <x:c r="A110" s="13" t="str">
        <x:f>'Эквивалентный брус'!$A$56</x:f>
        <x:v>DL11</x:v>
      </x:c>
      <x:c r="B110" s="17" t="n">
        <x:f>'HP DIN1019'!F11</x:f>
        <x:v>22.5</x:v>
      </x:c>
      <x:c r="C110" s="17" t="n">
        <x:f>'HP DIN1019'!D42</x:f>
        <x:v>717</x:v>
      </x:c>
      <x:c r="D110" s="17" t="n">
        <x:f>'Эквивалентный брус'!$C$56*'Эквивалентный брус'!$B$110</x:f>
        <x:v>45</x:v>
      </x:c>
      <x:c r="E110" s="17" t="n">
        <x:f>'Эквивалентный брус'!$D$110*'Эквивалентный брус'!$F$56</x:f>
        <x:v>64638.00000000001</x:v>
      </x:c>
      <x:c r="F110" s="18" t="n">
        <x:f>'Эквивалентный брус'!$E$110*'Эквивалентный брус'!$F$56</x:f>
        <x:v>92846023.20000002</x:v>
      </x:c>
    </x:row>
    <x:row r="111" ht="32" customHeight="1">
      <x:c r="A111" s="13" t="str">
        <x:f>'Эквивалентный брус'!$A$57</x:f>
        <x:v>DL12</x:v>
      </x:c>
      <x:c r="B111" s="17" t="n">
        <x:f>'HP DIN1019'!F11</x:f>
        <x:v>22.5</x:v>
      </x:c>
      <x:c r="C111" s="17" t="n">
        <x:f>'HP DIN1019'!D42</x:f>
        <x:v>717</x:v>
      </x:c>
      <x:c r="D111" s="17" t="n">
        <x:f>'Эквивалентный брус'!$C$57*'Эквивалентный брус'!$B$111</x:f>
        <x:v>45</x:v>
      </x:c>
      <x:c r="E111" s="17" t="n">
        <x:f>'Эквивалентный брус'!$D$111*'Эквивалентный брус'!$F$57</x:f>
        <x:v>64755</x:v>
      </x:c>
      <x:c r="F111" s="18" t="n">
        <x:f>'Эквивалентный брус'!$E$111*'Эквивалентный брус'!$F$57</x:f>
        <x:v>93182445</x:v>
      </x:c>
    </x:row>
    <x:row r="112" ht="32" customHeight="1">
      <x:c r="A112" s="13" t="str">
        <x:f>'Эквивалентный брус'!$A$58</x:f>
        <x:v>DL13</x:v>
      </x:c>
      <x:c r="B112" s="17" t="n">
        <x:f>'HP DIN1019'!F11</x:f>
        <x:v>22.5</x:v>
      </x:c>
      <x:c r="C112" s="17" t="n">
        <x:f>'HP DIN1019'!D42</x:f>
        <x:v>717</x:v>
      </x:c>
      <x:c r="D112" s="17" t="n">
        <x:f>'Эквивалентный брус'!$C$58*'Эквивалентный брус'!$B$112</x:f>
        <x:v>45</x:v>
      </x:c>
      <x:c r="E112" s="17" t="n">
        <x:f>'Эквивалентный брус'!$D$112*'Эквивалентный брус'!$F$58</x:f>
        <x:v>64872.00000000001</x:v>
      </x:c>
      <x:c r="F112" s="18" t="n">
        <x:f>'Эквивалентный брус'!$E$112*'Эквивалентный брус'!$F$58</x:f>
        <x:v>93519475.20000002</x:v>
      </x:c>
    </x:row>
    <x:row r="113" ht="32" customHeight="1">
      <x:c r="A113" s="13" t="str">
        <x:f>'Эквивалентный брус'!$A$59</x:f>
        <x:v>DL14</x:v>
      </x:c>
      <x:c r="B113" s="17" t="n">
        <x:f>'HP DIN1019'!F11</x:f>
        <x:v>22.5</x:v>
      </x:c>
      <x:c r="C113" s="17" t="n">
        <x:f>'HP DIN1019'!D42</x:f>
        <x:v>717</x:v>
      </x:c>
      <x:c r="D113" s="17" t="n">
        <x:f>'Эквивалентный брус'!$C$59*'Эквивалентный брус'!$B$113</x:f>
        <x:v>45</x:v>
      </x:c>
      <x:c r="E113" s="17" t="n">
        <x:f>'Эквивалентный брус'!$D$113*'Эквивалентный брус'!$F$59</x:f>
        <x:v>64998.00000000001</x:v>
      </x:c>
      <x:c r="F113" s="18" t="n">
        <x:f>'Эквивалентный брус'!$E$113*'Эквивалентный брус'!$F$59</x:f>
        <x:v>93883111.20000002</x:v>
      </x:c>
    </x:row>
    <x:row r="114" ht="32" customHeight="1">
      <x:c r="A114" s="13" t="str">
        <x:f>'Эквивалентный брус'!$A$60</x:f>
        <x:v>Σ</x:v>
      </x:c>
      <x:c r="B114" s="3"/>
      <x:c r="C114" s="3"/>
      <x:c r="D114" s="17" t="n">
        <x:f>SUM('Эквивалентный брус'!$D$66:$D$113)</x:f>
        <x:v>20450.08992519544</x:v>
      </x:c>
      <x:c r="E114" s="18" t="n">
        <x:f>SUM('Эквивалентный брус'!$E$66:$E$113)</x:f>
        <x:v>10790964.721260844</x:v>
      </x:c>
      <x:c r="F114" s="18" t="n">
        <x:f>SUM('Эквивалентный брус'!$F$66:$F$113)</x:f>
        <x:v>11685402768.586159</x:v>
      </x:c>
    </x:row>
    <x:row r="115" ht="32" customHeight="1">
      <x:c r="A115" s="3"/>
      <x:c r="B115" s="3"/>
      <x:c r="C115" s="3"/>
      <x:c r="D115" s="3"/>
      <x:c r="E115" s="3"/>
      <x:c r="F115" s="3"/>
    </x:row>
    <x:row r="116" ht="32" customHeight="1">
      <x:c r="A116" s="3"/>
      <x:c r="B116" s="3"/>
      <x:c r="C116" s="3"/>
      <x:c r="D116" s="3"/>
      <x:c r="E116" s="3"/>
      <x:c r="F116" s="3"/>
    </x:row>
    <x:row r="117" ht="32" customHeight="1">
      <x:c r="A117" s="3"/>
      <x:c r="B117" s="3"/>
      <x:c r="C117" s="3"/>
      <x:c r="D117" s="3"/>
      <x:c r="E117" s="3"/>
      <x:c r="F117" s="3"/>
    </x:row>
    <x:row r="118" ht="36" customHeight="1">
      <x:c r="A118" s="11" t="str">
        <x:v>3. Собственные моменты инерции</x:v>
      </x:c>
      <x:c r="B118" s="11"/>
      <x:c r="C118" s="11"/>
      <x:c r="D118" s="11"/>
      <x:c r="E118" s="11"/>
      <x:c r="F118" s="11"/>
    </x:row>
    <x:row r="119" ht="54" customHeight="1">
      <x:c r="A119" s="6" t="str">
        <x:v>Марка</x:v>
      </x:c>
      <x:c r="B119" s="6" t="str">
        <x:v>ni₁, см⁴</x:v>
      </x:c>
      <x:c r="C119" s="6"/>
      <x:c r="D119" s="6"/>
      <x:c r="E119" s="6"/>
      <x:c r="F119" s="6"/>
    </x:row>
    <x:row r="120" ht="32" customHeight="1">
      <x:c r="A120" s="13" t="str">
        <x:f>'Эквивалентный брус'!$A$12</x:f>
        <x:v>KL/2</x:v>
      </x:c>
      <x:c r="B120" s="17" t="n">
        <x:f>'Эквивалентный брус'!$C$12*'Эквивалентный брус'!$C$66</x:f>
        <x:v>59.77483333333333</x:v>
      </x:c>
      <x:c r="C120" s="3"/>
      <x:c r="D120" s="3"/>
      <x:c r="E120" s="3"/>
      <x:c r="F120" s="3"/>
    </x:row>
    <x:row r="121" ht="32" customHeight="1">
      <x:c r="A121" s="13" t="str">
        <x:f>'Эквивалентный брус'!$A$13</x:f>
        <x:v>A</x:v>
      </x:c>
      <x:c r="B121" s="17" t="n">
        <x:f>'Эквивалентный брус'!$C$13*'Эквивалентный брус'!$C$67</x:f>
        <x:v>101.25</x:v>
      </x:c>
      <x:c r="C121" s="3"/>
      <x:c r="D121" s="3"/>
      <x:c r="E121" s="3"/>
      <x:c r="F121" s="3"/>
    </x:row>
    <x:row r="122" ht="32" customHeight="1">
      <x:c r="A122" s="13" t="str">
        <x:f>'Эквивалентный брус'!$A$14</x:f>
        <x:v>B</x:v>
      </x:c>
      <x:c r="B122" s="17" t="n">
        <x:f>'Эквивалентный брус'!$C$14*'Эквивалентный брус'!$C$68</x:f>
        <x:v>101.25</x:v>
      </x:c>
      <x:c r="C122" s="3"/>
      <x:c r="D122" s="3"/>
      <x:c r="E122" s="3"/>
      <x:c r="F122" s="3"/>
    </x:row>
    <x:row r="123" ht="32" customHeight="1">
      <x:c r="A123" s="13" t="str">
        <x:f>'Эквивалентный брус'!$A$15</x:f>
        <x:v>C</x:v>
      </x:c>
      <x:c r="B123" s="17" t="n">
        <x:f>'Эквивалентный брус'!$C$15*'Эквивалентный брус'!$C$69</x:f>
        <x:v>101.25</x:v>
      </x:c>
      <x:c r="C123" s="3"/>
      <x:c r="D123" s="3"/>
      <x:c r="E123" s="3"/>
      <x:c r="F123" s="3"/>
    </x:row>
    <x:row r="124" ht="32" customHeight="1">
      <x:c r="A124" s="13" t="str">
        <x:f>'Эквивалентный брус'!$A$16</x:f>
        <x:v>D</x:v>
      </x:c>
      <x:c r="B124" s="17" t="n">
        <x:f>'Эквивалентный брус'!$C$16*'Эквивалентный брус'!$C$70</x:f>
        <x:v>101.25</x:v>
      </x:c>
      <x:c r="C124" s="3"/>
      <x:c r="D124" s="3"/>
      <x:c r="E124" s="3"/>
      <x:c r="F124" s="3"/>
    </x:row>
    <x:row r="125" ht="32" customHeight="1">
      <x:c r="A125" s="13" t="str">
        <x:f>'Эквивалентный брус'!$A$17</x:f>
        <x:v>E</x:v>
      </x:c>
      <x:c r="B125" s="17" t="n">
        <x:f>'Эквивалентный брус'!$C$17*'Эквивалентный брус'!$C$71</x:f>
        <x:v>101.25</x:v>
      </x:c>
      <x:c r="C125" s="3"/>
      <x:c r="D125" s="3"/>
      <x:c r="E125" s="3"/>
      <x:c r="F125" s="3"/>
    </x:row>
    <x:row r="126" ht="32" customHeight="1">
      <x:c r="A126" s="13" t="str">
        <x:f>'Эквивалентный брус'!$A$18</x:f>
        <x:v>F₁</x:v>
      </x:c>
      <x:c r="B126" s="17" t="n">
        <x:f>'Эквивалентный брус'!$C$18*'Эквивалентный брус'!$C$72</x:f>
        <x:v>46.1249999999999</x:v>
      </x:c>
      <x:c r="C126" s="3"/>
      <x:c r="D126" s="3"/>
      <x:c r="E126" s="3"/>
      <x:c r="F126" s="3"/>
    </x:row>
    <x:row r="127" ht="32" customHeight="1">
      <x:c r="A127" s="13" t="str">
        <x:f>'Эквивалентный брус'!$A$19</x:f>
        <x:v>F₂</x:v>
      </x:c>
      <x:c r="B127" s="17" t="n">
        <x:f>'Эквивалентный брус'!$C$19*'Эквивалентный брус'!$C$73</x:f>
        <x:v>70333.93074206417</x:v>
      </x:c>
      <x:c r="C127" s="3"/>
      <x:c r="D127" s="3"/>
      <x:c r="E127" s="3"/>
      <x:c r="F127" s="3"/>
    </x:row>
    <x:row r="128" ht="32" customHeight="1">
      <x:c r="A128" s="13" t="str">
        <x:f>'Эквивалентный брус'!$A$20</x:f>
        <x:v>G₁</x:v>
      </x:c>
      <x:c r="B128" s="17" t="n">
        <x:f>'Эквивалентный брус'!$C$20*'Эквивалентный брус'!$C$74</x:f>
        <x:v>225332.5997438819</x:v>
      </x:c>
      <x:c r="C128" s="3"/>
      <x:c r="D128" s="3"/>
      <x:c r="E128" s="3"/>
      <x:c r="F128" s="3"/>
    </x:row>
    <x:row r="129" ht="32" customHeight="1">
      <x:c r="A129" s="13" t="str">
        <x:f>'Эквивалентный брус'!$A$21</x:f>
        <x:v>G₂</x:v>
      </x:c>
      <x:c r="B129" s="17" t="n">
        <x:f>'Эквивалентный брус'!$C$21*'Эквивалентный брус'!$C$75</x:f>
        <x:v>235936.14416262272</x:v>
      </x:c>
      <x:c r="C129" s="3"/>
      <x:c r="D129" s="3"/>
      <x:c r="E129" s="3"/>
      <x:c r="F129" s="3"/>
    </x:row>
    <x:row r="130" ht="32" customHeight="1">
      <x:c r="A130" s="13" t="str">
        <x:f>'Эквивалентный брус'!$A$22</x:f>
        <x:v>H</x:v>
      </x:c>
      <x:c r="B130" s="17" t="n">
        <x:f>'Эквивалентный брус'!$C$22*'Эквивалентный брус'!$C$76</x:f>
        <x:v>1092266.6666666667</x:v>
      </x:c>
      <x:c r="C130" s="3"/>
      <x:c r="D130" s="3"/>
      <x:c r="E130" s="3"/>
      <x:c r="F130" s="3"/>
    </x:row>
    <x:row r="131" ht="32" customHeight="1">
      <x:c r="A131" s="13" t="str">
        <x:f>'Эквивалентный брус'!$A$23</x:f>
        <x:v>I</x:v>
      </x:c>
      <x:c r="B131" s="17" t="n">
        <x:f>'Эквивалентный брус'!$C$23*'Эквивалентный брус'!$C$77</x:f>
        <x:v>1024000</x:v>
      </x:c>
      <x:c r="C131" s="3"/>
      <x:c r="D131" s="3"/>
      <x:c r="E131" s="3"/>
      <x:c r="F131" s="3"/>
    </x:row>
    <x:row r="132" ht="32" customHeight="1">
      <x:c r="A132" s="13" t="str">
        <x:f>'Эквивалентный брус'!$A$24</x:f>
        <x:v>J</x:v>
      </x:c>
      <x:c r="B132" s="17" t="n">
        <x:f>'Эквивалентный брус'!$C$24*'Эквивалентный брус'!$C$78</x:f>
        <x:v>1024000</x:v>
      </x:c>
      <x:c r="C132" s="3"/>
      <x:c r="D132" s="3"/>
      <x:c r="E132" s="3"/>
      <x:c r="F132" s="3"/>
    </x:row>
    <x:row r="133" ht="32" customHeight="1">
      <x:c r="A133" s="13" t="str">
        <x:f>'Эквивалентный брус'!$A$25</x:f>
        <x:v>K</x:v>
      </x:c>
      <x:c r="B133" s="17" t="n">
        <x:f>'Эквивалентный брус'!$C$25*'Эквивалентный брус'!$C$79</x:f>
        <x:v>955733.3333333334</x:v>
      </x:c>
      <x:c r="C133" s="3"/>
      <x:c r="D133" s="3"/>
      <x:c r="E133" s="3"/>
      <x:c r="F133" s="3"/>
    </x:row>
    <x:row r="134" ht="32" customHeight="1">
      <x:c r="A134" s="13" t="str">
        <x:f>'Эквивалентный брус'!$A$26</x:f>
        <x:v>L</x:v>
      </x:c>
      <x:c r="B134" s="17" t="n">
        <x:f>'Эквивалентный брус'!$C$26*'Эквивалентный брус'!$C$80</x:f>
        <x:v>887466.6666666666</x:v>
      </x:c>
      <x:c r="C134" s="3"/>
      <x:c r="D134" s="3"/>
      <x:c r="E134" s="3"/>
      <x:c r="F134" s="3"/>
    </x:row>
    <x:row r="135" ht="32" customHeight="1">
      <x:c r="A135" s="13" t="str">
        <x:f>'Эквивалентный брус'!$A$27</x:f>
        <x:v>M</x:v>
      </x:c>
      <x:c r="B135" s="17" t="n">
        <x:f>'Эквивалентный брус'!$C$27*'Эквивалентный брус'!$C$81</x:f>
        <x:v>288240.46124950086</x:v>
      </x:c>
      <x:c r="C135" s="3"/>
      <x:c r="D135" s="3"/>
      <x:c r="E135" s="3"/>
      <x:c r="F135" s="3"/>
    </x:row>
    <x:row r="136" ht="32" customHeight="1">
      <x:c r="A136" s="13" t="str">
        <x:f>'Эквивалентный брус'!$A$28</x:f>
        <x:v>N</x:v>
      </x:c>
      <x:c r="B136" s="17" t="n">
        <x:f>'Эквивалентный брус'!$C$28*'Эквивалентный брус'!$C$82</x:f>
        <x:v>288240.46124950086</x:v>
      </x:c>
      <x:c r="C136" s="3"/>
      <x:c r="D136" s="3"/>
      <x:c r="E136" s="3"/>
      <x:c r="F136" s="3"/>
    </x:row>
    <x:row r="137" ht="32" customHeight="1">
      <x:c r="A137" s="13" t="str">
        <x:f>'Эквивалентный брус'!$A$29</x:f>
        <x:v>SH</x:v>
      </x:c>
      <x:c r="B137" s="17" t="n">
        <x:f>'Эквивалентный брус'!$C$29*'Эквивалентный брус'!$C$83</x:f>
        <x:v>570558.2666666667</x:v>
      </x:c>
      <x:c r="C137" s="3"/>
      <x:c r="D137" s="3"/>
      <x:c r="E137" s="3"/>
      <x:c r="F137" s="3"/>
    </x:row>
    <x:row r="138" ht="32" customHeight="1">
      <x:c r="A138" s="13" t="str">
        <x:f>'Эквивалентный брус'!$A$30</x:f>
        <x:v>IM</x:v>
      </x:c>
      <x:c r="B138" s="17" t="n">
        <x:f>'Эквивалентный брус'!$C$30*'Эквивалентный брус'!$C$84</x:f>
        <x:v>112.5</x:v>
      </x:c>
      <x:c r="C138" s="3"/>
      <x:c r="D138" s="3"/>
      <x:c r="E138" s="3"/>
      <x:c r="F138" s="3"/>
    </x:row>
    <x:row r="139" ht="32" customHeight="1">
      <x:c r="A139" s="13" t="str">
        <x:f>'Эквивалентный брус'!$A$31</x:f>
        <x:v>IB</x:v>
      </x:c>
      <x:c r="B139" s="17" t="n">
        <x:f>'Эквивалентный брус'!$C$31*'Эквивалентный брус'!$C$85</x:f>
        <x:v>559.6875</x:v>
      </x:c>
      <x:c r="C139" s="3"/>
      <x:c r="D139" s="3"/>
      <x:c r="E139" s="3"/>
      <x:c r="F139" s="3"/>
    </x:row>
    <x:row r="140" ht="32" customHeight="1">
      <x:c r="A140" s="13" t="str">
        <x:f>'Эквивалентный брус'!$A$32</x:f>
        <x:v>DK</x:v>
      </x:c>
      <x:c r="B140" s="17" t="n">
        <x:f>'Эквивалентный брус'!$C$32*'Эквивалентный брус'!$C$86</x:f>
        <x:v>501235.5385843167</x:v>
      </x:c>
      <x:c r="C140" s="3"/>
      <x:c r="D140" s="3"/>
      <x:c r="E140" s="3"/>
      <x:c r="F140" s="3"/>
    </x:row>
    <x:row r="141" ht="32" customHeight="1">
      <x:c r="A141" s="13" t="str">
        <x:f>'Эквивалентный брус'!$A$33</x:f>
        <x:v>ISG</x:v>
      </x:c>
      <x:c r="B141" s="17" t="n">
        <x:f>'Эквивалентный брус'!$C$33*'Эквивалентный брус'!$C$87</x:f>
        <x:v>1228250</x:v>
      </x:c>
      <x:c r="C141" s="3"/>
      <x:c r="D141" s="3"/>
      <x:c r="E141" s="3"/>
      <x:c r="F141" s="3"/>
    </x:row>
    <x:row r="142" ht="32" customHeight="1">
      <x:c r="A142" s="13" t="str">
        <x:f>'Эквивалентный брус'!$A$34</x:f>
        <x:v>ISF</x:v>
      </x:c>
      <x:c r="B142" s="17" t="n">
        <x:f>'Эквивалентный брус'!$C$34*'Эквивалентный брус'!$C$88</x:f>
        <x:v>1146366.6666666667</x:v>
      </x:c>
      <x:c r="C142" s="3"/>
      <x:c r="D142" s="3"/>
      <x:c r="E142" s="3"/>
      <x:c r="F142" s="3"/>
    </x:row>
    <x:row r="143" ht="32" customHeight="1">
      <x:c r="A143" s="13" t="str">
        <x:f>'Эквивалентный брус'!$A$35</x:f>
        <x:v>ISE</x:v>
      </x:c>
      <x:c r="B143" s="17" t="n">
        <x:f>'Эквивалентный брус'!$C$35*'Эквивалентный брус'!$C$89</x:f>
        <x:v>1146366.6666666667</x:v>
      </x:c>
      <x:c r="C143" s="3"/>
      <x:c r="D143" s="3"/>
      <x:c r="E143" s="3"/>
      <x:c r="F143" s="3"/>
    </x:row>
    <x:row r="144" ht="32" customHeight="1">
      <x:c r="A144" s="13" t="str">
        <x:f>'Эквивалентный брус'!$A$36</x:f>
        <x:v>ISD</x:v>
      </x:c>
      <x:c r="B144" s="17" t="n">
        <x:f>'Эквивалентный брус'!$C$36*'Эквивалентный брус'!$C$90</x:f>
        <x:v>1064483.3333333333</x:v>
      </x:c>
      <x:c r="C144" s="3"/>
      <x:c r="D144" s="3"/>
      <x:c r="E144" s="3"/>
      <x:c r="F144" s="3"/>
    </x:row>
    <x:row r="145" ht="32" customHeight="1">
      <x:c r="A145" s="13" t="str">
        <x:f>'Эквивалентный брус'!$A$37</x:f>
        <x:v>ISC</x:v>
      </x:c>
      <x:c r="B145" s="17" t="n">
        <x:f>'Эквивалентный брус'!$C$37*'Эквивалентный брус'!$C$91</x:f>
        <x:v>982600</x:v>
      </x:c>
      <x:c r="C145" s="3"/>
      <x:c r="D145" s="3"/>
      <x:c r="E145" s="3"/>
      <x:c r="F145" s="3"/>
    </x:row>
    <x:row r="146" ht="32" customHeight="1">
      <x:c r="A146" s="13" t="str">
        <x:f>'Эквивалентный брус'!$A$38</x:f>
        <x:v>ISB</x:v>
      </x:c>
      <x:c r="B146" s="17" t="n">
        <x:f>'Эквивалентный брус'!$C$38*'Эквивалентный брус'!$C$92</x:f>
        <x:v>982600</x:v>
      </x:c>
      <x:c r="C146" s="3"/>
      <x:c r="D146" s="3"/>
      <x:c r="E146" s="3"/>
      <x:c r="F146" s="3"/>
    </x:row>
    <x:row r="147" ht="32" customHeight="1">
      <x:c r="A147" s="13" t="str">
        <x:f>'Эквивалентный брус'!$A$39</x:f>
        <x:v>ISA</x:v>
      </x:c>
      <x:c r="B147" s="17" t="n">
        <x:f>'Эквивалентный брус'!$C$39*'Эквивалентный брус'!$C$93</x:f>
        <x:v>2072046.3999999946</x:v>
      </x:c>
      <x:c r="C147" s="3"/>
      <x:c r="D147" s="3"/>
      <x:c r="E147" s="3"/>
      <x:c r="F147" s="3"/>
    </x:row>
    <x:row r="148" ht="52" customHeight="1">
      <x:c r="A148" s="13" t="str">
        <x:f>'Эквивалентный брус'!$A$40</x:f>
        <x:v>VK</x:v>
      </x:c>
      <x:c r="B148" s="17" t="n">
        <x:f>'Эквивалентный брус'!$C$40*'Эквивалентный брус'!$C$94</x:f>
        <x:v>680400</x:v>
      </x:c>
      <x:c r="C148" s="3"/>
      <x:c r="D148" s="3"/>
      <x:c r="E148" s="3"/>
      <x:c r="F148" s="3"/>
    </x:row>
    <x:row r="149" ht="52" customHeight="1">
      <x:c r="A149" s="13" t="str">
        <x:f>'Эквивалентный брус'!$A$41</x:f>
        <x:v>ST</x:v>
      </x:c>
      <x:c r="B149" s="17" t="n">
        <x:f>'Эквивалентный брус'!$C$41*'Эквивалентный брус'!$C$95</x:f>
        <x:v>1360800</x:v>
      </x:c>
      <x:c r="C149" s="3"/>
      <x:c r="D149" s="3"/>
      <x:c r="E149" s="3"/>
      <x:c r="F149" s="3"/>
    </x:row>
    <x:row r="150" ht="52" customHeight="1">
      <x:c r="A150" s="13" t="str">
        <x:f>'Эквивалентный брус'!$A$42</x:f>
        <x:v>B-L</x:v>
      </x:c>
      <x:c r="B150" s="17" t="n">
        <x:f>'Эквивалентный брус'!$C$42*'Эквивалентный брус'!$C$96</x:f>
        <x:v>77560</x:v>
      </x:c>
      <x:c r="C150" s="3"/>
      <x:c r="D150" s="3"/>
      <x:c r="E150" s="3"/>
      <x:c r="F150" s="3"/>
    </x:row>
    <x:row r="151" ht="52" customHeight="1">
      <x:c r="A151" s="13" t="str">
        <x:f>'Эквивалентный брус'!$A$43</x:f>
        <x:v>IB-L</x:v>
      </x:c>
      <x:c r="B151" s="17" t="n">
        <x:f>'Эквивалентный брус'!$C$43*'Эквивалентный брус'!$C$97</x:f>
        <x:v>69356</x:v>
      </x:c>
      <x:c r="C151" s="3"/>
      <x:c r="D151" s="3"/>
      <x:c r="E151" s="3"/>
      <x:c r="F151" s="3"/>
    </x:row>
    <x:row r="152" ht="52" customHeight="1">
      <x:c r="A152" s="13" t="str">
        <x:f>'Эквивалентный брус'!$A$44</x:f>
        <x:v>DW1</x:v>
      </x:c>
      <x:c r="B152" s="17" t="n">
        <x:f>'Эквивалентный брус'!$C$44*'Эквивалентный брус'!$C$98</x:f>
        <x:v>1434</x:v>
      </x:c>
      <x:c r="C152" s="3"/>
      <x:c r="D152" s="3"/>
      <x:c r="E152" s="3"/>
      <x:c r="F152" s="3"/>
    </x:row>
    <x:row r="153" ht="52" customHeight="1">
      <x:c r="A153" s="13" t="str">
        <x:f>'Эквивалентный брус'!$A$45</x:f>
        <x:v>DW2</x:v>
      </x:c>
      <x:c r="B153" s="17" t="n">
        <x:f>'Эквивалентный брус'!$C$45*'Эквивалентный брус'!$C$99</x:f>
        <x:v>1434</x:v>
      </x:c>
      <x:c r="C153" s="3"/>
      <x:c r="D153" s="3"/>
      <x:c r="E153" s="3"/>
      <x:c r="F153" s="3"/>
    </x:row>
    <x:row r="154" ht="52" customHeight="1">
      <x:c r="A154" s="13" t="str">
        <x:f>'Эквивалентный брус'!$A$46</x:f>
        <x:v>DL1</x:v>
      </x:c>
      <x:c r="B154" s="17" t="n">
        <x:f>'Эквивалентный брус'!$C$46*'Эквивалентный брус'!$C$100</x:f>
        <x:v>1434</x:v>
      </x:c>
      <x:c r="C154" s="3"/>
      <x:c r="D154" s="3"/>
      <x:c r="E154" s="3"/>
      <x:c r="F154" s="3"/>
    </x:row>
    <x:row r="155" ht="52" customHeight="1">
      <x:c r="A155" s="13" t="str">
        <x:f>'Эквивалентный брус'!$A$47</x:f>
        <x:v>DL2</x:v>
      </x:c>
      <x:c r="B155" s="17" t="n">
        <x:f>'Эквивалентный брус'!$C$47*'Эквивалентный брус'!$C$101</x:f>
        <x:v>1434</x:v>
      </x:c>
      <x:c r="C155" s="3"/>
      <x:c r="D155" s="3"/>
      <x:c r="E155" s="3"/>
      <x:c r="F155" s="3"/>
    </x:row>
    <x:row r="156" ht="52" customHeight="1">
      <x:c r="A156" s="13" t="str">
        <x:f>'Эквивалентный брус'!$A$48</x:f>
        <x:v>DL3</x:v>
      </x:c>
      <x:c r="B156" s="17" t="n">
        <x:f>'Эквивалентный брус'!$C$48*'Эквивалентный брус'!$C$102</x:f>
        <x:v>1434</x:v>
      </x:c>
      <x:c r="C156" s="3"/>
      <x:c r="D156" s="3"/>
      <x:c r="E156" s="3"/>
      <x:c r="F156" s="3"/>
    </x:row>
    <x:row r="157" ht="52" customHeight="1">
      <x:c r="A157" s="13" t="str">
        <x:f>'Эквивалентный брус'!$A$49</x:f>
        <x:v>DL4</x:v>
      </x:c>
      <x:c r="B157" s="17" t="n">
        <x:f>'Эквивалентный брус'!$C$49*'Эквивалентный брус'!$C$103</x:f>
        <x:v>1434</x:v>
      </x:c>
      <x:c r="C157" s="3"/>
      <x:c r="D157" s="3"/>
      <x:c r="E157" s="3"/>
      <x:c r="F157" s="3"/>
    </x:row>
    <x:row r="158" ht="52" customHeight="1">
      <x:c r="A158" s="13" t="str">
        <x:f>'Эквивалентный брус'!$A$50</x:f>
        <x:v>DL5</x:v>
      </x:c>
      <x:c r="B158" s="17" t="n">
        <x:f>'Эквивалентный брус'!$C$50*'Эквивалентный брус'!$C$104</x:f>
        <x:v>1434</x:v>
      </x:c>
      <x:c r="C158" s="3"/>
      <x:c r="D158" s="3"/>
      <x:c r="E158" s="3"/>
      <x:c r="F158" s="3"/>
    </x:row>
    <x:row r="159" ht="52" customHeight="1">
      <x:c r="A159" s="13" t="str">
        <x:f>'Эквивалентный брус'!$A$51</x:f>
        <x:v>DL6</x:v>
      </x:c>
      <x:c r="B159" s="17" t="n">
        <x:f>'Эквивалентный брус'!$C$51*'Эквивалентный брус'!$C$105</x:f>
        <x:v>1434</x:v>
      </x:c>
      <x:c r="C159" s="3"/>
      <x:c r="D159" s="3"/>
      <x:c r="E159" s="3"/>
      <x:c r="F159" s="3"/>
    </x:row>
    <x:row r="160" ht="52" customHeight="1">
      <x:c r="A160" s="13" t="str">
        <x:f>'Эквивалентный брус'!$A$52</x:f>
        <x:v>DL7</x:v>
      </x:c>
      <x:c r="B160" s="17" t="n">
        <x:f>'Эквивалентный брус'!$C$52*'Эквивалентный брус'!$C$106</x:f>
        <x:v>1434</x:v>
      </x:c>
      <x:c r="C160" s="3"/>
      <x:c r="D160" s="3"/>
      <x:c r="E160" s="3"/>
      <x:c r="F160" s="3"/>
    </x:row>
    <x:row r="161" ht="52" customHeight="1">
      <x:c r="A161" s="13" t="str">
        <x:f>'Эквивалентный брус'!$A$53</x:f>
        <x:v>DL8</x:v>
      </x:c>
      <x:c r="B161" s="17" t="n">
        <x:f>'Эквивалентный брус'!$C$53*'Эквивалентный брус'!$C$107</x:f>
        <x:v>1434</x:v>
      </x:c>
      <x:c r="C161" s="3"/>
      <x:c r="D161" s="3"/>
      <x:c r="E161" s="3"/>
      <x:c r="F161" s="3"/>
    </x:row>
    <x:row r="162" ht="52" customHeight="1">
      <x:c r="A162" s="13" t="str">
        <x:f>'Эквивалентный брус'!$A$54</x:f>
        <x:v>DL9</x:v>
      </x:c>
      <x:c r="B162" s="17" t="n">
        <x:f>'Эквивалентный брус'!$C$54*'Эквивалентный брус'!$C$108</x:f>
        <x:v>1434</x:v>
      </x:c>
      <x:c r="C162" s="3"/>
      <x:c r="D162" s="3"/>
      <x:c r="E162" s="3"/>
      <x:c r="F162" s="3"/>
    </x:row>
    <x:row r="163" ht="52" customHeight="1">
      <x:c r="A163" s="13" t="str">
        <x:f>'Эквивалентный брус'!$A$55</x:f>
        <x:v>DL10</x:v>
      </x:c>
      <x:c r="B163" s="17" t="n">
        <x:f>'Эквивалентный брус'!$C$55*'Эквивалентный брус'!$C$109</x:f>
        <x:v>1434</x:v>
      </x:c>
      <x:c r="C163" s="3"/>
      <x:c r="D163" s="3"/>
      <x:c r="E163" s="3"/>
      <x:c r="F163" s="3"/>
    </x:row>
    <x:row r="164" ht="52" customHeight="1">
      <x:c r="A164" s="13" t="str">
        <x:f>'Эквивалентный брус'!$A$56</x:f>
        <x:v>DL11</x:v>
      </x:c>
      <x:c r="B164" s="17" t="n">
        <x:f>'Эквивалентный брус'!$C$56*'Эквивалентный брус'!$C$110</x:f>
        <x:v>1434</x:v>
      </x:c>
      <x:c r="C164" s="3"/>
      <x:c r="D164" s="3"/>
      <x:c r="E164" s="3"/>
      <x:c r="F164" s="3"/>
    </x:row>
    <x:row r="165" ht="52" customHeight="1">
      <x:c r="A165" s="13" t="str">
        <x:f>'Эквивалентный брус'!$A$57</x:f>
        <x:v>DL12</x:v>
      </x:c>
      <x:c r="B165" s="17" t="n">
        <x:f>'Эквивалентный брус'!$C$57*'Эквивалентный брус'!$C$111</x:f>
        <x:v>1434</x:v>
      </x:c>
      <x:c r="C165" s="3"/>
      <x:c r="D165" s="3"/>
      <x:c r="E165" s="3"/>
      <x:c r="F165" s="3"/>
    </x:row>
    <x:row r="166" ht="52" customHeight="1">
      <x:c r="A166" s="13" t="str">
        <x:f>'Эквивалентный брус'!$A$58</x:f>
        <x:v>DL13</x:v>
      </x:c>
      <x:c r="B166" s="17" t="n">
        <x:f>'Эквивалентный брус'!$C$58*'Эквивалентный брус'!$C$112</x:f>
        <x:v>1434</x:v>
      </x:c>
      <x:c r="C166" s="3"/>
      <x:c r="D166" s="3"/>
      <x:c r="E166" s="3"/>
      <x:c r="F166" s="3"/>
    </x:row>
    <x:row r="167" ht="52" customHeight="1">
      <x:c r="A167" s="13" t="str">
        <x:f>'Эквивалентный брус'!$A$59</x:f>
        <x:v>DL14</x:v>
      </x:c>
      <x:c r="B167" s="17" t="n">
        <x:f>'Эквивалентный брус'!$C$59*'Эквивалентный брус'!$C$113</x:f>
        <x:v>1434</x:v>
      </x:c>
      <x:c r="C167" s="3"/>
      <x:c r="D167" s="3"/>
      <x:c r="E167" s="3"/>
      <x:c r="F167" s="3"/>
    </x:row>
    <x:row r="168" ht="32" customHeight="1">
      <x:c r="A168" s="13" t="str">
        <x:v>Σ i</x:v>
      </x:c>
      <x:c r="B168" s="18" t="n">
        <x:f>SUM('Эквивалентный брус'!$B$120:$B$167)</x:f>
        <x:v>17998401.473065212</x:v>
      </x:c>
      <x:c r="C168" s="3" t="str">
        <x:v>см⁴</x:v>
      </x:c>
      <x:c r="D168" s="3"/>
      <x:c r="E168" s="3"/>
      <x:c r="F168" s="3"/>
    </x:row>
    <x:row r="169" ht="32" customHeight="1">
      <x:c r="A169" s="3"/>
      <x:c r="B169" s="3"/>
      <x:c r="C169" s="3"/>
      <x:c r="D169" s="3"/>
      <x:c r="E169" s="3"/>
      <x:c r="F169" s="3"/>
    </x:row>
    <x:row r="170" ht="32" customHeight="1">
      <x:c r="A170" s="3"/>
      <x:c r="B170" s="3"/>
      <x:c r="C170" s="3"/>
      <x:c r="D170" s="3"/>
      <x:c r="E170" s="3"/>
      <x:c r="F170" s="3"/>
    </x:row>
    <x:row r="171" ht="36" customHeight="1">
      <x:c r="A171" s="11" t="str">
        <x:v>4. Характеристики эквивалентного бруса</x:v>
      </x:c>
      <x:c r="B171" s="11"/>
      <x:c r="C171" s="11"/>
      <x:c r="D171" s="11"/>
      <x:c r="E171" s="11"/>
      <x:c r="F171" s="11"/>
    </x:row>
    <x:row r="172" ht="52" customHeight="1">
      <x:c r="A172" s="3"/>
      <x:c r="B172" s="3"/>
      <x:c r="C172" s="3"/>
      <x:c r="D172" s="3"/>
      <x:c r="E172" s="3"/>
      <x:c r="F172" s="3"/>
    </x:row>
    <x:row r="173" ht="52" customHeight="1">
      <x:c r="A173" s="31" t="str">
        <x:v>Параметр</x:v>
      </x:c>
      <x:c r="B173" s="31"/>
      <x:c r="C173" s="31" t="str">
        <x:v>Значение</x:v>
      </x:c>
      <x:c r="D173" s="31"/>
      <x:c r="E173" s="31" t="str">
        <x:v>Ед.</x:v>
      </x:c>
      <x:c r="F173" s="31" t="str">
        <x:v>Формула</x:v>
      </x:c>
    </x:row>
    <x:row r="174" ht="52" customHeight="1">
      <x:c r="A174" s="3" t="str">
        <x:v>Суммарная площадь A</x:v>
      </x:c>
      <x:c r="B174" s="3"/>
      <x:c r="C174" s="17" t="n">
        <x:f>D114+SUM('Дополнительные связи'!F22:F25)</x:f>
        <x:v>23758.12992519544</x:v>
      </x:c>
      <x:c r="D174" s="17"/>
      <x:c r="E174" s="3" t="str">
        <x:v>см²</x:v>
      </x:c>
      <x:c r="F174" s="3" t="str">
        <x:v>Σ Ai</x:v>
      </x:c>
    </x:row>
    <x:row r="175" ht="52" customHeight="1">
      <x:c r="A175" s="3" t="str">
        <x:v>Статический момент S относительно ОП</x:v>
      </x:c>
      <x:c r="B175" s="3"/>
      <x:c r="C175" s="17" t="n">
        <x:f>E114+SUM('Дополнительные связи'!B29:B32)</x:f>
        <x:v>13470787.477260843</x:v>
      </x:c>
      <x:c r="D175" s="17"/>
      <x:c r="E175" s="3" t="str">
        <x:v>см³</x:v>
      </x:c>
      <x:c r="F175" s="3" t="str">
        <x:v>Σ Ai·zi</x:v>
      </x:c>
    </x:row>
    <x:row r="176" ht="52" customHeight="1">
      <x:c r="A176" s="3" t="str">
        <x:v>Момент инерции I₀ относительно ОП</x:v>
      </x:c>
      <x:c r="B176" s="3"/>
      <x:c r="C176" s="32" t="n">
        <x:f>F114+B168+SUM('Дополнительные связи'!C29:D32)</x:f>
        <x:v>14252427268.150423</x:v>
      </x:c>
      <x:c r="D176" s="32"/>
      <x:c r="E176" s="3" t="str">
        <x:v>см⁴</x:v>
      </x:c>
      <x:c r="F176" s="3" t="str">
        <x:v>Σ (ii+Ai·zi²)</x:v>
      </x:c>
    </x:row>
    <x:row r="177" ht="52" customHeight="1">
      <x:c r="A177" s="3"/>
      <x:c r="B177" s="3"/>
      <x:c r="C177" s="3"/>
      <x:c r="D177" s="3"/>
      <x:c r="E177" s="3"/>
      <x:c r="F177" s="3"/>
    </x:row>
    <x:row r="178" ht="52" customHeight="1">
      <x:c r="A178" s="3" t="str">
        <x:v>Высота нейтральной оси zNA над ОП</x:v>
      </x:c>
      <x:c r="B178" s="3"/>
      <x:c r="C178" s="17" t="n">
        <x:f>C175/C174</x:f>
        <x:v>566.9969614475045</x:v>
      </x:c>
      <x:c r="D178" s="17"/>
      <x:c r="E178" s="3" t="str">
        <x:v>см</x:v>
      </x:c>
      <x:c r="F178" s="3" t="str">
        <x:v>S/A</x:v>
      </x:c>
    </x:row>
    <x:row r="179" ht="52" customHeight="1">
      <x:c r="A179" s="3" t="str">
        <x:v>Момент инерции I относительно нейтральной оси</x:v>
      </x:c>
      <x:c r="B179" s="3"/>
      <x:c r="C179" s="32" t="n">
        <x:f>C176-C174*C178^2</x:f>
        <x:v>6614531700.238431</x:v>
      </x:c>
      <x:c r="D179" s="32"/>
      <x:c r="E179" s="3" t="str">
        <x:v>см⁴</x:v>
      </x:c>
      <x:c r="F179" s="3" t="str">
        <x:v>I₀−A·zNA²</x:v>
      </x:c>
    </x:row>
    <x:row r="180" ht="52" customHeight="1">
      <x:c r="A180" s="3" t="str">
        <x:v>Расчётная высота палубы zD</x:v>
      </x:c>
      <x:c r="B180" s="3"/>
      <x:c r="C180" s="17" t="n">
        <x:f>('Исходные данные'!B10+'Исходные данные'!B17)*100</x:f>
        <x:v>1457.8</x:v>
      </x:c>
      <x:c r="D180" s="17"/>
      <x:c r="E180" s="3" t="str">
        <x:v>см</x:v>
      </x:c>
      <x:c r="F180" s="3" t="str">
        <x:v>D+f</x:v>
      </x:c>
    </x:row>
    <x:row r="181" ht="52" customHeight="1">
      <x:c r="A181" s="3" t="str">
        <x:v>Момент сопротивления днища WB</x:v>
      </x:c>
      <x:c r="B181" s="3"/>
      <x:c r="C181" s="17" t="n">
        <x:f>C179/C178</x:f>
        <x:v>11665903.258726437</x:v>
      </x:c>
      <x:c r="D181" s="17"/>
      <x:c r="E181" s="3" t="str">
        <x:v>см³</x:v>
      </x:c>
      <x:c r="F181" s="3" t="str">
        <x:v>I/zNA</x:v>
      </x:c>
    </x:row>
    <x:row r="182" ht="52" customHeight="1">
      <x:c r="A182" s="3" t="str">
        <x:v>Момент сопротивления палубы WD</x:v>
      </x:c>
      <x:c r="B182" s="3"/>
      <x:c r="C182" s="17" t="n">
        <x:f>C179/(C180-C178)</x:f>
        <x:v>7425358.259876023</x:v>
      </x:c>
      <x:c r="D182" s="17"/>
      <x:c r="E182" s="3" t="str">
        <x:v>см³</x:v>
      </x:c>
      <x:c r="F182" s="3" t="str">
        <x:v>I/(zD−zNA)</x:v>
      </x:c>
    </x:row>
    <x:row r="183" ht="52" customHeight="1">
      <x:c r="A183" s="3"/>
      <x:c r="B183" s="3"/>
      <x:c r="C183" s="3"/>
      <x:c r="D183" s="3"/>
      <x:c r="E183" s="3"/>
      <x:c r="F183" s="3"/>
    </x:row>
    <x:row r="184" ht="36" customHeight="1">
      <x:c r="A184" s="11" t="str">
        <x:v>5. Сравнение с требуемыми значениями</x:v>
      </x:c>
      <x:c r="B184" s="11"/>
      <x:c r="C184" s="11"/>
      <x:c r="D184" s="11"/>
      <x:c r="E184" s="11"/>
      <x:c r="F184" s="11"/>
    </x:row>
    <x:row r="185" ht="64" customHeight="1">
      <x:c r="A185" s="31" t="str">
        <x:v>Параметр</x:v>
      </x:c>
      <x:c r="B185" s="31"/>
      <x:c r="C185" s="31" t="str">
        <x:v>Фактическое</x:v>
      </x:c>
      <x:c r="D185" s="31" t="str">
        <x:v>Требуемое</x:v>
      </x:c>
      <x:c r="E185" s="31" t="str">
        <x:v>Факт./треб.</x:v>
      </x:c>
      <x:c r="F185" s="31" t="str">
        <x:v>Проверка</x:v>
      </x:c>
    </x:row>
    <x:row r="186" ht="52" customHeight="1">
      <x:c r="A186" s="3" t="str">
        <x:v>Днище WB, см³</x:v>
      </x:c>
      <x:c r="B186" s="3"/>
      <x:c r="C186" s="33" t="n">
        <x:f>C181</x:f>
        <x:v>11665903.258726437</x:v>
      </x:c>
      <x:c r="D186" s="33" t="n">
        <x:f>'Изгиб корпуса'!B27</x:f>
        <x:v>5354797.517428932</x:v>
      </x:c>
      <x:c r="E186" s="10" t="n">
        <x:f>C186/D186</x:f>
        <x:v>2.1785890541623574</x:v>
      </x:c>
      <x:c r="F186" s="3" t="str">
        <x:f>IF(C186&gt;=D186,"Выполнено","Не выполнено")</x:f>
        <x:v>Выполнено</x:v>
      </x:c>
    </x:row>
    <x:row r="187" ht="52" customHeight="1">
      <x:c r="A187" s="3" t="str">
        <x:v>Палуба WD, см³</x:v>
      </x:c>
      <x:c r="B187" s="3"/>
      <x:c r="C187" s="33" t="n">
        <x:f>C182</x:f>
        <x:v>7425358.259876023</x:v>
      </x:c>
      <x:c r="D187" s="33" t="n">
        <x:f>'Изгиб корпуса'!B21</x:f>
        <x:v>5354797.517428932</x:v>
      </x:c>
      <x:c r="E187" s="10" t="n">
        <x:f>C187/D187</x:f>
        <x:v>1.3866739565236177</x:v>
      </x:c>
      <x:c r="F187" s="3" t="str">
        <x:f>IF(C187&gt;=D187,"Выполнено","Не выполнено")</x:f>
        <x:v>Выполнено</x:v>
      </x:c>
    </x:row>
    <x:row r="188" ht="52" customHeight="1">
      <x:c r="A188" s="3" t="str">
        <x:v>Момент инерции I, см⁴</x:v>
      </x:c>
      <x:c r="B188" s="3"/>
      <x:c r="C188" s="18" t="n">
        <x:f>C179</x:f>
        <x:v>6614531700.238431</x:v>
      </x:c>
      <x:c r="D188" s="18" t="n">
        <x:f>'Изгиб корпуса'!B29</x:f>
        <x:v>706833272.300619</x:v>
      </x:c>
      <x:c r="E188" s="10" t="n">
        <x:f>C188/D188</x:f>
        <x:v>9.357980105703406</x:v>
      </x:c>
      <x:c r="F188" s="3" t="str">
        <x:f>IF(C188&gt;=D188,"Выполнено","Не выполнено")</x:f>
        <x:v>Выполнено</x:v>
      </x:c>
    </x:row>
    <x:row r="189" ht="52" customHeight="1">
      <x:c r="A189" s="3"/>
      <x:c r="B189" s="3"/>
      <x:c r="C189" s="3"/>
      <x:c r="D189" s="3"/>
      <x:c r="E189" s="3"/>
      <x:c r="F189" s="3"/>
    </x:row>
    <x:row r="190" ht="52" customHeight="1">
      <x:c r="A190" s="3" t="str">
        <x:f>IF(AND(C186&gt;=D186,C187&gt;=D187,C188&gt;=D188),"WB, WD и I не меньше требуемых значений.","Имеются невыполненные условия.")</x:f>
        <x:v>WB, WD и I не меньше требуемых значений.</x:v>
      </x:c>
      <x:c r="B190" s="3"/>
      <x:c r="C190" s="3"/>
      <x:c r="D190" s="3"/>
      <x:c r="E190" s="3"/>
      <x:c r="F190" s="3"/>
    </x:row>
    <x:row r="191" ht="32" customHeight="1">
      <x:c r="A191"/>
      <x:c r="B191"/>
      <x:c r="C191"/>
      <x:c r="D191"/>
      <x:c r="E191"/>
      <x:c r="F191"/>
    </x:row>
    <x:row r="192" ht="32" customHeight="1">
      <x:c r="A192"/>
      <x:c r="B192"/>
      <x:c r="C192"/>
      <x:c r="D192"/>
      <x:c r="E192"/>
      <x:c r="F192"/>
    </x:row>
    <x:row r="193" ht="32" customHeight="1">
      <x:c r="A193" s="3"/>
      <x:c r="B193" s="3"/>
      <x:c r="C193" s="3"/>
      <x:c r="D193" s="3"/>
      <x:c r="E193" s="3"/>
      <x:c r="F193" s="3"/>
    </x:row>
    <x:row r="194" ht="32" customHeight="1">
      <x:c r="A194" s="3"/>
      <x:c r="B194" s="3"/>
      <x:c r="C194" s="3"/>
      <x:c r="D194" s="3"/>
      <x:c r="E194" s="3"/>
      <x:c r="F194" s="3"/>
    </x:row>
    <x:row r="195" ht="32" customHeight="1">
      <x:c r="A195" s="3"/>
      <x:c r="B195" s="3"/>
      <x:c r="C195" s="3"/>
      <x:c r="D195" s="3"/>
      <x:c r="E195" s="3"/>
      <x:c r="F195" s="3"/>
    </x:row>
    <x:row r="196" ht="32" customHeight="1">
      <x:c r="A196" s="3"/>
      <x:c r="B196" s="3"/>
      <x:c r="C196" s="3"/>
      <x:c r="D196" s="3"/>
      <x:c r="E196" s="3"/>
      <x:c r="F196" s="3"/>
    </x:row>
    <x:row r="197" ht="32" customHeight="1">
      <x:c r="A197" s="3"/>
      <x:c r="B197" s="3"/>
      <x:c r="C197" s="3"/>
      <x:c r="D197" s="3"/>
      <x:c r="E197" s="3"/>
      <x:c r="F197" s="3"/>
    </x:row>
  </x:sheetData>
  <x:mergeCells>
    <x:mergeCell ref="A1:F1"/>
    <x:mergeCell ref="A2:F3"/>
    <x:mergeCell ref="A5:F5"/>
    <x:mergeCell ref="A6:F6"/>
    <x:mergeCell ref="A7:F7"/>
    <x:mergeCell ref="A10:F10"/>
    <x:mergeCell ref="A64:F64"/>
    <x:mergeCell ref="A118:F118"/>
    <x:mergeCell ref="A194:F194"/>
    <x:mergeCell ref="A171:F171"/>
    <x:mergeCell ref="A173:B173"/>
    <x:mergeCell ref="C173:D173"/>
    <x:mergeCell ref="A174:B174"/>
    <x:mergeCell ref="C174:D174"/>
    <x:mergeCell ref="A175:B175"/>
    <x:mergeCell ref="C175:D175"/>
    <x:mergeCell ref="A176:B176"/>
    <x:mergeCell ref="C176:D176"/>
    <x:mergeCell ref="A178:B178"/>
    <x:mergeCell ref="C178:D178"/>
    <x:mergeCell ref="A179:B179"/>
    <x:mergeCell ref="C179:D179"/>
    <x:mergeCell ref="A180:B180"/>
    <x:mergeCell ref="C180:D180"/>
    <x:mergeCell ref="A181:B181"/>
    <x:mergeCell ref="C181:D181"/>
    <x:mergeCell ref="A182:B182"/>
    <x:mergeCell ref="C182:D182"/>
    <x:mergeCell ref="A184:F184"/>
    <x:mergeCell ref="A185:B185"/>
    <x:mergeCell ref="A186:B186"/>
    <x:mergeCell ref="A187:B187"/>
    <x:mergeCell ref="A188:B188"/>
    <x:mergeCell ref="A190:F190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.3799991607666" hidden="0" customWidth="1"/>
    <x:col min="2" max="2" width="23.75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20.6299991607666" hidden="0" customWidth="1"/>
  </x:cols>
  <x:sheetData>
    <x:row r="1" ht="48" customHeight="1">
      <x:c r="A1" s="20" t="str">
        <x:v>Балластное и грузовое состояния</x:v>
      </x:c>
      <x:c r="B1" s="10"/>
      <x:c r="C1" s="10"/>
      <x:c r="D1" s="10"/>
      <x:c r="E1" s="10"/>
      <x:c r="F1" s="10"/>
    </x:row>
    <x:row r="2" ht="48" customHeight="1">
      <x:c r="A2" s="20"/>
      <x:c r="B2" s="10"/>
      <x:c r="C2" s="10"/>
      <x:c r="D2" s="10"/>
      <x:c r="E2" s="10"/>
      <x:c r="F2" s="10"/>
    </x:row>
    <x:row r="3" ht="40" customHeight="1">
      <x:c r="A3" s="10"/>
      <x:c r="B3" s="10"/>
      <x:c r="C3" s="10"/>
      <x:c r="D3" s="10"/>
      <x:c r="E3" s="10"/>
      <x:c r="F3" s="10"/>
    </x:row>
    <x:row r="4" ht="70" customHeight="1">
      <x:c r="A4" s="22" t="str">
        <x:v>Параметр</x:v>
      </x:c>
      <x:c r="B4" s="22" t="str">
        <x:v>Значение</x:v>
      </x:c>
      <x:c r="C4" s="22" t="str">
        <x:v>Ед.</x:v>
      </x:c>
      <x:c r="D4" s="22"/>
      <x:c r="E4" s="22"/>
      <x:c r="F4" s="22"/>
    </x:row>
    <x:row r="5" ht="58" customHeight="1">
      <x:c r="A5" s="10" t="str">
        <x:v>dB</x:v>
      </x:c>
      <x:c r="B5" s="10" t="n">
        <x:f>2+0.02*'Исходные данные'!B8</x:f>
        <x:v>4.640000000000001</x:v>
      </x:c>
      <x:c r="C5" s="10" t="str">
        <x:v>m</x:v>
      </x:c>
      <x:c r="D5" s="10"/>
      <x:c r="E5" s="10"/>
      <x:c r="F5" s="10"/>
    </x:row>
    <x:row r="6" ht="58" customHeight="1">
      <x:c r="A6" s="10" t="str">
        <x:v>dL</x:v>
      </x:c>
      <x:c r="B6" s="10" t="n">
        <x:f>'Исходные данные'!B11</x:f>
        <x:v>8.5</x:v>
      </x:c>
      <x:c r="C6" s="10" t="str">
        <x:v>m</x:v>
      </x:c>
      <x:c r="D6" s="10"/>
      <x:c r="E6" s="10"/>
      <x:c r="F6" s="10"/>
    </x:row>
    <x:row r="7" ht="58" customHeight="1">
      <x:c r="A7" s="10" t="str">
        <x:v>bB</x:v>
      </x:c>
      <x:c r="B7" s="10" t="n">
        <x:f>'Исходные данные'!B9/2</x:f>
        <x:v>11.95</x:v>
      </x:c>
      <x:c r="C7" s="10" t="str">
        <x:v>m</x:v>
      </x:c>
      <x:c r="D7" s="10"/>
      <x:c r="E7" s="10"/>
      <x:c r="F7" s="10"/>
    </x:row>
    <x:row r="8" ht="58" customHeight="1">
      <x:c r="A8" s="10" t="str">
        <x:v>bC</x:v>
      </x:c>
      <x:c r="B8" s="10" t="n">
        <x:f>'Исходные данные'!B9/2-'Исходные данные'!B15</x:f>
        <x:v>9.95</x:v>
      </x:c>
      <x:c r="C8" s="10" t="str">
        <x:v>m</x:v>
      </x:c>
      <x:c r="D8" s="10"/>
      <x:c r="E8" s="10"/>
      <x:c r="F8" s="10"/>
    </x:row>
    <x:row r="9" ht="58" customHeight="1">
      <x:c r="A9" s="10" t="str">
        <x:v>zB</x:v>
      </x:c>
      <x:c r="B9" s="10" t="n">
        <x:f>'Исходные данные'!B10+'Исходные данные'!B17*'Исходные данные'!B15/('Исходные данные'!B9/2)</x:f>
        <x:v>14.18</x:v>
      </x:c>
      <x:c r="C9" s="10" t="str">
        <x:v>m</x:v>
      </x:c>
      <x:c r="D9" s="10"/>
      <x:c r="E9" s="10"/>
      <x:c r="F9" s="10"/>
    </x:row>
    <x:row r="10" ht="58" customHeight="1">
      <x:c r="A10" s="10" t="str">
        <x:v>zC</x:v>
      </x:c>
      <x:c r="B10" s="10" t="n">
        <x:f>'Исходные данные'!B10+'Исходные данные'!B17</x:f>
        <x:v>14.578</x:v>
      </x:c>
      <x:c r="C10" s="10" t="str">
        <x:v>m</x:v>
      </x:c>
      <x:c r="D10" s="10"/>
      <x:c r="E10" s="10"/>
      <x:c r="F10" s="10"/>
    </x:row>
    <x:row r="11" ht="58" customHeight="1">
      <x:c r="A11" s="10" t="str">
        <x:v>ρ</x:v>
      </x:c>
      <x:c r="B11" s="10" t="n">
        <x:f>'Исходные данные'!B28</x:f>
        <x:v>1.025</x:v>
      </x:c>
      <x:c r="C11" s="10" t="str">
        <x:v>t/m³</x:v>
      </x:c>
      <x:c r="D11" s="10"/>
      <x:c r="E11" s="10"/>
      <x:c r="F11" s="10"/>
    </x:row>
    <x:row r="12" ht="58" customHeight="1">
      <x:c r="A12" s="10" t="str">
        <x:v>l</x:v>
      </x:c>
      <x:c r="B12" s="10" t="n">
        <x:f>'Исходные данные'!B26</x:f>
        <x:v>15.5</x:v>
      </x:c>
      <x:c r="C12" s="10" t="str">
        <x:v>m</x:v>
      </x:c>
      <x:c r="D12" s="10"/>
      <x:c r="E12" s="10"/>
      <x:c r="F12" s="10"/>
    </x:row>
    <x:row r="13" ht="58" customHeight="1">
      <x:c r="A13" s="10" t="str">
        <x:v>Δz</x:v>
      </x:c>
      <x:c r="B13" s="10" t="n">
        <x:f>'Исходные данные'!B29</x:f>
        <x:v>2.5</x:v>
      </x:c>
      <x:c r="C13" s="10" t="str">
        <x:v>m</x:v>
      </x:c>
      <x:c r="D13" s="10"/>
      <x:c r="E13" s="10"/>
      <x:c r="F13" s="10"/>
    </x:row>
    <x:row r="14" ht="58" customHeight="1">
      <x:c r="A14" s="10" t="str">
        <x:v>pк</x:v>
      </x:c>
      <x:c r="B14" s="10" t="n">
        <x:f>'Исходные данные'!B30</x:f>
        <x:v>25</x:v>
      </x:c>
      <x:c r="C14" s="10" t="str">
        <x:v>kPa</x:v>
      </x:c>
      <x:c r="D14" s="10"/>
      <x:c r="E14" s="10"/>
      <x:c r="F14" s="10"/>
    </x:row>
    <x:row r="15" ht="58" customHeight="1">
      <x:c r="A15" s="10" t="str">
        <x:v>z*</x:v>
      </x:c>
      <x:c r="B15" s="10" t="n">
        <x:f>B5-'Нагрузки'!B7/(10+1.5*'Нагрузки'!B6/B5)</x:f>
        <x:v>2.626307755703653</x:v>
      </x:c>
      <x:c r="C15" s="10" t="str">
        <x:v>m</x:v>
      </x:c>
      <x:c r="D15" s="10"/>
      <x:c r="E15" s="10"/>
      <x:c r="F15" s="10"/>
    </x:row>
    <x:row r="16" ht="40" customHeight="1">
      <x:c r="A16" s="10"/>
      <x:c r="B16" s="10"/>
      <x:c r="C16" s="10"/>
      <x:c r="D16" s="10"/>
      <x:c r="E16" s="10"/>
      <x:c r="F16" s="10"/>
    </x:row>
    <x:row r="17" ht="48" customHeight="1">
      <x:c r="A17" s="20" t="str">
        <x:v>Обшивка: pнетто = pB − MAX(pstB − pwB, 0); сравнение с внешним давлением</x:v>
      </x:c>
      <x:c r="B17" s="10"/>
      <x:c r="C17" s="10"/>
      <x:c r="D17" s="10"/>
      <x:c r="E17" s="10"/>
      <x:c r="F17" s="10"/>
    </x:row>
    <x:row r="18" ht="48" customHeight="1">
      <x:c r="A18" s="20"/>
      <x:c r="B18" s="10"/>
      <x:c r="C18" s="10"/>
      <x:c r="D18" s="10"/>
      <x:c r="E18" s="10"/>
      <x:c r="F18" s="10"/>
    </x:row>
    <x:row r="19" ht="40" customHeight="1">
      <x:c r="A19" s="10"/>
      <x:c r="B19" s="10"/>
      <x:c r="C19" s="10"/>
      <x:c r="D19" s="10"/>
      <x:c r="E19" s="10"/>
      <x:c r="F19" s="10"/>
    </x:row>
    <x:row r="20" ht="70" customHeight="1">
      <x:c r="A20" s="22" t="str">
        <x:v>Узел / точка</x:v>
      </x:c>
      <x:c r="B20" s="22" t="str">
        <x:v>z, м</x:v>
      </x:c>
      <x:c r="C20" s="22" t="str">
        <x:v>pstB, кПа</x:v>
      </x:c>
      <x:c r="D20" s="22" t="str">
        <x:v>pwB, кПа</x:v>
      </x:c>
      <x:c r="E20" s="22" t="str">
        <x:v>Противодавл., кПа</x:v>
      </x:c>
      <x:c r="F20" s="22" t="str">
        <x:v>pB, кПа</x:v>
      </x:c>
    </x:row>
    <x:row r="21" ht="40" customHeight="1">
      <x:c r="A21" s="10" t="str">
        <x:v>Днище / 1</x:v>
      </x:c>
      <x:c r="B21" s="10" t="n">
        <x:f>0</x:f>
        <x:v>0</x:v>
      </x:c>
      <x:c r="C21" s="10" t="n">
        <x:f>10*MAX($B$5-B21,0)</x:f>
        <x:v>46.400000000000006</x:v>
      </x:c>
      <x:c r="D21" s="10" t="n">
        <x:f>MAX(0,IF(B21&lt;=$B$5,'Нагрузки'!B7-1.5*'Нагрузки'!B6*($B$5-B21)/$B$5,'Нагрузки'!B7-7.5*'Исходные данные'!B36*(B21-$B$5)))</x:f>
        <x:v>12.858706688002435</x:v>
      </x:c>
      <x:c r="E21" s="10" t="n">
        <x:f>MAX(C21-D21,0)</x:f>
        <x:v>33.54129331199757</x:v>
      </x:c>
      <x:c r="F21" s="10" t="n">
        <x:f>MAX('Исходные данные'!B28*('Исходные данные'!B38+'Нагрузки'!B8)*(MAX($B$9-B21,0)),'Исходные данные'!B28*'Исходные данные'!B38*((MAX($B$9-B21,0))+($B$7)*'Нагрузки'!B9),'Исходные данные'!B28*'Исходные данные'!B38*((MAX($B$9-B21,0))+'Балластные случаи'!B12*'Нагрузки'!B10),0.75*'Исходные данные'!B28*'Исходные данные'!B38*((MAX($B$9-B21,0))+'Балластные случаи'!B13),'Исходные данные'!B28*'Исходные данные'!B38*(MAX($B$9-B21,0))+'Балластные случаи'!B14)</x:f>
        <x:v>186.0148561445783</x:v>
      </x:c>
    </x:row>
    <x:row r="22" ht="40" customHeight="1">
      <x:c r="A22" s="10" t="str">
        <x:v>Днище / 2</x:v>
      </x:c>
      <x:c r="B22" s="10" t="n">
        <x:f>0</x:f>
        <x:v>0</x:v>
      </x:c>
      <x:c r="C22" s="10" t="n">
        <x:f>10*MAX($B$5-B22,0)</x:f>
        <x:v>46.400000000000006</x:v>
      </x:c>
      <x:c r="D22" s="10" t="n">
        <x:f>MAX(0,IF(B22&lt;=$B$5,'Нагрузки'!B7-1.5*'Нагрузки'!B6*($B$5-B22)/$B$5,'Нагрузки'!B7-7.5*'Исходные данные'!B36*(B22-$B$5)))</x:f>
        <x:v>12.858706688002435</x:v>
      </x:c>
      <x:c r="E22" s="10" t="n">
        <x:f>MAX(C22-D22,0)</x:f>
        <x:v>33.54129331199757</x:v>
      </x:c>
      <x:c r="F22" s="10" t="n">
        <x:f>MAX('Исходные данные'!B28*('Исходные данные'!B38+'Нагрузки'!B8)*(MAX($B$9-B22,0)),'Исходные данные'!B28*'Исходные данные'!B38*((MAX($B$9-B22,0))+($B$7)*'Нагрузки'!B9),'Исходные данные'!B28*'Исходные данные'!B38*((MAX($B$9-B22,0))+'Балластные случаи'!B12*'Нагрузки'!B10),0.75*'Исходные данные'!B28*'Исходные данные'!B38*((MAX($B$9-B22,0))+'Балластные случаи'!B13),'Исходные данные'!B28*'Исходные данные'!B38*(MAX($B$9-B22,0))+'Балластные случаи'!B14)</x:f>
        <x:v>186.0148561445783</x:v>
      </x:c>
    </x:row>
    <x:row r="23" ht="40" customHeight="1">
      <x:c r="A23" s="10" t="str">
        <x:v>Днище / 3</x:v>
      </x:c>
      <x:c r="B23" s="10" t="n">
        <x:f>MAX((0),MIN((0),$B$15))</x:f>
        <x:v>0</x:v>
      </x:c>
      <x:c r="C23" s="10" t="n">
        <x:f>10*MAX($B$5-B23,0)</x:f>
        <x:v>46.400000000000006</x:v>
      </x:c>
      <x:c r="D23" s="10" t="n">
        <x:f>MAX(0,IF(B23&lt;=$B$5,'Нагрузки'!B7-1.5*'Нагрузки'!B6*($B$5-B23)/$B$5,'Нагрузки'!B7-7.5*'Исходные данные'!B36*(B23-$B$5)))</x:f>
        <x:v>12.858706688002435</x:v>
      </x:c>
      <x:c r="E23" s="10" t="n">
        <x:f>MAX(C23-D23,0)</x:f>
        <x:v>33.54129331199757</x:v>
      </x:c>
      <x:c r="F23" s="10" t="n">
        <x:f>MAX('Исходные данные'!B28*('Исходные данные'!B38+'Нагрузки'!B8)*(MAX($B$9-B23,0)),'Исходные данные'!B28*'Исходные данные'!B38*((MAX($B$9-B23,0))+($B$7)*'Нагрузки'!B9),'Исходные данные'!B28*'Исходные данные'!B38*((MAX($B$9-B23,0))+'Балластные случаи'!B12*'Нагрузки'!B10),0.75*'Исходные данные'!B28*'Исходные данные'!B38*((MAX($B$9-B23,0))+'Балластные случаи'!B13),'Исходные данные'!B28*'Исходные данные'!B38*(MAX($B$9-B23,0))+'Балластные случаи'!B14)</x:f>
        <x:v>186.0148561445783</x:v>
      </x:c>
    </x:row>
    <x:row r="24" ht="40" customHeight="1">
      <x:c r="A24" s="10" t="str">
        <x:v>Второе дно / 1</x:v>
      </x:c>
      <x:c r="B24" s="10" t="n">
        <x:f>'Исходные данные'!B14</x:f>
        <x:v>1.8</x:v>
      </x:c>
      <x:c r="C24" s="10" t="n">
        <x:f>10*MAX($B$5-B24,0)</x:f>
        <x:v>28.400000000000006</x:v>
      </x:c>
      <x:c r="D24" s="10" t="n">
        <x:f>MAX(0,IF(B24&lt;=$B$5,'Нагрузки'!B7-1.5*'Нагрузки'!B6*($B$5-B24)/$B$5,'Нагрузки'!B7-7.5*'Исходные данные'!B36*(B24-$B$5)))</x:f>
        <x:v>17.84699807558959</x:v>
      </x:c>
      <x:c r="E24" s="10" t="n">
        <x:f>MAX(C24-D24,0)</x:f>
        <x:v>10.553001924410417</x:v>
      </x:c>
      <x:c r="F24" s="10" t="n">
        <x:f>MAX('Исходные данные'!B28*('Исходные данные'!B38+'Нагрузки'!B8)*(MAX($B$9-B24,0)),'Исходные данные'!B28*'Исходные данные'!B38*((MAX($B$9-B24,0))+($B$7)*'Нагрузки'!B9),'Исходные данные'!B28*'Исходные данные'!B38*((MAX($B$9-B24,0))+'Балластные случаи'!B12*'Нагрузки'!B10),0.75*'Исходные данные'!B28*'Исходные данные'!B38*((MAX($B$9-B24,0))+'Балластные случаи'!B13),'Исходные данные'!B28*'Исходные данные'!B38*(MAX($B$9-B24,0))+'Балластные случаи'!B14)</x:f>
        <x:v>167.91540614457827</x:v>
      </x:c>
    </x:row>
    <x:row r="25" ht="40" customHeight="1">
      <x:c r="A25" s="10" t="str">
        <x:v>Второе дно / 2</x:v>
      </x:c>
      <x:c r="B25" s="10" t="n">
        <x:f>'Исходные данные'!B14</x:f>
        <x:v>1.8</x:v>
      </x:c>
      <x:c r="C25" s="10" t="n">
        <x:f>10*MAX($B$5-B25,0)</x:f>
        <x:v>28.400000000000006</x:v>
      </x:c>
      <x:c r="D25" s="10" t="n">
        <x:f>MAX(0,IF(B25&lt;=$B$5,'Нагрузки'!B7-1.5*'Нагрузки'!B6*($B$5-B25)/$B$5,'Нагрузки'!B7-7.5*'Исходные данные'!B36*(B25-$B$5)))</x:f>
        <x:v>17.84699807558959</x:v>
      </x:c>
      <x:c r="E25" s="10" t="n">
        <x:f>MAX(C25-D25,0)</x:f>
        <x:v>10.553001924410417</x:v>
      </x:c>
      <x:c r="F25" s="10" t="n">
        <x:f>MAX('Исходные данные'!B28*('Исходные данные'!B38+'Нагрузки'!B8)*(MAX($B$9-B25,0)),'Исходные данные'!B28*'Исходные данные'!B38*((MAX($B$9-B25,0))+($B$7)*'Нагрузки'!B9),'Исходные данные'!B28*'Исходные данные'!B38*((MAX($B$9-B25,0))+'Балластные случаи'!B12*'Нагрузки'!B10),0.75*'Исходные данные'!B28*'Исходные данные'!B38*((MAX($B$9-B25,0))+'Балластные случаи'!B13),'Исходные данные'!B28*'Исходные данные'!B38*(MAX($B$9-B25,0))+'Балластные случаи'!B14)</x:f>
        <x:v>167.91540614457827</x:v>
      </x:c>
    </x:row>
    <x:row r="26" ht="40" customHeight="1">
      <x:c r="A26" s="10" t="str">
        <x:v>Второе дно / 3</x:v>
      </x:c>
      <x:c r="B26" s="10" t="n">
        <x:f>MAX(('Исходные данные'!B14),MIN(('Исходные данные'!B14),$B$15))</x:f>
        <x:v>1.8</x:v>
      </x:c>
      <x:c r="C26" s="10" t="n">
        <x:f>10*MAX($B$5-B26,0)</x:f>
        <x:v>28.400000000000006</x:v>
      </x:c>
      <x:c r="D26" s="10" t="n">
        <x:f>MAX(0,IF(B26&lt;=$B$5,'Нагрузки'!B7-1.5*'Нагрузки'!B6*($B$5-B26)/$B$5,'Нагрузки'!B7-7.5*'Исходные данные'!B36*(B26-$B$5)))</x:f>
        <x:v>17.84699807558959</x:v>
      </x:c>
      <x:c r="E26" s="10" t="n">
        <x:f>MAX(C26-D26,0)</x:f>
        <x:v>10.553001924410417</x:v>
      </x:c>
      <x:c r="F26" s="10" t="n">
        <x:f>MAX('Исходные данные'!B28*('Исходные данные'!B38+'Нагрузки'!B8)*(MAX($B$9-B26,0)),'Исходные данные'!B28*'Исходные данные'!B38*((MAX($B$9-B26,0))+($B$7)*'Нагрузки'!B9),'Исходные данные'!B28*'Исходные данные'!B38*((MAX($B$9-B26,0))+'Балластные случаи'!B12*'Нагрузки'!B10),0.75*'Исходные данные'!B28*'Исходные данные'!B38*((MAX($B$9-B26,0))+'Балластные случаи'!B13),'Исходные данные'!B28*'Исходные данные'!B38*(MAX($B$9-B26,0))+'Балластные случаи'!B14)</x:f>
        <x:v>167.91540614457827</x:v>
      </x:c>
    </x:row>
    <x:row r="27" ht="40" customHeight="1">
      <x:c r="A27" s="10" t="str">
        <x:v>Верхняя палуба / 1</x:v>
      </x:c>
      <x:c r="B27" s="10" t="n">
        <x:f>'Исходные данные'!B10</x:f>
        <x:v>14.1</x:v>
      </x:c>
      <x:c r="C27" s="10" t="n">
        <x:f>10*MAX($B$5-B27,0)</x:f>
        <x:v>0</x:v>
      </x:c>
      <x:c r="D27" s="10" t="n">
        <x:f>MAX(0,IF(B27&lt;=$B$5,'Нагрузки'!B7-1.5*'Нагрузки'!B6*($B$5-B27)/$B$5,'Нагрузки'!B7-7.5*'Исходные данные'!B36*(B27-$B$5)))</x:f>
        <x:v>6.773763376004876</x:v>
      </x:c>
      <x:c r="E27" s="10" t="n">
        <x:f>MAX(C27-D27,0)</x:f>
        <x:v>0</x:v>
      </x:c>
      <x:c r="F27" s="10" t="n">
        <x:f>MAX('Исходные данные'!B28*('Исходные данные'!B38+'Нагрузки'!B8)*(MAX($B$9-B27,0)),'Исходные данные'!B28*'Исходные данные'!B38*((MAX($B$9-B27,0))+($B$7)*'Нагрузки'!B9),'Исходные данные'!B28*'Исходные данные'!B38*((MAX($B$9-B27,0))+'Балластные случаи'!B12*'Нагрузки'!B10),0.75*'Исходные данные'!B28*'Исходные данные'!B38*((MAX($B$9-B27,0))+'Балластные случаи'!B13),'Исходные данные'!B28*'Исходные данные'!B38*(MAX($B$9-B27,0))+'Балластные случаи'!B14)</x:f>
        <x:v>44.2358311445783</x:v>
      </x:c>
    </x:row>
    <x:row r="28" ht="40" customHeight="1">
      <x:c r="A28" s="10" t="str">
        <x:v>Верхняя палуба / 2</x:v>
      </x:c>
      <x:c r="B28" s="10" t="n">
        <x:f>'Исходные данные'!B10</x:f>
        <x:v>14.1</x:v>
      </x:c>
      <x:c r="C28" s="10" t="n">
        <x:f>10*MAX($B$5-B28,0)</x:f>
        <x:v>0</x:v>
      </x:c>
      <x:c r="D28" s="10" t="n">
        <x:f>MAX(0,IF(B28&lt;=$B$5,'Нагрузки'!B7-1.5*'Нагрузки'!B6*($B$5-B28)/$B$5,'Нагрузки'!B7-7.5*'Исходные данные'!B36*(B28-$B$5)))</x:f>
        <x:v>6.773763376004876</x:v>
      </x:c>
      <x:c r="E28" s="10" t="n">
        <x:f>MAX(C28-D28,0)</x:f>
        <x:v>0</x:v>
      </x:c>
      <x:c r="F28" s="10" t="n">
        <x:f>MAX('Исходные данные'!B28*('Исходные данные'!B38+'Нагрузки'!B8)*(MAX($B$9-B28,0)),'Исходные данные'!B28*'Исходные данные'!B38*((MAX($B$9-B28,0))+($B$7)*'Нагрузки'!B9),'Исходные данные'!B28*'Исходные данные'!B38*((MAX($B$9-B28,0))+'Балластные случаи'!B12*'Нагрузки'!B10),0.75*'Исходные данные'!B28*'Исходные данные'!B38*((MAX($B$9-B28,0))+'Балластные случаи'!B13),'Исходные данные'!B28*'Исходные данные'!B38*(MAX($B$9-B28,0))+'Балластные случаи'!B14)</x:f>
        <x:v>44.2358311445783</x:v>
      </x:c>
    </x:row>
    <x:row r="29" ht="40" customHeight="1">
      <x:c r="A29" s="10" t="str">
        <x:v>Верхняя палуба / 3</x:v>
      </x:c>
      <x:c r="B29" s="10" t="n">
        <x:f>MAX(('Исходные данные'!B10),MIN(('Исходные данные'!B10),$B$15))</x:f>
        <x:v>14.1</x:v>
      </x:c>
      <x:c r="C29" s="10" t="n">
        <x:f>10*MAX($B$5-B29,0)</x:f>
        <x:v>0</x:v>
      </x:c>
      <x:c r="D29" s="10" t="n">
        <x:f>MAX(0,IF(B29&lt;=$B$5,'Нагрузки'!B7-1.5*'Нагрузки'!B6*($B$5-B29)/$B$5,'Нагрузки'!B7-7.5*'Исходные данные'!B36*(B29-$B$5)))</x:f>
        <x:v>6.773763376004876</x:v>
      </x:c>
      <x:c r="E29" s="10" t="n">
        <x:f>MAX(C29-D29,0)</x:f>
        <x:v>0</x:v>
      </x:c>
      <x:c r="F29" s="10" t="n">
        <x:f>MAX('Исходные данные'!B28*('Исходные данные'!B38+'Нагрузки'!B8)*(MAX($B$9-B29,0)),'Исходные данные'!B28*'Исходные данные'!B38*((MAX($B$9-B29,0))+($B$7)*'Нагрузки'!B9),'Исходные данные'!B28*'Исходные данные'!B38*((MAX($B$9-B29,0))+'Балластные случаи'!B12*'Нагрузки'!B10),0.75*'Исходные данные'!B28*'Исходные данные'!B38*((MAX($B$9-B29,0))+'Балластные случаи'!B13),'Исходные данные'!B28*'Исходные данные'!B38*(MAX($B$9-B29,0))+'Балластные случаи'!B14)</x:f>
        <x:v>44.2358311445783</x:v>
      </x:c>
    </x:row>
    <x:row r="30" ht="40" customHeight="1">
      <x:c r="A30" s="10" t="str">
        <x:v>Обшивка F / 1</x:v>
      </x:c>
      <x:c r="B30" s="10" t="n">
        <x:f>0</x:f>
        <x:v>0</x:v>
      </x:c>
      <x:c r="C30" s="10" t="n">
        <x:f>10*MAX($B$5-B30,0)</x:f>
        <x:v>46.400000000000006</x:v>
      </x:c>
      <x:c r="D30" s="10" t="n">
        <x:f>MAX(0,IF(B30&lt;=$B$5,'Нагрузки'!B7-1.5*'Нагрузки'!B6*($B$5-B30)/$B$5,'Нагрузки'!B7-7.5*'Исходные данные'!B36*(B30-$B$5)))</x:f>
        <x:v>12.858706688002435</x:v>
      </x:c>
      <x:c r="E30" s="10" t="n">
        <x:f>MAX(C30-D30,0)</x:f>
        <x:v>33.54129331199757</x:v>
      </x:c>
      <x:c r="F30" s="10" t="n">
        <x:f>MAX('Исходные данные'!B28*('Исходные данные'!B38+'Нагрузки'!B8)*(MAX($B$9-B30,0)),'Исходные данные'!B28*'Исходные данные'!B38*((MAX($B$9-B30,0))+($B$7)*'Нагрузки'!B9),'Исходные данные'!B28*'Исходные данные'!B38*((MAX($B$9-B30,0))+'Балластные случаи'!B12*'Нагрузки'!B10),0.75*'Исходные данные'!B28*'Исходные данные'!B38*((MAX($B$9-B30,0))+'Балластные случаи'!B13),'Исходные данные'!B28*'Исходные данные'!B38*(MAX($B$9-B30,0))+'Балластные случаи'!B14)</x:f>
        <x:v>186.0148561445783</x:v>
      </x:c>
    </x:row>
    <x:row r="31" ht="40" customHeight="1">
      <x:c r="A31" s="10" t="str">
        <x:v>Обшивка F / 2</x:v>
      </x:c>
      <x:c r="B31" s="10" t="n">
        <x:f>'Исходные данные'!B16*(1-COS('Эквивалентный брус'!D19/('Исходные данные'!B16*1000)))</x:f>
        <x:v>0.4685344263202714</x:v>
      </x:c>
      <x:c r="C31" s="10" t="n">
        <x:f>10*MAX($B$5-B31,0)</x:f>
        <x:v>41.71465573679729</x:v>
      </x:c>
      <x:c r="D31" s="10" t="n">
        <x:f>MAX(0,IF(B31&lt;=$B$5,'Нагрузки'!B7-1.5*'Нагрузки'!B6*($B$5-B31)/$B$5,'Нагрузки'!B7-7.5*'Исходные данные'!B36*(B31-$B$5)))</x:f>
        <x:v>14.157143490003268</x:v>
      </x:c>
      <x:c r="E31" s="10" t="n">
        <x:f>MAX(C31-D31,0)</x:f>
        <x:v>27.557512246794023</x:v>
      </x:c>
      <x:c r="F31" s="10" t="n">
        <x:f>MAX('Исходные данные'!B28*('Исходные данные'!B38+'Нагрузки'!B8)*(MAX($B$9-B31,0)),'Исходные данные'!B28*'Исходные данные'!B38*((MAX($B$9-B31,0))+($B$7)*'Нагрузки'!B9),'Исходные данные'!B28*'Исходные данные'!B38*((MAX($B$9-B31,0))+'Балластные случаи'!B12*'Нагрузки'!B10),0.75*'Исходные данные'!B28*'Исходные данные'!B38*((MAX($B$9-B31,0))+'Балластные случаи'!B13),'Исходные данные'!B28*'Исходные данные'!B38*(MAX($B$9-B31,0))+'Балластные случаи'!B14)</x:f>
        <x:v>181.30362535432138</x:v>
      </x:c>
    </x:row>
    <x:row r="32" ht="40" customHeight="1">
      <x:c r="A32" s="10" t="str">
        <x:v>Обшивка F / 3</x:v>
      </x:c>
      <x:c r="B32" s="10" t="n">
        <x:f>MAX((0),MIN(('Исходные данные'!B16*(1-COS('Эквивалентный брус'!D19/('Исходные данные'!B16*1000)))),$B$15))</x:f>
        <x:v>0.4685344263202714</x:v>
      </x:c>
      <x:c r="C32" s="10" t="n">
        <x:f>10*MAX($B$5-B32,0)</x:f>
        <x:v>41.71465573679729</x:v>
      </x:c>
      <x:c r="D32" s="10" t="n">
        <x:f>MAX(0,IF(B32&lt;=$B$5,'Нагрузки'!B7-1.5*'Нагрузки'!B6*($B$5-B32)/$B$5,'Нагрузки'!B7-7.5*'Исходные данные'!B36*(B32-$B$5)))</x:f>
        <x:v>14.157143490003268</x:v>
      </x:c>
      <x:c r="E32" s="10" t="n">
        <x:f>MAX(C32-D32,0)</x:f>
        <x:v>27.557512246794023</x:v>
      </x:c>
      <x:c r="F32" s="10" t="n">
        <x:f>MAX('Исходные данные'!B28*('Исходные данные'!B38+'Нагрузки'!B8)*(MAX($B$9-B32,0)),'Исходные данные'!B28*'Исходные данные'!B38*((MAX($B$9-B32,0))+($B$7)*'Нагрузки'!B9),'Исходные данные'!B28*'Исходные данные'!B38*((MAX($B$9-B32,0))+'Балластные случаи'!B12*'Нагрузки'!B10),0.75*'Исходные данные'!B28*'Исходные данные'!B38*((MAX($B$9-B32,0))+'Балластные случаи'!B13),'Исходные данные'!B28*'Исходные данные'!B38*(MAX($B$9-B32,0))+'Балластные случаи'!B14)</x:f>
        <x:v>181.30362535432138</x:v>
      </x:c>
    </x:row>
    <x:row r="33" ht="40" customHeight="1">
      <x:c r="A33" s="10" t="str">
        <x:v>Обшивка G / 1</x:v>
      </x:c>
      <x:c r="B33" s="10" t="n">
        <x:f>'Исходные данные'!B16*(1-COS('Эквивалентный брус'!D19/('Исходные данные'!B16*1000)))</x:f>
        <x:v>0.4685344263202714</x:v>
      </x:c>
      <x:c r="C33" s="10" t="n">
        <x:f>10*MAX($B$5-B33,0)</x:f>
        <x:v>41.71465573679729</x:v>
      </x:c>
      <x:c r="D33" s="10" t="n">
        <x:f>MAX(0,IF(B33&lt;=$B$5,'Нагрузки'!B7-1.5*'Нагрузки'!B6*($B$5-B33)/$B$5,'Нагрузки'!B7-7.5*'Исходные данные'!B36*(B33-$B$5)))</x:f>
        <x:v>14.157143490003268</x:v>
      </x:c>
      <x:c r="E33" s="10" t="n">
        <x:f>MAX(C33-D33,0)</x:f>
        <x:v>27.557512246794023</x:v>
      </x:c>
      <x:c r="F33" s="10" t="n">
        <x:f>MAX('Исходные данные'!B28*('Исходные данные'!B38+'Нагрузки'!B8)*(MAX($B$9-B33,0)),'Исходные данные'!B28*'Исходные данные'!B38*((MAX($B$9-B33,0))+($B$7)*'Нагрузки'!B9),'Исходные данные'!B28*'Исходные данные'!B38*((MAX($B$9-B33,0))+'Балластные случаи'!B12*'Нагрузки'!B10),0.75*'Исходные данные'!B28*'Исходные данные'!B38*((MAX($B$9-B33,0))+'Балластные случаи'!B13),'Исходные данные'!B28*'Исходные данные'!B38*(MAX($B$9-B33,0))+'Балластные случаи'!B14)</x:f>
        <x:v>181.30362535432138</x:v>
      </x:c>
    </x:row>
    <x:row r="34" ht="40" customHeight="1">
      <x:c r="A34" s="10" t="str">
        <x:v>Обшивка G / 2</x:v>
      </x:c>
      <x:c r="B34" s="10" t="n">
        <x:f>('Эквивалентный брус'!F21+'Эквивалентный брус'!D21/20)/100</x:f>
        <x:v>2.3808851424871467</x:v>
      </x:c>
      <x:c r="C34" s="10" t="n">
        <x:f>10*MAX($B$5-B34,0)</x:f>
        <x:v>22.59114857512854</x:v>
      </x:c>
      <x:c r="D34" s="10" t="n">
        <x:f>MAX(0,IF(B34&lt;=$B$5,'Нагрузки'!B7-1.5*'Нагрузки'!B6*($B$5-B34)/$B$5,'Нагрузки'!B7-7.5*'Исходные данные'!B36*(B34-$B$5)))</x:f>
        <x:v>19.456789383059572</x:v>
      </x:c>
      <x:c r="E34" s="10" t="n">
        <x:f>MAX(C34-D34,0)</x:f>
        <x:v>3.134359192068967</x:v>
      </x:c>
      <x:c r="F34" s="10" t="n">
        <x:f>MAX('Исходные данные'!B28*('Исходные данные'!B38+'Нагрузки'!B8)*(MAX($B$9-B34,0)),'Исходные данные'!B28*'Исходные данные'!B38*((MAX($B$9-B34,0))+($B$7)*'Нагрузки'!B9),'Исходные данные'!B28*'Исходные данные'!B38*((MAX($B$9-B34,0))+'Балластные случаи'!B12*'Нагрузки'!B10),0.75*'Исходные данные'!B28*'Исходные данные'!B38*((MAX($B$9-B34,0))+'Балластные случаи'!B13),'Исходные данные'!B28*'Исходные данные'!B38*(MAX($B$9-B34,0))+'Балластные случаи'!B14)</x:f>
        <x:v>162.0744608155844</x:v>
      </x:c>
    </x:row>
    <x:row r="35" ht="40" customHeight="1">
      <x:c r="A35" s="10" t="str">
        <x:v>Обшивка G / 3</x:v>
      </x:c>
      <x:c r="B35" s="10" t="n">
        <x:f>MAX(('Исходные данные'!B16*(1-COS('Эквивалентный брус'!D19/('Исходные данные'!B16*1000)))),MIN((('Эквивалентный брус'!F21+'Эквивалентный брус'!D21/20)/100),$B$15))</x:f>
        <x:v>2.3808851424871467</x:v>
      </x:c>
      <x:c r="C35" s="10" t="n">
        <x:f>10*MAX($B$5-B35,0)</x:f>
        <x:v>22.59114857512854</x:v>
      </x:c>
      <x:c r="D35" s="10" t="n">
        <x:f>MAX(0,IF(B35&lt;=$B$5,'Нагрузки'!B7-1.5*'Нагрузки'!B6*($B$5-B35)/$B$5,'Нагрузки'!B7-7.5*'Исходные данные'!B36*(B35-$B$5)))</x:f>
        <x:v>19.456789383059572</x:v>
      </x:c>
      <x:c r="E35" s="10" t="n">
        <x:f>MAX(C35-D35,0)</x:f>
        <x:v>3.134359192068967</x:v>
      </x:c>
      <x:c r="F35" s="10" t="n">
        <x:f>MAX('Исходные данные'!B28*('Исходные данные'!B38+'Нагрузки'!B8)*(MAX($B$9-B35,0)),'Исходные данные'!B28*'Исходные данные'!B38*((MAX($B$9-B35,0))+($B$7)*'Нагрузки'!B9),'Исходные данные'!B28*'Исходные данные'!B38*((MAX($B$9-B35,0))+'Балластные случаи'!B12*'Нагрузки'!B10),0.75*'Исходные данные'!B28*'Исходные данные'!B38*((MAX($B$9-B35,0))+'Балластные случаи'!B13),'Исходные данные'!B28*'Исходные данные'!B38*(MAX($B$9-B35,0))+'Балластные случаи'!B14)</x:f>
        <x:v>162.0744608155844</x:v>
      </x:c>
    </x:row>
    <x:row r="36" ht="40" customHeight="1">
      <x:c r="A36" s="10" t="str">
        <x:v>Обшивка H / 1</x:v>
      </x:c>
      <x:c r="B36" s="10" t="n">
        <x:f>('Эквивалентный брус'!F22-'Эквивалентный брус'!D22/20)/100</x:f>
        <x:v>2.3808851424871467</x:v>
      </x:c>
      <x:c r="C36" s="10" t="n">
        <x:f>10*MAX($B$5-B36,0)</x:f>
        <x:v>22.59114857512854</x:v>
      </x:c>
      <x:c r="D36" s="10" t="n">
        <x:f>MAX(0,IF(B36&lt;=$B$5,'Нагрузки'!B7-1.5*'Нагрузки'!B6*($B$5-B36)/$B$5,'Нагрузки'!B7-7.5*'Исходные данные'!B36*(B36-$B$5)))</x:f>
        <x:v>19.456789383059572</x:v>
      </x:c>
      <x:c r="E36" s="10" t="n">
        <x:f>MAX(C36-D36,0)</x:f>
        <x:v>3.134359192068967</x:v>
      </x:c>
      <x:c r="F36" s="10" t="n">
        <x:f>MAX('Исходные данные'!B28*('Исходные данные'!B38+'Нагрузки'!B8)*(MAX($B$9-B36,0)),'Исходные данные'!B28*'Исходные данные'!B38*((MAX($B$9-B36,0))+($B$7)*'Нагрузки'!B9),'Исходные данные'!B28*'Исходные данные'!B38*((MAX($B$9-B36,0))+'Балластные случаи'!B12*'Нагрузки'!B10),0.75*'Исходные данные'!B28*'Исходные данные'!B38*((MAX($B$9-B36,0))+'Балластные случаи'!B13),'Исходные данные'!B28*'Исходные данные'!B38*(MAX($B$9-B36,0))+'Балластные случаи'!B14)</x:f>
        <x:v>162.0744608155844</x:v>
      </x:c>
    </x:row>
    <x:row r="37" ht="40" customHeight="1">
      <x:c r="A37" s="10" t="str">
        <x:v>Обшивка H / 2</x:v>
      </x:c>
      <x:c r="B37" s="10" t="n">
        <x:f>('Эквивалентный брус'!F22+'Эквивалентный брус'!D22/20)/100</x:f>
        <x:v>3.9808851424871468</x:v>
      </x:c>
      <x:c r="C37" s="10" t="n">
        <x:f>10*MAX($B$5-B37,0)</x:f>
        <x:v>6.591148575128538</x:v>
      </x:c>
      <x:c r="D37" s="10" t="n">
        <x:f>MAX(0,IF(B37&lt;=$B$5,'Нагрузки'!B7-1.5*'Нагрузки'!B6*($B$5-B37)/$B$5,'Нагрузки'!B7-7.5*'Исходные данные'!B36*(B37-$B$5)))</x:f>
        <x:v>23.89082617202593</x:v>
      </x:c>
      <x:c r="E37" s="10" t="n">
        <x:f>MAX(C37-D37,0)</x:f>
        <x:v>0</x:v>
      </x:c>
      <x:c r="F37" s="10" t="n">
        <x:f>MAX('Исходные данные'!B28*('Исходные данные'!B38+'Нагрузки'!B8)*(MAX($B$9-B37,0)),'Исходные данные'!B28*'Исходные данные'!B38*((MAX($B$9-B37,0))+($B$7)*'Нагрузки'!B9),'Исходные данные'!B28*'Исходные данные'!B38*((MAX($B$9-B37,0))+'Балластные случаи'!B12*'Нагрузки'!B10),0.75*'Исходные данные'!B28*'Исходные данные'!B38*((MAX($B$9-B37,0))+'Балластные случаи'!B13),'Исходные данные'!B28*'Исходные данные'!B38*(MAX($B$9-B37,0))+'Балластные случаи'!B14)</x:f>
        <x:v>145.9860608155844</x:v>
      </x:c>
    </x:row>
    <x:row r="38" ht="40" customHeight="1">
      <x:c r="A38" s="10" t="str">
        <x:v>Обшивка H / 3</x:v>
      </x:c>
      <x:c r="B38" s="10" t="n">
        <x:f>MAX((('Эквивалентный брус'!F22-'Эквивалентный брус'!D22/20)/100),MIN((('Эквивалентный брус'!F22+'Эквивалентный брус'!D22/20)/100),$B$15))</x:f>
        <x:v>2.626307755703653</x:v>
      </x:c>
      <x:c r="C38" s="10" t="n">
        <x:f>10*MAX($B$5-B38,0)</x:f>
        <x:v>20.136922442963474</x:v>
      </x:c>
      <x:c r="D38" s="10" t="n">
        <x:f>MAX(0,IF(B38&lt;=$B$5,'Нагрузки'!B7-1.5*'Нагрузки'!B6*($B$5-B38)/$B$5,'Нагрузки'!B7-7.5*'Исходные данные'!B36*(B38-$B$5)))</x:f>
        <x:v>20.136922442963478</x:v>
      </x:c>
      <x:c r="E38" s="10" t="n">
        <x:f>MAX(C38-D38,0)</x:f>
        <x:v>0</x:v>
      </x:c>
      <x:c r="F38" s="10" t="n">
        <x:f>MAX('Исходные данные'!B28*('Исходные данные'!B38+'Нагрузки'!B8)*(MAX($B$9-B38,0)),'Исходные данные'!B28*'Исходные данные'!B38*((MAX($B$9-B38,0))+($B$7)*'Нагрузки'!B9),'Исходные данные'!B28*'Исходные данные'!B38*((MAX($B$9-B38,0))+'Балластные случаи'!B12*'Нагрузки'!B10),0.75*'Исходные данные'!B28*'Исходные данные'!B38*((MAX($B$9-B38,0))+'Балластные случаи'!B13),'Исходные данные'!B28*'Исходные данные'!B38*(MAX($B$9-B38,0))+'Балластные случаи'!B14)</x:f>
        <x:v>159.60667508403913</x:v>
      </x:c>
    </x:row>
    <x:row r="39" ht="40" customHeight="1">
      <x:c r="A39" s="10" t="str">
        <x:v>Обшивка I / 1</x:v>
      </x:c>
      <x:c r="B39" s="10" t="n">
        <x:f>('Эквивалентный брус'!F23-'Эквивалентный брус'!D23/20)/100</x:f>
        <x:v>3.9808851424871468</x:v>
      </x:c>
      <x:c r="C39" s="10" t="n">
        <x:f>10*MAX($B$5-B39,0)</x:f>
        <x:v>6.591148575128538</x:v>
      </x:c>
      <x:c r="D39" s="10" t="n">
        <x:f>MAX(0,IF(B39&lt;=$B$5,'Нагрузки'!B7-1.5*'Нагрузки'!B6*($B$5-B39)/$B$5,'Нагрузки'!B7-7.5*'Исходные данные'!B36*(B39-$B$5)))</x:f>
        <x:v>23.89082617202593</x:v>
      </x:c>
      <x:c r="E39" s="10" t="n">
        <x:f>MAX(C39-D39,0)</x:f>
        <x:v>0</x:v>
      </x:c>
      <x:c r="F39" s="10" t="n">
        <x:f>MAX('Исходные данные'!B28*('Исходные данные'!B38+'Нагрузки'!B8)*(MAX($B$9-B39,0)),'Исходные данные'!B28*'Исходные данные'!B38*((MAX($B$9-B39,0))+($B$7)*'Нагрузки'!B9),'Исходные данные'!B28*'Исходные данные'!B38*((MAX($B$9-B39,0))+'Балластные случаи'!B12*'Нагрузки'!B10),0.75*'Исходные данные'!B28*'Исходные данные'!B38*((MAX($B$9-B39,0))+'Балластные случаи'!B13),'Исходные данные'!B28*'Исходные данные'!B38*(MAX($B$9-B39,0))+'Балластные случаи'!B14)</x:f>
        <x:v>145.9860608155844</x:v>
      </x:c>
    </x:row>
    <x:row r="40" ht="40" customHeight="1">
      <x:c r="A40" s="10" t="str">
        <x:v>Обшивка I / 2</x:v>
      </x:c>
      <x:c r="B40" s="10" t="n">
        <x:f>('Эквивалентный брус'!F23+'Эквивалентный брус'!D23/20)/100</x:f>
        <x:v>5.580885142487147</x:v>
      </x:c>
      <x:c r="C40" s="10" t="n">
        <x:f>10*MAX($B$5-B40,0)</x:f>
        <x:v>0</x:v>
      </x:c>
      <x:c r="D40" s="10" t="n">
        <x:f>MAX(0,IF(B40&lt;=$B$5,'Нагрузки'!B7-1.5*'Нагрузки'!B6*($B$5-B40)/$B$5,'Нагрузки'!B7-7.5*'Исходные данные'!B36*(B40-$B$5)))</x:f>
        <x:v>23.833290878174363</x:v>
      </x:c>
      <x:c r="E40" s="10" t="n">
        <x:f>MAX(C40-D40,0)</x:f>
        <x:v>0</x:v>
      </x:c>
      <x:c r="F40" s="10" t="n">
        <x:f>MAX('Исходные данные'!B28*('Исходные данные'!B38+'Нагрузки'!B8)*(MAX($B$9-B40,0)),'Исходные данные'!B28*'Исходные данные'!B38*((MAX($B$9-B40,0))+($B$7)*'Нагрузки'!B9),'Исходные данные'!B28*'Исходные данные'!B38*((MAX($B$9-B40,0))+'Балластные случаи'!B12*'Нагрузки'!B10),0.75*'Исходные данные'!B28*'Исходные данные'!B38*((MAX($B$9-B40,0))+'Балластные случаи'!B13),'Исходные данные'!B28*'Исходные данные'!B38*(MAX($B$9-B40,0))+'Балластные случаи'!B14)</x:f>
        <x:v>129.8976608155844</x:v>
      </x:c>
    </x:row>
    <x:row r="41" ht="40" customHeight="1">
      <x:c r="A41" s="10" t="str">
        <x:v>Обшивка I / 3</x:v>
      </x:c>
      <x:c r="B41" s="10" t="n">
        <x:f>MAX((('Эквивалентный брус'!F23-'Эквивалентный брус'!D23/20)/100),MIN((('Эквивалентный брус'!F23+'Эквивалентный брус'!D23/20)/100),$B$15))</x:f>
        <x:v>3.9808851424871468</x:v>
      </x:c>
      <x:c r="C41" s="10" t="n">
        <x:f>10*MAX($B$5-B41,0)</x:f>
        <x:v>6.591148575128538</x:v>
      </x:c>
      <x:c r="D41" s="10" t="n">
        <x:f>MAX(0,IF(B41&lt;=$B$5,'Нагрузки'!B7-1.5*'Нагрузки'!B6*($B$5-B41)/$B$5,'Нагрузки'!B7-7.5*'Исходные данные'!B36*(B41-$B$5)))</x:f>
        <x:v>23.89082617202593</x:v>
      </x:c>
      <x:c r="E41" s="10" t="n">
        <x:f>MAX(C41-D41,0)</x:f>
        <x:v>0</x:v>
      </x:c>
      <x:c r="F41" s="10" t="n">
        <x:f>MAX('Исходные данные'!B28*('Исходные данные'!B38+'Нагрузки'!B8)*(MAX($B$9-B41,0)),'Исходные данные'!B28*'Исходные данные'!B38*((MAX($B$9-B41,0))+($B$7)*'Нагрузки'!B9),'Исходные данные'!B28*'Исходные данные'!B38*((MAX($B$9-B41,0))+'Балластные случаи'!B12*'Нагрузки'!B10),0.75*'Исходные данные'!B28*'Исходные данные'!B38*((MAX($B$9-B41,0))+'Балластные случаи'!B13),'Исходные данные'!B28*'Исходные данные'!B38*(MAX($B$9-B41,0))+'Балластные случаи'!B14)</x:f>
        <x:v>145.9860608155844</x:v>
      </x:c>
    </x:row>
    <x:row r="42" ht="40" customHeight="1">
      <x:c r="A42" s="10" t="str">
        <x:v>Обшивка J / 1</x:v>
      </x:c>
      <x:c r="B42" s="10" t="n">
        <x:f>('Эквивалентный брус'!F24-'Эквивалентный брус'!D24/20)/100</x:f>
        <x:v>5.580885142487147</x:v>
      </x:c>
      <x:c r="C42" s="10" t="n">
        <x:f>10*MAX($B$5-B42,0)</x:f>
        <x:v>0</x:v>
      </x:c>
      <x:c r="D42" s="10" t="n">
        <x:f>MAX(0,IF(B42&lt;=$B$5,'Нагрузки'!B7-1.5*'Нагрузки'!B6*($B$5-B42)/$B$5,'Нагрузки'!B7-7.5*'Исходные данные'!B36*(B42-$B$5)))</x:f>
        <x:v>23.833290878174363</x:v>
      </x:c>
      <x:c r="E42" s="10" t="n">
        <x:f>MAX(C42-D42,0)</x:f>
        <x:v>0</x:v>
      </x:c>
      <x:c r="F42" s="10" t="n">
        <x:f>MAX('Исходные данные'!B28*('Исходные данные'!B38+'Нагрузки'!B8)*(MAX($B$9-B42,0)),'Исходные данные'!B28*'Исходные данные'!B38*((MAX($B$9-B42,0))+($B$7)*'Нагрузки'!B9),'Исходные данные'!B28*'Исходные данные'!B38*((MAX($B$9-B42,0))+'Балластные случаи'!B12*'Нагрузки'!B10),0.75*'Исходные данные'!B28*'Исходные данные'!B38*((MAX($B$9-B42,0))+'Балластные случаи'!B13),'Исходные данные'!B28*'Исходные данные'!B38*(MAX($B$9-B42,0))+'Балластные случаи'!B14)</x:f>
        <x:v>129.8976608155844</x:v>
      </x:c>
    </x:row>
    <x:row r="43" ht="40" customHeight="1">
      <x:c r="A43" s="10" t="str">
        <x:v>Обшивка J / 2</x:v>
      </x:c>
      <x:c r="B43" s="10" t="n">
        <x:f>('Эквивалентный брус'!F24+'Эквивалентный брус'!D24/20)/100</x:f>
        <x:v>7.1808851424871465</x:v>
      </x:c>
      <x:c r="C43" s="10" t="n">
        <x:f>10*MAX($B$5-B43,0)</x:f>
        <x:v>0</x:v>
      </x:c>
      <x:c r="D43" s="10" t="n">
        <x:f>MAX(0,IF(B43&lt;=$B$5,'Нагрузки'!B7-1.5*'Нагрузки'!B6*($B$5-B43)/$B$5,'Нагрузки'!B7-7.5*'Исходные данные'!B36*(B43-$B$5)))</x:f>
        <x:v>20.629290878174366</x:v>
      </x:c>
      <x:c r="E43" s="10" t="n">
        <x:f>MAX(C43-D43,0)</x:f>
        <x:v>0</x:v>
      </x:c>
      <x:c r="F43" s="10" t="n">
        <x:f>MAX('Исходные данные'!B28*('Исходные данные'!B38+'Нагрузки'!B8)*(MAX($B$9-B43,0)),'Исходные данные'!B28*'Исходные данные'!B38*((MAX($B$9-B43,0))+($B$7)*'Нагрузки'!B9),'Исходные данные'!B28*'Исходные данные'!B38*((MAX($B$9-B43,0))+'Балластные случаи'!B12*'Нагрузки'!B10),0.75*'Исходные данные'!B28*'Исходные данные'!B38*((MAX($B$9-B43,0))+'Балластные случаи'!B13),'Исходные данные'!B28*'Исходные данные'!B38*(MAX($B$9-B43,0))+'Балластные случаи'!B14)</x:f>
        <x:v>113.80926081558441</x:v>
      </x:c>
    </x:row>
    <x:row r="44" ht="40" customHeight="1">
      <x:c r="A44" s="10" t="str">
        <x:v>Обшивка J / 3</x:v>
      </x:c>
      <x:c r="B44" s="10" t="n">
        <x:f>MAX((('Эквивалентный брус'!F24-'Эквивалентный брус'!D24/20)/100),MIN((('Эквивалентный брус'!F24+'Эквивалентный брус'!D24/20)/100),$B$15))</x:f>
        <x:v>5.580885142487147</x:v>
      </x:c>
      <x:c r="C44" s="10" t="n">
        <x:f>10*MAX($B$5-B44,0)</x:f>
        <x:v>0</x:v>
      </x:c>
      <x:c r="D44" s="10" t="n">
        <x:f>MAX(0,IF(B44&lt;=$B$5,'Нагрузки'!B7-1.5*'Нагрузки'!B6*($B$5-B44)/$B$5,'Нагрузки'!B7-7.5*'Исходные данные'!B36*(B44-$B$5)))</x:f>
        <x:v>23.833290878174363</x:v>
      </x:c>
      <x:c r="E44" s="10" t="n">
        <x:f>MAX(C44-D44,0)</x:f>
        <x:v>0</x:v>
      </x:c>
      <x:c r="F44" s="10" t="n">
        <x:f>MAX('Исходные данные'!B28*('Исходные данные'!B38+'Нагрузки'!B8)*(MAX($B$9-B44,0)),'Исходные данные'!B28*'Исходные данные'!B38*((MAX($B$9-B44,0))+($B$7)*'Нагрузки'!B9),'Исходные данные'!B28*'Исходные данные'!B38*((MAX($B$9-B44,0))+'Балластные случаи'!B12*'Нагрузки'!B10),0.75*'Исходные данные'!B28*'Исходные данные'!B38*((MAX($B$9-B44,0))+'Балластные случаи'!B13),'Исходные данные'!B28*'Исходные данные'!B38*(MAX($B$9-B44,0))+'Балластные случаи'!B14)</x:f>
        <x:v>129.8976608155844</x:v>
      </x:c>
    </x:row>
    <x:row r="45" ht="40" customHeight="1">
      <x:c r="A45" s="10" t="str">
        <x:v>Обшивка K / 1</x:v>
      </x:c>
      <x:c r="B45" s="10" t="n">
        <x:f>('Эквивалентный брус'!F25-'Эквивалентный брус'!D25/20)/100</x:f>
        <x:v>7.1808851424871465</x:v>
      </x:c>
      <x:c r="C45" s="10" t="n">
        <x:f>10*MAX($B$5-B45,0)</x:f>
        <x:v>0</x:v>
      </x:c>
      <x:c r="D45" s="10" t="n">
        <x:f>MAX(0,IF(B45&lt;=$B$5,'Нагрузки'!B7-1.5*'Нагрузки'!B6*($B$5-B45)/$B$5,'Нагрузки'!B7-7.5*'Исходные данные'!B36*(B45-$B$5)))</x:f>
        <x:v>20.629290878174366</x:v>
      </x:c>
      <x:c r="E45" s="10" t="n">
        <x:f>MAX(C45-D45,0)</x:f>
        <x:v>0</x:v>
      </x:c>
      <x:c r="F45" s="10" t="n">
        <x:f>MAX('Исходные данные'!B28*('Исходные данные'!B38+'Нагрузки'!B8)*(MAX($B$9-B45,0)),'Исходные данные'!B28*'Исходные данные'!B38*((MAX($B$9-B45,0))+($B$7)*'Нагрузки'!B9),'Исходные данные'!B28*'Исходные данные'!B38*((MAX($B$9-B45,0))+'Балластные случаи'!B12*'Нагрузки'!B10),0.75*'Исходные данные'!B28*'Исходные данные'!B38*((MAX($B$9-B45,0))+'Балластные случаи'!B13),'Исходные данные'!B28*'Исходные данные'!B38*(MAX($B$9-B45,0))+'Балластные случаи'!B14)</x:f>
        <x:v>113.80926081558441</x:v>
      </x:c>
    </x:row>
    <x:row r="46" ht="40" customHeight="1">
      <x:c r="A46" s="10" t="str">
        <x:v>Обшивка K / 2</x:v>
      </x:c>
      <x:c r="B46" s="10" t="n">
        <x:f>('Эквивалентный брус'!F25+'Эквивалентный брус'!D25/20)/100</x:f>
        <x:v>8.780885142487147</x:v>
      </x:c>
      <x:c r="C46" s="10" t="n">
        <x:f>10*MAX($B$5-B46,0)</x:f>
        <x:v>0</x:v>
      </x:c>
      <x:c r="D46" s="10" t="n">
        <x:f>MAX(0,IF(B46&lt;=$B$5,'Нагрузки'!B7-1.5*'Нагрузки'!B6*($B$5-B46)/$B$5,'Нагрузки'!B7-7.5*'Исходные данные'!B36*(B46-$B$5)))</x:f>
        <x:v>17.425290878174366</x:v>
      </x:c>
      <x:c r="E46" s="10" t="n">
        <x:f>MAX(C46-D46,0)</x:f>
        <x:v>0</x:v>
      </x:c>
      <x:c r="F46" s="10" t="n">
        <x:f>MAX('Исходные данные'!B28*('Исходные данные'!B38+'Нагрузки'!B8)*(MAX($B$9-B46,0)),'Исходные данные'!B28*'Исходные данные'!B38*((MAX($B$9-B46,0))+($B$7)*'Нагрузки'!B9),'Исходные данные'!B28*'Исходные данные'!B38*((MAX($B$9-B46,0))+'Балластные случаи'!B12*'Нагрузки'!B10),0.75*'Исходные данные'!B28*'Исходные данные'!B38*((MAX($B$9-B46,0))+'Балластные случаи'!B13),'Исходные данные'!B28*'Исходные данные'!B38*(MAX($B$9-B46,0))+'Балластные случаи'!B14)</x:f>
        <x:v>97.72086081558442</x:v>
      </x:c>
    </x:row>
    <x:row r="47" ht="40" customHeight="1">
      <x:c r="A47" s="10" t="str">
        <x:v>Обшивка K / 3</x:v>
      </x:c>
      <x:c r="B47" s="10" t="n">
        <x:f>MAX((('Эквивалентный брус'!F25-'Эквивалентный брус'!D25/20)/100),MIN((('Эквивалентный брус'!F25+'Эквивалентный брус'!D25/20)/100),$B$15))</x:f>
        <x:v>7.1808851424871465</x:v>
      </x:c>
      <x:c r="C47" s="10" t="n">
        <x:f>10*MAX($B$5-B47,0)</x:f>
        <x:v>0</x:v>
      </x:c>
      <x:c r="D47" s="10" t="n">
        <x:f>MAX(0,IF(B47&lt;=$B$5,'Нагрузки'!B7-1.5*'Нагрузки'!B6*($B$5-B47)/$B$5,'Нагрузки'!B7-7.5*'Исходные данные'!B36*(B47-$B$5)))</x:f>
        <x:v>20.629290878174366</x:v>
      </x:c>
      <x:c r="E47" s="10" t="n">
        <x:f>MAX(C47-D47,0)</x:f>
        <x:v>0</x:v>
      </x:c>
      <x:c r="F47" s="10" t="n">
        <x:f>MAX('Исходные данные'!B28*('Исходные данные'!B38+'Нагрузки'!B8)*(MAX($B$9-B47,0)),'Исходные данные'!B28*'Исходные данные'!B38*((MAX($B$9-B47,0))+($B$7)*'Нагрузки'!B9),'Исходные данные'!B28*'Исходные данные'!B38*((MAX($B$9-B47,0))+'Балластные случаи'!B12*'Нагрузки'!B10),0.75*'Исходные данные'!B28*'Исходные данные'!B38*((MAX($B$9-B47,0))+'Балластные случаи'!B13),'Исходные данные'!B28*'Исходные данные'!B38*(MAX($B$9-B47,0))+'Балластные случаи'!B14)</x:f>
        <x:v>113.80926081558441</x:v>
      </x:c>
    </x:row>
    <x:row r="48" ht="40" customHeight="1">
      <x:c r="A48" s="10" t="str">
        <x:v>Обшивка L / 1</x:v>
      </x:c>
      <x:c r="B48" s="10" t="n">
        <x:f>('Эквивалентный брус'!F26-'Эквивалентный брус'!D26/20)/100</x:f>
        <x:v>8.780885142487147</x:v>
      </x:c>
      <x:c r="C48" s="10" t="n">
        <x:f>10*MAX($B$5-B48,0)</x:f>
        <x:v>0</x:v>
      </x:c>
      <x:c r="D48" s="10" t="n">
        <x:f>MAX(0,IF(B48&lt;=$B$5,'Нагрузки'!B7-1.5*'Нагрузки'!B6*($B$5-B48)/$B$5,'Нагрузки'!B7-7.5*'Исходные данные'!B36*(B48-$B$5)))</x:f>
        <x:v>17.425290878174366</x:v>
      </x:c>
      <x:c r="E48" s="10" t="n">
        <x:f>MAX(C48-D48,0)</x:f>
        <x:v>0</x:v>
      </x:c>
      <x:c r="F48" s="10" t="n">
        <x:f>MAX('Исходные данные'!B28*('Исходные данные'!B38+'Нагрузки'!B8)*(MAX($B$9-B48,0)),'Исходные данные'!B28*'Исходные данные'!B38*((MAX($B$9-B48,0))+($B$7)*'Нагрузки'!B9),'Исходные данные'!B28*'Исходные данные'!B38*((MAX($B$9-B48,0))+'Балластные случаи'!B12*'Нагрузки'!B10),0.75*'Исходные данные'!B28*'Исходные данные'!B38*((MAX($B$9-B48,0))+'Балластные случаи'!B13),'Исходные данные'!B28*'Исходные данные'!B38*(MAX($B$9-B48,0))+'Балластные случаи'!B14)</x:f>
        <x:v>97.72086081558442</x:v>
      </x:c>
    </x:row>
    <x:row r="49" ht="40" customHeight="1">
      <x:c r="A49" s="10" t="str">
        <x:v>Обшивка L / 2</x:v>
      </x:c>
      <x:c r="B49" s="10" t="n">
        <x:f>('Эквивалентный брус'!F26+'Эквивалентный брус'!D26/20)/100</x:f>
        <x:v>10.380885142487145</x:v>
      </x:c>
      <x:c r="C49" s="10" t="n">
        <x:f>10*MAX($B$5-B49,0)</x:f>
        <x:v>0</x:v>
      </x:c>
      <x:c r="D49" s="10" t="n">
        <x:f>MAX(0,IF(B49&lt;=$B$5,'Нагрузки'!B7-1.5*'Нагрузки'!B6*($B$5-B49)/$B$5,'Нагрузки'!B7-7.5*'Исходные данные'!B36*(B49-$B$5)))</x:f>
        <x:v>14.221290878174369</x:v>
      </x:c>
      <x:c r="E49" s="10" t="n">
        <x:f>MAX(C49-D49,0)</x:f>
        <x:v>0</x:v>
      </x:c>
      <x:c r="F49" s="10" t="n">
        <x:f>MAX('Исходные данные'!B28*('Исходные данные'!B38+'Нагрузки'!B8)*(MAX($B$9-B49,0)),'Исходные данные'!B28*'Исходные данные'!B38*((MAX($B$9-B49,0))+($B$7)*'Нагрузки'!B9),'Исходные данные'!B28*'Исходные данные'!B38*((MAX($B$9-B49,0))+'Балластные случаи'!B12*'Нагрузки'!B10),0.75*'Исходные данные'!B28*'Исходные данные'!B38*((MAX($B$9-B49,0))+'Балластные случаи'!B13),'Исходные данные'!B28*'Исходные данные'!B38*(MAX($B$9-B49,0))+'Балластные случаи'!B14)</x:f>
        <x:v>81.63246081558444</x:v>
      </x:c>
    </x:row>
    <x:row r="50" ht="40" customHeight="1">
      <x:c r="A50" s="10" t="str">
        <x:v>Обшивка L / 3</x:v>
      </x:c>
      <x:c r="B50" s="10" t="n">
        <x:f>MAX((('Эквивалентный брус'!F26-'Эквивалентный брус'!D26/20)/100),MIN((('Эквивалентный брус'!F26+'Эквивалентный брус'!D26/20)/100),$B$15))</x:f>
        <x:v>8.780885142487147</x:v>
      </x:c>
      <x:c r="C50" s="10" t="n">
        <x:f>10*MAX($B$5-B50,0)</x:f>
        <x:v>0</x:v>
      </x:c>
      <x:c r="D50" s="10" t="n">
        <x:f>MAX(0,IF(B50&lt;=$B$5,'Нагрузки'!B7-1.5*'Нагрузки'!B6*($B$5-B50)/$B$5,'Нагрузки'!B7-7.5*'Исходные данные'!B36*(B50-$B$5)))</x:f>
        <x:v>17.425290878174366</x:v>
      </x:c>
      <x:c r="E50" s="10" t="n">
        <x:f>MAX(C50-D50,0)</x:f>
        <x:v>0</x:v>
      </x:c>
      <x:c r="F50" s="10" t="n">
        <x:f>MAX('Исходные данные'!B28*('Исходные данные'!B38+'Нагрузки'!B8)*(MAX($B$9-B50,0)),'Исходные данные'!B28*'Исходные данные'!B38*((MAX($B$9-B50,0))+($B$7)*'Нагрузки'!B9),'Исходные данные'!B28*'Исходные данные'!B38*((MAX($B$9-B50,0))+'Балластные случаи'!B12*'Нагрузки'!B10),0.75*'Исходные данные'!B28*'Исходные данные'!B38*((MAX($B$9-B50,0))+'Балластные случаи'!B13),'Исходные данные'!B28*'Исходные данные'!B38*(MAX($B$9-B50,0))+'Балластные случаи'!B14)</x:f>
        <x:v>97.72086081558442</x:v>
      </x:c>
    </x:row>
    <x:row r="51" ht="40" customHeight="1">
      <x:c r="A51" s="10" t="str">
        <x:v>Обшивка M / 1</x:v>
      </x:c>
      <x:c r="B51" s="10" t="n">
        <x:f>('Эквивалентный брус'!F27-'Эквивалентный брус'!D27/20)/100</x:f>
        <x:v>10.380885142487148</x:v>
      </x:c>
      <x:c r="C51" s="10" t="n">
        <x:f>10*MAX($B$5-B51,0)</x:f>
        <x:v>0</x:v>
      </x:c>
      <x:c r="D51" s="10" t="n">
        <x:f>MAX(0,IF(B51&lt;=$B$5,'Нагрузки'!B7-1.5*'Нагрузки'!B6*($B$5-B51)/$B$5,'Нагрузки'!B7-7.5*'Исходные данные'!B36*(B51-$B$5)))</x:f>
        <x:v>14.221290878174361</x:v>
      </x:c>
      <x:c r="E51" s="10" t="n">
        <x:f>MAX(C51-D51,0)</x:f>
        <x:v>0</x:v>
      </x:c>
      <x:c r="F51" s="10" t="n">
        <x:f>MAX('Исходные данные'!B28*('Исходные данные'!B38+'Нагрузки'!B8)*(MAX($B$9-B51,0)),'Исходные данные'!B28*'Исходные данные'!B38*((MAX($B$9-B51,0))+($B$7)*'Нагрузки'!B9),'Исходные данные'!B28*'Исходные данные'!B38*((MAX($B$9-B51,0))+'Балластные случаи'!B12*'Нагрузки'!B10),0.75*'Исходные данные'!B28*'Исходные данные'!B38*((MAX($B$9-B51,0))+'Балластные случаи'!B13),'Исходные данные'!B28*'Исходные данные'!B38*(MAX($B$9-B51,0))+'Балластные случаи'!B14)</x:f>
        <x:v>81.6324608155844</x:v>
      </x:c>
    </x:row>
    <x:row r="52" ht="40" customHeight="1">
      <x:c r="A52" s="10" t="str">
        <x:v>Обшивка M / 2</x:v>
      </x:c>
      <x:c r="B52" s="10" t="n">
        <x:f>('Эквивалентный брус'!F27+'Эквивалентный брус'!D27/20)/100</x:f>
        <x:v>11.510442571243573</x:v>
      </x:c>
      <x:c r="C52" s="10" t="n">
        <x:f>10*MAX($B$5-B52,0)</x:f>
        <x:v>0</x:v>
      </x:c>
      <x:c r="D52" s="10" t="n">
        <x:f>MAX(0,IF(B52&lt;=$B$5,'Нагрузки'!B7-1.5*'Нагрузки'!B6*($B$5-B52)/$B$5,'Нагрузки'!B7-7.5*'Исходные данные'!B36*(B52-$B$5)))</x:f>
        <x:v>11.959352127089621</x:v>
      </x:c>
      <x:c r="E52" s="10" t="n">
        <x:f>MAX(C52-D52,0)</x:f>
        <x:v>0</x:v>
      </x:c>
      <x:c r="F52" s="10" t="n">
        <x:f>MAX('Исходные данные'!B28*('Исходные данные'!B38+'Нагрузки'!B8)*(MAX($B$9-B52,0)),'Исходные данные'!B28*'Исходные данные'!B38*((MAX($B$9-B52,0))+($B$7)*'Нагрузки'!B9),'Исходные данные'!B28*'Исходные данные'!B38*((MAX($B$9-B52,0))+'Балластные случаи'!B12*'Нагрузки'!B10),0.75*'Исходные данные'!B28*'Исходные данные'!B38*((MAX($B$9-B52,0))+'Балластные случаи'!B13),'Исходные данные'!B28*'Исходные данные'!B38*(MAX($B$9-B52,0))+'Балластные случаи'!B14)</x:f>
        <x:v>70.27447848008136</x:v>
      </x:c>
    </x:row>
    <x:row r="53" ht="40" customHeight="1">
      <x:c r="A53" s="10" t="str">
        <x:v>Обшивка M / 3</x:v>
      </x:c>
      <x:c r="B53" s="10" t="n">
        <x:f>MAX((('Эквивалентный брус'!F27-'Эквивалентный брус'!D27/20)/100),MIN((('Эквивалентный брус'!F27+'Эквивалентный брус'!D27/20)/100),$B$15))</x:f>
        <x:v>10.380885142487148</x:v>
      </x:c>
      <x:c r="C53" s="10" t="n">
        <x:f>10*MAX($B$5-B53,0)</x:f>
        <x:v>0</x:v>
      </x:c>
      <x:c r="D53" s="10" t="n">
        <x:f>MAX(0,IF(B53&lt;=$B$5,'Нагрузки'!B7-1.5*'Нагрузки'!B6*($B$5-B53)/$B$5,'Нагрузки'!B7-7.5*'Исходные данные'!B36*(B53-$B$5)))</x:f>
        <x:v>14.221290878174361</x:v>
      </x:c>
      <x:c r="E53" s="10" t="n">
        <x:f>MAX(C53-D53,0)</x:f>
        <x:v>0</x:v>
      </x:c>
      <x:c r="F53" s="10" t="n">
        <x:f>MAX('Исходные данные'!B28*('Исходные данные'!B38+'Нагрузки'!B8)*(MAX($B$9-B53,0)),'Исходные данные'!B28*'Исходные данные'!B38*((MAX($B$9-B53,0))+($B$7)*'Нагрузки'!B9),'Исходные данные'!B28*'Исходные данные'!B38*((MAX($B$9-B53,0))+'Балластные случаи'!B12*'Нагрузки'!B10),0.75*'Исходные данные'!B28*'Исходные данные'!B38*((MAX($B$9-B53,0))+'Балластные случаи'!B13),'Исходные данные'!B28*'Исходные данные'!B38*(MAX($B$9-B53,0))+'Балластные случаи'!B14)</x:f>
        <x:v>81.6324608155844</x:v>
      </x:c>
    </x:row>
    <x:row r="54" ht="40" customHeight="1">
      <x:c r="A54" s="10" t="str">
        <x:v>Обшивка N / 1</x:v>
      </x:c>
      <x:c r="B54" s="10" t="n">
        <x:f>('Эквивалентный брус'!F28-'Эквивалентный брус'!D28/20)/100</x:f>
        <x:v>11.510442571243575</x:v>
      </x:c>
      <x:c r="C54" s="10" t="n">
        <x:f>10*MAX($B$5-B54,0)</x:f>
        <x:v>0</x:v>
      </x:c>
      <x:c r="D54" s="10" t="n">
        <x:f>MAX(0,IF(B54&lt;=$B$5,'Нагрузки'!B7-1.5*'Нагрузки'!B6*($B$5-B54)/$B$5,'Нагрузки'!B7-7.5*'Исходные данные'!B36*(B54-$B$5)))</x:f>
        <x:v>11.959352127089618</x:v>
      </x:c>
      <x:c r="E54" s="10" t="n">
        <x:f>MAX(C54-D54,0)</x:f>
        <x:v>0</x:v>
      </x:c>
      <x:c r="F54" s="10" t="n">
        <x:f>MAX('Исходные данные'!B28*('Исходные данные'!B38+'Нагрузки'!B8)*(MAX($B$9-B54,0)),'Исходные данные'!B28*'Исходные данные'!B38*((MAX($B$9-B54,0))+($B$7)*'Нагрузки'!B9),'Исходные данные'!B28*'Исходные данные'!B38*((MAX($B$9-B54,0))+'Балластные случаи'!B12*'Нагрузки'!B10),0.75*'Исходные данные'!B28*'Исходные данные'!B38*((MAX($B$9-B54,0))+'Балластные случаи'!B13),'Исходные данные'!B28*'Исходные данные'!B38*(MAX($B$9-B54,0))+'Балластные случаи'!B14)</x:f>
        <x:v>70.27447848008134</x:v>
      </x:c>
    </x:row>
    <x:row r="55" ht="40" customHeight="1">
      <x:c r="A55" s="10" t="str">
        <x:v>Обшивка N / 2</x:v>
      </x:c>
      <x:c r="B55" s="10" t="n">
        <x:f>('Эквивалентный брус'!F28+'Эквивалентный брус'!D28/20)/100</x:f>
        <x:v>12.64</x:v>
      </x:c>
      <x:c r="C55" s="10" t="n">
        <x:f>10*MAX($B$5-B55,0)</x:f>
        <x:v>0</x:v>
      </x:c>
      <x:c r="D55" s="10" t="n">
        <x:f>MAX(0,IF(B55&lt;=$B$5,'Нагрузки'!B7-1.5*'Нагрузки'!B6*($B$5-B55)/$B$5,'Нагрузки'!B7-7.5*'Исходные данные'!B36*(B55-$B$5)))</x:f>
        <x:v>9.697413376004874</x:v>
      </x:c>
      <x:c r="E55" s="10" t="n">
        <x:f>MAX(C55-D55,0)</x:f>
        <x:v>0</x:v>
      </x:c>
      <x:c r="F55" s="10" t="n">
        <x:f>MAX('Исходные данные'!B28*('Исходные данные'!B38+'Нагрузки'!B8)*(MAX($B$9-B55,0)),'Исходные данные'!B28*'Исходные данные'!B38*((MAX($B$9-B55,0))+($B$7)*'Нагрузки'!B9),'Исходные данные'!B28*'Исходные данные'!B38*((MAX($B$9-B55,0))+'Балластные случаи'!B12*'Нагрузки'!B10),0.75*'Исходные данные'!B28*'Исходные данные'!B38*((MAX($B$9-B55,0))+'Балластные случаи'!B13),'Исходные данные'!B28*'Исходные данные'!B38*(MAX($B$9-B55,0))+'Балластные случаи'!B14)</x:f>
        <x:v>58.91649614457829</x:v>
      </x:c>
    </x:row>
    <x:row r="56" ht="40" customHeight="1">
      <x:c r="A56" s="10" t="str">
        <x:v>Обшивка N / 3</x:v>
      </x:c>
      <x:c r="B56" s="10" t="n">
        <x:f>MAX((('Эквивалентный брус'!F28-'Эквивалентный брус'!D28/20)/100),MIN((('Эквивалентный брус'!F28+'Эквивалентный брус'!D28/20)/100),$B$15))</x:f>
        <x:v>11.510442571243575</x:v>
      </x:c>
      <x:c r="C56" s="10" t="n">
        <x:f>10*MAX($B$5-B56,0)</x:f>
        <x:v>0</x:v>
      </x:c>
      <x:c r="D56" s="10" t="n">
        <x:f>MAX(0,IF(B56&lt;=$B$5,'Нагрузки'!B7-1.5*'Нагрузки'!B6*($B$5-B56)/$B$5,'Нагрузки'!B7-7.5*'Исходные данные'!B36*(B56-$B$5)))</x:f>
        <x:v>11.959352127089618</x:v>
      </x:c>
      <x:c r="E56" s="10" t="n">
        <x:f>MAX(C56-D56,0)</x:f>
        <x:v>0</x:v>
      </x:c>
      <x:c r="F56" s="10" t="n">
        <x:f>MAX('Исходные данные'!B28*('Исходные данные'!B38+'Нагрузки'!B8)*(MAX($B$9-B56,0)),'Исходные данные'!B28*'Исходные данные'!B38*((MAX($B$9-B56,0))+($B$7)*'Нагрузки'!B9),'Исходные данные'!B28*'Исходные данные'!B38*((MAX($B$9-B56,0))+'Балластные случаи'!B12*'Нагрузки'!B10),0.75*'Исходные данные'!B28*'Исходные данные'!B38*((MAX($B$9-B56,0))+'Балластные случаи'!B13),'Исходные данные'!B28*'Исходные данные'!B38*(MAX($B$9-B56,0))+'Балластные случаи'!B14)</x:f>
        <x:v>70.27447848008134</x:v>
      </x:c>
    </x:row>
    <x:row r="57" ht="40" customHeight="1">
      <x:c r="A57" s="10" t="str">
        <x:v>Обшивка SH / 1</x:v>
      </x:c>
      <x:c r="B57" s="10" t="n">
        <x:f>('Эквивалентный брус'!F29-'Эквивалентный брус'!D29/20)/100</x:f>
        <x:v>12.64</x:v>
      </x:c>
      <x:c r="C57" s="10" t="n">
        <x:f>10*MAX($B$5-B57,0)</x:f>
        <x:v>0</x:v>
      </x:c>
      <x:c r="D57" s="10" t="n">
        <x:f>MAX(0,IF(B57&lt;=$B$5,'Нагрузки'!B7-1.5*'Нагрузки'!B6*($B$5-B57)/$B$5,'Нагрузки'!B7-7.5*'Исходные данные'!B36*(B57-$B$5)))</x:f>
        <x:v>9.697413376004874</x:v>
      </x:c>
      <x:c r="E57" s="10" t="n">
        <x:f>MAX(C57-D57,0)</x:f>
        <x:v>0</x:v>
      </x:c>
      <x:c r="F57" s="10" t="n">
        <x:f>MAX('Исходные данные'!B28*('Исходные данные'!B38+'Нагрузки'!B8)*(MAX($B$9-B57,0)),'Исходные данные'!B28*'Исходные данные'!B38*((MAX($B$9-B57,0))+($B$7)*'Нагрузки'!B9),'Исходные данные'!B28*'Исходные данные'!B38*((MAX($B$9-B57,0))+'Балластные случаи'!B12*'Нагрузки'!B10),0.75*'Исходные данные'!B28*'Исходные данные'!B38*((MAX($B$9-B57,0))+'Балластные случаи'!B13),'Исходные данные'!B28*'Исходные данные'!B38*(MAX($B$9-B57,0))+'Балластные случаи'!B14)</x:f>
        <x:v>58.91649614457829</x:v>
      </x:c>
    </x:row>
    <x:row r="58" ht="40" customHeight="1">
      <x:c r="A58" s="10" t="str">
        <x:v>Обшивка SH / 2</x:v>
      </x:c>
      <x:c r="B58" s="10" t="n">
        <x:f>('Эквивалентный брус'!F29+'Эквивалентный брус'!D29/20)/100</x:f>
        <x:v>14.1</x:v>
      </x:c>
      <x:c r="C58" s="10" t="n">
        <x:f>10*MAX($B$5-B58,0)</x:f>
        <x:v>0</x:v>
      </x:c>
      <x:c r="D58" s="10" t="n">
        <x:f>MAX(0,IF(B58&lt;=$B$5,'Нагрузки'!B7-1.5*'Нагрузки'!B6*($B$5-B58)/$B$5,'Нагрузки'!B7-7.5*'Исходные данные'!B36*(B58-$B$5)))</x:f>
        <x:v>6.773763376004876</x:v>
      </x:c>
      <x:c r="E58" s="10" t="n">
        <x:f>MAX(C58-D58,0)</x:f>
        <x:v>0</x:v>
      </x:c>
      <x:c r="F58" s="10" t="n">
        <x:f>MAX('Исходные данные'!B28*('Исходные данные'!B38+'Нагрузки'!B8)*(MAX($B$9-B58,0)),'Исходные данные'!B28*'Исходные данные'!B38*((MAX($B$9-B58,0))+($B$7)*'Нагрузки'!B9),'Исходные данные'!B28*'Исходные данные'!B38*((MAX($B$9-B58,0))+'Балластные случаи'!B12*'Нагрузки'!B10),0.75*'Исходные данные'!B28*'Исходные данные'!B38*((MAX($B$9-B58,0))+'Балластные случаи'!B13),'Исходные данные'!B28*'Исходные данные'!B38*(MAX($B$9-B58,0))+'Балластные случаи'!B14)</x:f>
        <x:v>44.2358311445783</x:v>
      </x:c>
    </x:row>
    <x:row r="59" ht="40" customHeight="1">
      <x:c r="A59" s="10" t="str">
        <x:v>Обшивка SH / 3</x:v>
      </x:c>
      <x:c r="B59" s="10" t="n">
        <x:f>MAX((('Эквивалентный брус'!F29-'Эквивалентный брус'!D29/20)/100),MIN((('Эквивалентный брус'!F29+'Эквивалентный брус'!D29/20)/100),$B$15))</x:f>
        <x:v>12.64</x:v>
      </x:c>
      <x:c r="C59" s="10" t="n">
        <x:f>10*MAX($B$5-B59,0)</x:f>
        <x:v>0</x:v>
      </x:c>
      <x:c r="D59" s="10" t="n">
        <x:f>MAX(0,IF(B59&lt;=$B$5,'Нагрузки'!B7-1.5*'Нагрузки'!B6*($B$5-B59)/$B$5,'Нагрузки'!B7-7.5*'Исходные данные'!B36*(B59-$B$5)))</x:f>
        <x:v>9.697413376004874</x:v>
      </x:c>
      <x:c r="E59" s="10" t="n">
        <x:f>MAX(C59-D59,0)</x:f>
        <x:v>0</x:v>
      </x:c>
      <x:c r="F59" s="10" t="n">
        <x:f>MAX('Исходные данные'!B28*('Исходные данные'!B38+'Нагрузки'!B8)*(MAX($B$9-B59,0)),'Исходные данные'!B28*'Исходные данные'!B38*((MAX($B$9-B59,0))+($B$7)*'Нагрузки'!B9),'Исходные данные'!B28*'Исходные данные'!B38*((MAX($B$9-B59,0))+'Балластные случаи'!B12*'Нагрузки'!B10),0.75*'Исходные данные'!B28*'Исходные данные'!B38*((MAX($B$9-B59,0))+'Балластные случаи'!B13),'Исходные данные'!B28*'Исходные данные'!B38*(MAX($B$9-B59,0))+'Балластные случаи'!B14)</x:f>
        <x:v>58.91649614457829</x:v>
      </x:c>
    </x:row>
    <x:row r="60" ht="40" customHeight="1">
      <x:c r="A60" s="10" t="str">
        <x:v>ISG / 1</x:v>
      </x:c>
      <x:c r="B60" s="10" t="n">
        <x:f>('Эквивалентный брус'!F33-'Эквивалентный брус'!D33/20)/100</x:f>
        <x:v>1.8</x:v>
      </x:c>
      <x:c r="C60" s="10" t="n">
        <x:f>10*MAX($B$5-B60,0)</x:f>
        <x:v>28.400000000000006</x:v>
      </x:c>
      <x:c r="D60" s="10" t="n">
        <x:f>MAX(0,IF(B60&lt;=$B$5,'Нагрузки'!B7-1.5*'Нагрузки'!B6*($B$5-B60)/$B$5,'Нагрузки'!B7-7.5*'Исходные данные'!B36*(B60-$B$5)))</x:f>
        <x:v>17.84699807558959</x:v>
      </x:c>
      <x:c r="E60" s="10" t="n">
        <x:f>MAX(C60-D60,0)</x:f>
        <x:v>10.553001924410417</x:v>
      </x:c>
      <x:c r="F60" s="10" t="n">
        <x:f>MAX('Исходные данные'!B28*('Исходные данные'!B38+'Нагрузки'!B8)*(MAX($B$9-B60,0)),'Исходные данные'!B28*'Исходные данные'!B38*((MAX($B$9-B60,0))+($B$7)*'Нагрузки'!B9),'Исходные данные'!B28*'Исходные данные'!B38*((MAX($B$9-B60,0))+'Балластные случаи'!B12*'Нагрузки'!B10),0.75*'Исходные данные'!B28*'Исходные данные'!B38*((MAX($B$9-B60,0))+'Балластные случаи'!B13),'Исходные данные'!B28*'Исходные данные'!B38*(MAX($B$9-B60,0))+'Балластные случаи'!B14)</x:f>
        <x:v>167.91540614457827</x:v>
      </x:c>
    </x:row>
    <x:row r="61" ht="40" customHeight="1">
      <x:c r="A61" s="10" t="str">
        <x:v>ISG / 2</x:v>
      </x:c>
      <x:c r="B61" s="10" t="n">
        <x:f>('Эквивалентный брус'!F33+'Эквивалентный брус'!D33/20)/100</x:f>
        <x:v>3.5</x:v>
      </x:c>
      <x:c r="C61" s="10" t="n">
        <x:f>10*MAX($B$5-B61,0)</x:f>
        <x:v>11.400000000000006</x:v>
      </x:c>
      <x:c r="D61" s="10" t="n">
        <x:f>MAX(0,IF(B61&lt;=$B$5,'Нагрузки'!B7-1.5*'Нагрузки'!B6*($B$5-B61)/$B$5,'Нагрузки'!B7-7.5*'Исходные данные'!B36*(B61-$B$5)))</x:f>
        <x:v>22.558162163866342</x:v>
      </x:c>
      <x:c r="E61" s="10" t="n">
        <x:f>MAX(C61-D61,0)</x:f>
        <x:v>0</x:v>
      </x:c>
      <x:c r="F61" s="10" t="n">
        <x:f>MAX('Исходные данные'!B28*('Исходные данные'!B38+'Нагрузки'!B8)*(MAX($B$9-B61,0)),'Исходные данные'!B28*'Исходные данные'!B38*((MAX($B$9-B61,0))+($B$7)*'Нагрузки'!B9),'Исходные данные'!B28*'Исходные данные'!B38*((MAX($B$9-B61,0))+'Балластные случаи'!B12*'Нагрузки'!B10),0.75*'Исходные данные'!B28*'Исходные данные'!B38*((MAX($B$9-B61,0))+'Балластные случаи'!B13),'Исходные данные'!B28*'Исходные данные'!B38*(MAX($B$9-B61,0))+'Балластные случаи'!B14)</x:f>
        <x:v>150.82148114457829</x:v>
      </x:c>
    </x:row>
    <x:row r="62" ht="40" customHeight="1">
      <x:c r="A62" s="10" t="str">
        <x:v>ISG / 3</x:v>
      </x:c>
      <x:c r="B62" s="10" t="n">
        <x:f>MAX((('Эквивалентный брус'!F33-'Эквивалентный брус'!D33/20)/100),MIN((('Эквивалентный брус'!F33+'Эквивалентный брус'!D33/20)/100),$B$15))</x:f>
        <x:v>2.626307755703653</x:v>
      </x:c>
      <x:c r="C62" s="10" t="n">
        <x:f>10*MAX($B$5-B62,0)</x:f>
        <x:v>20.136922442963474</x:v>
      </x:c>
      <x:c r="D62" s="10" t="n">
        <x:f>MAX(0,IF(B62&lt;=$B$5,'Нагрузки'!B7-1.5*'Нагрузки'!B6*($B$5-B62)/$B$5,'Нагрузки'!B7-7.5*'Исходные данные'!B36*(B62-$B$5)))</x:f>
        <x:v>20.136922442963478</x:v>
      </x:c>
      <x:c r="E62" s="10" t="n">
        <x:f>MAX(C62-D62,0)</x:f>
        <x:v>0</x:v>
      </x:c>
      <x:c r="F62" s="10" t="n">
        <x:f>MAX('Исходные данные'!B28*('Исходные данные'!B38+'Нагрузки'!B8)*(MAX($B$9-B62,0)),'Исходные данные'!B28*'Исходные данные'!B38*((MAX($B$9-B62,0))+($B$7)*'Нагрузки'!B9),'Исходные данные'!B28*'Исходные данные'!B38*((MAX($B$9-B62,0))+'Балластные случаи'!B12*'Нагрузки'!B10),0.75*'Исходные данные'!B28*'Исходные данные'!B38*((MAX($B$9-B62,0))+'Балластные случаи'!B13),'Исходные данные'!B28*'Исходные данные'!B38*(MAX($B$9-B62,0))+'Балластные случаи'!B14)</x:f>
        <x:v>159.60667508403913</x:v>
      </x:c>
    </x:row>
    <x:row r="63" ht="40" customHeight="1">
      <x:c r="A63" s="10" t="str">
        <x:v>ISF / 1</x:v>
      </x:c>
      <x:c r="B63" s="10" t="n">
        <x:f>('Эквивалентный брус'!F34-'Эквивалентный брус'!D34/20)/100</x:f>
        <x:v>3.5</x:v>
      </x:c>
      <x:c r="C63" s="10" t="n">
        <x:f>10*MAX($B$5-B63,0)</x:f>
        <x:v>11.400000000000006</x:v>
      </x:c>
      <x:c r="D63" s="10" t="n">
        <x:f>MAX(0,IF(B63&lt;=$B$5,'Нагрузки'!B7-1.5*'Нагрузки'!B6*($B$5-B63)/$B$5,'Нагрузки'!B7-7.5*'Исходные данные'!B36*(B63-$B$5)))</x:f>
        <x:v>22.558162163866342</x:v>
      </x:c>
      <x:c r="E63" s="10" t="n">
        <x:f>MAX(C63-D63,0)</x:f>
        <x:v>0</x:v>
      </x:c>
      <x:c r="F63" s="10" t="n">
        <x:f>MAX('Исходные данные'!B28*('Исходные данные'!B38+'Нагрузки'!B8)*(MAX($B$9-B63,0)),'Исходные данные'!B28*'Исходные данные'!B38*((MAX($B$9-B63,0))+($B$7)*'Нагрузки'!B9),'Исходные данные'!B28*'Исходные данные'!B38*((MAX($B$9-B63,0))+'Балластные случаи'!B12*'Нагрузки'!B10),0.75*'Исходные данные'!B28*'Исходные данные'!B38*((MAX($B$9-B63,0))+'Балластные случаи'!B13),'Исходные данные'!B28*'Исходные данные'!B38*(MAX($B$9-B63,0))+'Балластные случаи'!B14)</x:f>
        <x:v>150.82148114457829</x:v>
      </x:c>
    </x:row>
    <x:row r="64" ht="40" customHeight="1">
      <x:c r="A64" s="10" t="str">
        <x:v>ISF / 2</x:v>
      </x:c>
      <x:c r="B64" s="10" t="n">
        <x:f>('Эквивалентный брус'!F34+'Эквивалентный брус'!D34/20)/100</x:f>
        <x:v>5.2</x:v>
      </x:c>
      <x:c r="C64" s="10" t="n">
        <x:f>10*MAX($B$5-B64,0)</x:f>
        <x:v>0</x:v>
      </x:c>
      <x:c r="D64" s="10" t="n">
        <x:f>MAX(0,IF(B64&lt;=$B$5,'Нагрузки'!B7-1.5*'Нагрузки'!B6*($B$5-B64)/$B$5,'Нагрузки'!B7-7.5*'Исходные данные'!B36*(B64-$B$5)))</x:f>
        <x:v>24.596013376004876</x:v>
      </x:c>
      <x:c r="E64" s="10" t="n">
        <x:f>MAX(C64-D64,0)</x:f>
        <x:v>0</x:v>
      </x:c>
      <x:c r="F64" s="10" t="n">
        <x:f>MAX('Исходные данные'!B28*('Исходные данные'!B38+'Нагрузки'!B8)*(MAX($B$9-B64,0)),'Исходные данные'!B28*'Исходные данные'!B38*((MAX($B$9-B64,0))+($B$7)*'Нагрузки'!B9),'Исходные данные'!B28*'Исходные данные'!B38*((MAX($B$9-B64,0))+'Балластные случаи'!B12*'Нагрузки'!B10),0.75*'Исходные данные'!B28*'Исходные данные'!B38*((MAX($B$9-B64,0))+'Балластные случаи'!B13),'Исходные данные'!B28*'Исходные данные'!B38*(MAX($B$9-B64,0))+'Балластные случаи'!B14)</x:f>
        <x:v>133.7275561445783</x:v>
      </x:c>
    </x:row>
    <x:row r="65" ht="40" customHeight="1">
      <x:c r="A65" s="10" t="str">
        <x:v>ISF / 3</x:v>
      </x:c>
      <x:c r="B65" s="10" t="n">
        <x:f>MAX((('Эквивалентный брус'!F34-'Эквивалентный брус'!D34/20)/100),MIN((('Эквивалентный брус'!F34+'Эквивалентный брус'!D34/20)/100),$B$15))</x:f>
        <x:v>3.5</x:v>
      </x:c>
      <x:c r="C65" s="10" t="n">
        <x:f>10*MAX($B$5-B65,0)</x:f>
        <x:v>11.400000000000006</x:v>
      </x:c>
      <x:c r="D65" s="10" t="n">
        <x:f>MAX(0,IF(B65&lt;=$B$5,'Нагрузки'!B7-1.5*'Нагрузки'!B6*($B$5-B65)/$B$5,'Нагрузки'!B7-7.5*'Исходные данные'!B36*(B65-$B$5)))</x:f>
        <x:v>22.558162163866342</x:v>
      </x:c>
      <x:c r="E65" s="10" t="n">
        <x:f>MAX(C65-D65,0)</x:f>
        <x:v>0</x:v>
      </x:c>
      <x:c r="F65" s="10" t="n">
        <x:f>MAX('Исходные данные'!B28*('Исходные данные'!B38+'Нагрузки'!B8)*(MAX($B$9-B65,0)),'Исходные данные'!B28*'Исходные данные'!B38*((MAX($B$9-B65,0))+($B$7)*'Нагрузки'!B9),'Исходные данные'!B28*'Исходные данные'!B38*((MAX($B$9-B65,0))+'Балластные случаи'!B12*'Нагрузки'!B10),0.75*'Исходные данные'!B28*'Исходные данные'!B38*((MAX($B$9-B65,0))+'Балластные случаи'!B13),'Исходные данные'!B28*'Исходные данные'!B38*(MAX($B$9-B65,0))+'Балластные случаи'!B14)</x:f>
        <x:v>150.82148114457829</x:v>
      </x:c>
    </x:row>
    <x:row r="66" ht="40" customHeight="1">
      <x:c r="A66" s="10" t="str">
        <x:v>ISE / 1</x:v>
      </x:c>
      <x:c r="B66" s="10" t="n">
        <x:f>('Эквивалентный брус'!F35-'Эквивалентный брус'!D35/20)/100</x:f>
        <x:v>5.2</x:v>
      </x:c>
      <x:c r="C66" s="10" t="n">
        <x:f>10*MAX($B$5-B66,0)</x:f>
        <x:v>0</x:v>
      </x:c>
      <x:c r="D66" s="10" t="n">
        <x:f>MAX(0,IF(B66&lt;=$B$5,'Нагрузки'!B7-1.5*'Нагрузки'!B6*($B$5-B66)/$B$5,'Нагрузки'!B7-7.5*'Исходные данные'!B36*(B66-$B$5)))</x:f>
        <x:v>24.596013376004876</x:v>
      </x:c>
      <x:c r="E66" s="10" t="n">
        <x:f>MAX(C66-D66,0)</x:f>
        <x:v>0</x:v>
      </x:c>
      <x:c r="F66" s="10" t="n">
        <x:f>MAX('Исходные данные'!B28*('Исходные данные'!B38+'Нагрузки'!B8)*(MAX($B$9-B66,0)),'Исходные данные'!B28*'Исходные данные'!B38*((MAX($B$9-B66,0))+($B$7)*'Нагрузки'!B9),'Исходные данные'!B28*'Исходные данные'!B38*((MAX($B$9-B66,0))+'Балластные случаи'!B12*'Нагрузки'!B10),0.75*'Исходные данные'!B28*'Исходные данные'!B38*((MAX($B$9-B66,0))+'Балластные случаи'!B13),'Исходные данные'!B28*'Исходные данные'!B38*(MAX($B$9-B66,0))+'Балластные случаи'!B14)</x:f>
        <x:v>133.7275561445783</x:v>
      </x:c>
    </x:row>
    <x:row r="67" ht="40" customHeight="1">
      <x:c r="A67" s="10" t="str">
        <x:v>ISE / 2</x:v>
      </x:c>
      <x:c r="B67" s="10" t="n">
        <x:f>('Эквивалентный брус'!F35+'Эквивалентный брус'!D35/20)/100</x:f>
        <x:v>6.9</x:v>
      </x:c>
      <x:c r="C67" s="10" t="n">
        <x:f>10*MAX($B$5-B67,0)</x:f>
        <x:v>0</x:v>
      </x:c>
      <x:c r="D67" s="10" t="n">
        <x:f>MAX(0,IF(B67&lt;=$B$5,'Нагрузки'!B7-1.5*'Нагрузки'!B6*($B$5-B67)/$B$5,'Нагрузки'!B7-7.5*'Исходные данные'!B36*(B67-$B$5)))</x:f>
        <x:v>21.191763376004875</x:v>
      </x:c>
      <x:c r="E67" s="10" t="n">
        <x:f>MAX(C67-D67,0)</x:f>
        <x:v>0</x:v>
      </x:c>
      <x:c r="F67" s="10" t="n">
        <x:f>MAX('Исходные данные'!B28*('Исходные данные'!B38+'Нагрузки'!B8)*(MAX($B$9-B67,0)),'Исходные данные'!B28*'Исходные данные'!B38*((MAX($B$9-B67,0))+($B$7)*'Нагрузки'!B9),'Исходные данные'!B28*'Исходные данные'!B38*((MAX($B$9-B67,0))+'Балластные случаи'!B12*'Нагрузки'!B10),0.75*'Исходные данные'!B28*'Исходные данные'!B38*((MAX($B$9-B67,0))+'Балластные случаи'!B13),'Исходные данные'!B28*'Исходные данные'!B38*(MAX($B$9-B67,0))+'Балластные случаи'!B14)</x:f>
        <x:v>116.63363114457827</x:v>
      </x:c>
    </x:row>
    <x:row r="68" ht="40" customHeight="1">
      <x:c r="A68" s="10" t="str">
        <x:v>ISE / 3</x:v>
      </x:c>
      <x:c r="B68" s="10" t="n">
        <x:f>MAX((('Эквивалентный брус'!F35-'Эквивалентный брус'!D35/20)/100),MIN((('Эквивалентный брус'!F35+'Эквивалентный брус'!D35/20)/100),$B$15))</x:f>
        <x:v>5.2</x:v>
      </x:c>
      <x:c r="C68" s="10" t="n">
        <x:f>10*MAX($B$5-B68,0)</x:f>
        <x:v>0</x:v>
      </x:c>
      <x:c r="D68" s="10" t="n">
        <x:f>MAX(0,IF(B68&lt;=$B$5,'Нагрузки'!B7-1.5*'Нагрузки'!B6*($B$5-B68)/$B$5,'Нагрузки'!B7-7.5*'Исходные данные'!B36*(B68-$B$5)))</x:f>
        <x:v>24.596013376004876</x:v>
      </x:c>
      <x:c r="E68" s="10" t="n">
        <x:f>MAX(C68-D68,0)</x:f>
        <x:v>0</x:v>
      </x:c>
      <x:c r="F68" s="10" t="n">
        <x:f>MAX('Исходные данные'!B28*('Исходные данные'!B38+'Нагрузки'!B8)*(MAX($B$9-B68,0)),'Исходные данные'!B28*'Исходные данные'!B38*((MAX($B$9-B68,0))+($B$7)*'Нагрузки'!B9),'Исходные данные'!B28*'Исходные данные'!B38*((MAX($B$9-B68,0))+'Балластные случаи'!B12*'Нагрузки'!B10),0.75*'Исходные данные'!B28*'Исходные данные'!B38*((MAX($B$9-B68,0))+'Балластные случаи'!B13),'Исходные данные'!B28*'Исходные данные'!B38*(MAX($B$9-B68,0))+'Балластные случаи'!B14)</x:f>
        <x:v>133.7275561445783</x:v>
      </x:c>
    </x:row>
    <x:row r="69" ht="40" customHeight="1">
      <x:c r="A69" s="10" t="str">
        <x:v>ISD / 1</x:v>
      </x:c>
      <x:c r="B69" s="10" t="n">
        <x:f>('Эквивалентный брус'!F36-'Эквивалентный брус'!D36/20)/100</x:f>
        <x:v>6.9</x:v>
      </x:c>
      <x:c r="C69" s="10" t="n">
        <x:f>10*MAX($B$5-B69,0)</x:f>
        <x:v>0</x:v>
      </x:c>
      <x:c r="D69" s="10" t="n">
        <x:f>MAX(0,IF(B69&lt;=$B$5,'Нагрузки'!B7-1.5*'Нагрузки'!B6*($B$5-B69)/$B$5,'Нагрузки'!B7-7.5*'Исходные данные'!B36*(B69-$B$5)))</x:f>
        <x:v>21.191763376004875</x:v>
      </x:c>
      <x:c r="E69" s="10" t="n">
        <x:f>MAX(C69-D69,0)</x:f>
        <x:v>0</x:v>
      </x:c>
      <x:c r="F69" s="10" t="n">
        <x:f>MAX('Исходные данные'!B28*('Исходные данные'!B38+'Нагрузки'!B8)*(MAX($B$9-B69,0)),'Исходные данные'!B28*'Исходные данные'!B38*((MAX($B$9-B69,0))+($B$7)*'Нагрузки'!B9),'Исходные данные'!B28*'Исходные данные'!B38*((MAX($B$9-B69,0))+'Балластные случаи'!B12*'Нагрузки'!B10),0.75*'Исходные данные'!B28*'Исходные данные'!B38*((MAX($B$9-B69,0))+'Балластные случаи'!B13),'Исходные данные'!B28*'Исходные данные'!B38*(MAX($B$9-B69,0))+'Балластные случаи'!B14)</x:f>
        <x:v>116.63363114457827</x:v>
      </x:c>
    </x:row>
    <x:row r="70" ht="40" customHeight="1">
      <x:c r="A70" s="10" t="str">
        <x:v>ISD / 2</x:v>
      </x:c>
      <x:c r="B70" s="10" t="n">
        <x:f>('Эквивалентный брус'!F36+'Эквивалентный брус'!D36/20)/100</x:f>
        <x:v>8.6</x:v>
      </x:c>
      <x:c r="C70" s="10" t="n">
        <x:f>10*MAX($B$5-B70,0)</x:f>
        <x:v>0</x:v>
      </x:c>
      <x:c r="D70" s="10" t="n">
        <x:f>MAX(0,IF(B70&lt;=$B$5,'Нагрузки'!B7-1.5*'Нагрузки'!B6*($B$5-B70)/$B$5,'Нагрузки'!B7-7.5*'Исходные данные'!B36*(B70-$B$5)))</x:f>
        <x:v>17.787513376004874</x:v>
      </x:c>
      <x:c r="E70" s="10" t="n">
        <x:f>MAX(C70-D70,0)</x:f>
        <x:v>0</x:v>
      </x:c>
      <x:c r="F70" s="10" t="n">
        <x:f>MAX('Исходные данные'!B28*('Исходные данные'!B38+'Нагрузки'!B8)*(MAX($B$9-B70,0)),'Исходные данные'!B28*'Исходные данные'!B38*((MAX($B$9-B70,0))+($B$7)*'Нагрузки'!B9),'Исходные данные'!B28*'Исходные данные'!B38*((MAX($B$9-B70,0))+'Балластные случаи'!B12*'Нагрузки'!B10),0.75*'Исходные данные'!B28*'Исходные данные'!B38*((MAX($B$9-B70,0))+'Балластные случаи'!B13),'Исходные данные'!B28*'Исходные данные'!B38*(MAX($B$9-B70,0))+'Балластные случаи'!B14)</x:f>
        <x:v>99.53970614457829</x:v>
      </x:c>
    </x:row>
    <x:row r="71" ht="40" customHeight="1">
      <x:c r="A71" s="10" t="str">
        <x:v>ISD / 3</x:v>
      </x:c>
      <x:c r="B71" s="10" t="n">
        <x:f>MAX((('Эквивалентный брус'!F36-'Эквивалентный брус'!D36/20)/100),MIN((('Эквивалентный брус'!F36+'Эквивалентный брус'!D36/20)/100),$B$15))</x:f>
        <x:v>6.9</x:v>
      </x:c>
      <x:c r="C71" s="10" t="n">
        <x:f>10*MAX($B$5-B71,0)</x:f>
        <x:v>0</x:v>
      </x:c>
      <x:c r="D71" s="10" t="n">
        <x:f>MAX(0,IF(B71&lt;=$B$5,'Нагрузки'!B7-1.5*'Нагрузки'!B6*($B$5-B71)/$B$5,'Нагрузки'!B7-7.5*'Исходные данные'!B36*(B71-$B$5)))</x:f>
        <x:v>21.191763376004875</x:v>
      </x:c>
      <x:c r="E71" s="10" t="n">
        <x:f>MAX(C71-D71,0)</x:f>
        <x:v>0</x:v>
      </x:c>
      <x:c r="F71" s="10" t="n">
        <x:f>MAX('Исходные данные'!B28*('Исходные данные'!B38+'Нагрузки'!B8)*(MAX($B$9-B71,0)),'Исходные данные'!B28*'Исходные данные'!B38*((MAX($B$9-B71,0))+($B$7)*'Нагрузки'!B9),'Исходные данные'!B28*'Исходные данные'!B38*((MAX($B$9-B71,0))+'Балластные случаи'!B12*'Нагрузки'!B10),0.75*'Исходные данные'!B28*'Исходные данные'!B38*((MAX($B$9-B71,0))+'Балластные случаи'!B13),'Исходные данные'!B28*'Исходные данные'!B38*(MAX($B$9-B71,0))+'Балластные случаи'!B14)</x:f>
        <x:v>116.63363114457827</x:v>
      </x:c>
    </x:row>
    <x:row r="72" ht="40" customHeight="1">
      <x:c r="A72" s="10" t="str">
        <x:v>ISC / 1</x:v>
      </x:c>
      <x:c r="B72" s="10" t="n">
        <x:f>('Эквивалентный брус'!F37-'Эквивалентный брус'!D37/20)/100</x:f>
        <x:v>8.6</x:v>
      </x:c>
      <x:c r="C72" s="10" t="n">
        <x:f>10*MAX($B$5-B72,0)</x:f>
        <x:v>0</x:v>
      </x:c>
      <x:c r="D72" s="10" t="n">
        <x:f>MAX(0,IF(B72&lt;=$B$5,'Нагрузки'!B7-1.5*'Нагрузки'!B6*($B$5-B72)/$B$5,'Нагрузки'!B7-7.5*'Исходные данные'!B36*(B72-$B$5)))</x:f>
        <x:v>17.787513376004874</x:v>
      </x:c>
      <x:c r="E72" s="10" t="n">
        <x:f>MAX(C72-D72,0)</x:f>
        <x:v>0</x:v>
      </x:c>
      <x:c r="F72" s="10" t="n">
        <x:f>MAX('Исходные данные'!B28*('Исходные данные'!B38+'Нагрузки'!B8)*(MAX($B$9-B72,0)),'Исходные данные'!B28*'Исходные данные'!B38*((MAX($B$9-B72,0))+($B$7)*'Нагрузки'!B9),'Исходные данные'!B28*'Исходные данные'!B38*((MAX($B$9-B72,0))+'Балластные случаи'!B12*'Нагрузки'!B10),0.75*'Исходные данные'!B28*'Исходные данные'!B38*((MAX($B$9-B72,0))+'Балластные случаи'!B13),'Исходные данные'!B28*'Исходные данные'!B38*(MAX($B$9-B72,0))+'Балластные случаи'!B14)</x:f>
        <x:v>99.53970614457829</x:v>
      </x:c>
    </x:row>
    <x:row r="73" ht="40" customHeight="1">
      <x:c r="A73" s="10" t="str">
        <x:v>ISC / 2</x:v>
      </x:c>
      <x:c r="B73" s="10" t="n">
        <x:f>('Эквивалентный брус'!F37+'Эквивалентный брус'!D37/20)/100</x:f>
        <x:v>10.3</x:v>
      </x:c>
      <x:c r="C73" s="10" t="n">
        <x:f>10*MAX($B$5-B73,0)</x:f>
        <x:v>0</x:v>
      </x:c>
      <x:c r="D73" s="10" t="n">
        <x:f>MAX(0,IF(B73&lt;=$B$5,'Нагрузки'!B7-1.5*'Нагрузки'!B6*($B$5-B73)/$B$5,'Нагрузки'!B7-7.5*'Исходные данные'!B36*(B73-$B$5)))</x:f>
        <x:v>14.383263376004875</x:v>
      </x:c>
      <x:c r="E73" s="10" t="n">
        <x:f>MAX(C73-D73,0)</x:f>
        <x:v>0</x:v>
      </x:c>
      <x:c r="F73" s="10" t="n">
        <x:f>MAX('Исходные данные'!B28*('Исходные данные'!B38+'Нагрузки'!B8)*(MAX($B$9-B73,0)),'Исходные данные'!B28*'Исходные данные'!B38*((MAX($B$9-B73,0))+($B$7)*'Нагрузки'!B9),'Исходные данные'!B28*'Исходные данные'!B38*((MAX($B$9-B73,0))+'Балластные случаи'!B12*'Нагрузки'!B10),0.75*'Исходные данные'!B28*'Исходные данные'!B38*((MAX($B$9-B73,0))+'Балластные случаи'!B13),'Исходные данные'!B28*'Исходные данные'!B38*(MAX($B$9-B73,0))+'Балластные случаи'!B14)</x:f>
        <x:v>82.44578114457829</x:v>
      </x:c>
    </x:row>
    <x:row r="74" ht="40" customHeight="1">
      <x:c r="A74" s="10" t="str">
        <x:v>ISC / 3</x:v>
      </x:c>
      <x:c r="B74" s="10" t="n">
        <x:f>MAX((('Эквивалентный брус'!F37-'Эквивалентный брус'!D37/20)/100),MIN((('Эквивалентный брус'!F37+'Эквивалентный брус'!D37/20)/100),$B$15))</x:f>
        <x:v>8.6</x:v>
      </x:c>
      <x:c r="C74" s="10" t="n">
        <x:f>10*MAX($B$5-B74,0)</x:f>
        <x:v>0</x:v>
      </x:c>
      <x:c r="D74" s="10" t="n">
        <x:f>MAX(0,IF(B74&lt;=$B$5,'Нагрузки'!B7-1.5*'Нагрузки'!B6*($B$5-B74)/$B$5,'Нагрузки'!B7-7.5*'Исходные данные'!B36*(B74-$B$5)))</x:f>
        <x:v>17.787513376004874</x:v>
      </x:c>
      <x:c r="E74" s="10" t="n">
        <x:f>MAX(C74-D74,0)</x:f>
        <x:v>0</x:v>
      </x:c>
      <x:c r="F74" s="10" t="n">
        <x:f>MAX('Исходные данные'!B28*('Исходные данные'!B38+'Нагрузки'!B8)*(MAX($B$9-B74,0)),'Исходные данные'!B28*'Исходные данные'!B38*((MAX($B$9-B74,0))+($B$7)*'Нагрузки'!B9),'Исходные данные'!B28*'Исходные данные'!B38*((MAX($B$9-B74,0))+'Балластные случаи'!B12*'Нагрузки'!B10),0.75*'Исходные данные'!B28*'Исходные данные'!B38*((MAX($B$9-B74,0))+'Балластные случаи'!B13),'Исходные данные'!B28*'Исходные данные'!B38*(MAX($B$9-B74,0))+'Балластные случаи'!B14)</x:f>
        <x:v>99.53970614457829</x:v>
      </x:c>
    </x:row>
    <x:row r="75" ht="40" customHeight="1">
      <x:c r="A75" s="10" t="str">
        <x:v>ISB / 1</x:v>
      </x:c>
      <x:c r="B75" s="10" t="n">
        <x:f>('Эквивалентный брус'!F38-'Эквивалентный брус'!D38/20)/100</x:f>
        <x:v>10.3</x:v>
      </x:c>
      <x:c r="C75" s="10" t="n">
        <x:f>10*MAX($B$5-B75,0)</x:f>
        <x:v>0</x:v>
      </x:c>
      <x:c r="D75" s="10" t="n">
        <x:f>MAX(0,IF(B75&lt;=$B$5,'Нагрузки'!B7-1.5*'Нагрузки'!B6*($B$5-B75)/$B$5,'Нагрузки'!B7-7.5*'Исходные данные'!B36*(B75-$B$5)))</x:f>
        <x:v>14.383263376004875</x:v>
      </x:c>
      <x:c r="E75" s="10" t="n">
        <x:f>MAX(C75-D75,0)</x:f>
        <x:v>0</x:v>
      </x:c>
      <x:c r="F75" s="10" t="n">
        <x:f>MAX('Исходные данные'!B28*('Исходные данные'!B38+'Нагрузки'!B8)*(MAX($B$9-B75,0)),'Исходные данные'!B28*'Исходные данные'!B38*((MAX($B$9-B75,0))+($B$7)*'Нагрузки'!B9),'Исходные данные'!B28*'Исходные данные'!B38*((MAX($B$9-B75,0))+'Балластные случаи'!B12*'Нагрузки'!B10),0.75*'Исходные данные'!B28*'Исходные данные'!B38*((MAX($B$9-B75,0))+'Балластные случаи'!B13),'Исходные данные'!B28*'Исходные данные'!B38*(MAX($B$9-B75,0))+'Балластные случаи'!B14)</x:f>
        <x:v>82.44578114457829</x:v>
      </x:c>
    </x:row>
    <x:row r="76" ht="40" customHeight="1">
      <x:c r="A76" s="10" t="str">
        <x:v>ISB / 2</x:v>
      </x:c>
      <x:c r="B76" s="10" t="n">
        <x:f>('Эквивалентный брус'!F38+'Эквивалентный брус'!D38/20)/100</x:f>
        <x:v>12</x:v>
      </x:c>
      <x:c r="C76" s="10" t="n">
        <x:f>10*MAX($B$5-B76,0)</x:f>
        <x:v>0</x:v>
      </x:c>
      <x:c r="D76" s="10" t="n">
        <x:f>MAX(0,IF(B76&lt;=$B$5,'Нагрузки'!B7-1.5*'Нагрузки'!B6*($B$5-B76)/$B$5,'Нагрузки'!B7-7.5*'Исходные данные'!B36*(B76-$B$5)))</x:f>
        <x:v>10.979013376004875</x:v>
      </x:c>
      <x:c r="E76" s="10" t="n">
        <x:f>MAX(C76-D76,0)</x:f>
        <x:v>0</x:v>
      </x:c>
      <x:c r="F76" s="10" t="n">
        <x:f>MAX('Исходные данные'!B28*('Исходные данные'!B38+'Нагрузки'!B8)*(MAX($B$9-B76,0)),'Исходные данные'!B28*'Исходные данные'!B38*((MAX($B$9-B76,0))+($B$7)*'Нагрузки'!B9),'Исходные данные'!B28*'Исходные данные'!B38*((MAX($B$9-B76,0))+'Балластные случаи'!B12*'Нагрузки'!B10),0.75*'Исходные данные'!B28*'Исходные данные'!B38*((MAX($B$9-B76,0))+'Балластные случаи'!B13),'Исходные данные'!B28*'Исходные данные'!B38*(MAX($B$9-B76,0))+'Балластные случаи'!B14)</x:f>
        <x:v>65.35185614457829</x:v>
      </x:c>
    </x:row>
    <x:row r="77" ht="40" customHeight="1">
      <x:c r="A77" s="10" t="str">
        <x:v>ISB / 3</x:v>
      </x:c>
      <x:c r="B77" s="10" t="n">
        <x:f>MAX((('Эквивалентный брус'!F38-'Эквивалентный брус'!D38/20)/100),MIN((('Эквивалентный брус'!F38+'Эквивалентный брус'!D38/20)/100),$B$15))</x:f>
        <x:v>10.3</x:v>
      </x:c>
      <x:c r="C77" s="10" t="n">
        <x:f>10*MAX($B$5-B77,0)</x:f>
        <x:v>0</x:v>
      </x:c>
      <x:c r="D77" s="10" t="n">
        <x:f>MAX(0,IF(B77&lt;=$B$5,'Нагрузки'!B7-1.5*'Нагрузки'!B6*($B$5-B77)/$B$5,'Нагрузки'!B7-7.5*'Исходные данные'!B36*(B77-$B$5)))</x:f>
        <x:v>14.383263376004875</x:v>
      </x:c>
      <x:c r="E77" s="10" t="n">
        <x:f>MAX(C77-D77,0)</x:f>
        <x:v>0</x:v>
      </x:c>
      <x:c r="F77" s="10" t="n">
        <x:f>MAX('Исходные данные'!B28*('Исходные данные'!B38+'Нагрузки'!B8)*(MAX($B$9-B77,0)),'Исходные данные'!B28*'Исходные данные'!B38*((MAX($B$9-B77,0))+($B$7)*'Нагрузки'!B9),'Исходные данные'!B28*'Исходные данные'!B38*((MAX($B$9-B77,0))+'Балластные случаи'!B12*'Нагрузки'!B10),0.75*'Исходные данные'!B28*'Исходные данные'!B38*((MAX($B$9-B77,0))+'Балластные случаи'!B13),'Исходные данные'!B28*'Исходные данные'!B38*(MAX($B$9-B77,0))+'Балластные случаи'!B14)</x:f>
        <x:v>82.44578114457829</x:v>
      </x:c>
    </x:row>
    <x:row r="78" ht="40" customHeight="1">
      <x:c r="A78" s="10" t="str">
        <x:v>ISA / 1</x:v>
      </x:c>
      <x:c r="B78" s="10" t="n">
        <x:f>('Эквивалентный брус'!F39-'Эквивалентный брус'!D39/20)/100</x:f>
        <x:v>12</x:v>
      </x:c>
      <x:c r="C78" s="10" t="n">
        <x:f>10*MAX($B$5-B78,0)</x:f>
        <x:v>0</x:v>
      </x:c>
      <x:c r="D78" s="10" t="n">
        <x:f>MAX(0,IF(B78&lt;=$B$5,'Нагрузки'!B7-1.5*'Нагрузки'!B6*($B$5-B78)/$B$5,'Нагрузки'!B7-7.5*'Исходные данные'!B36*(B78-$B$5)))</x:f>
        <x:v>10.979013376004875</x:v>
      </x:c>
      <x:c r="E78" s="10" t="n">
        <x:f>MAX(C78-D78,0)</x:f>
        <x:v>0</x:v>
      </x:c>
      <x:c r="F78" s="10" t="n">
        <x:f>MAX('Исходные данные'!B28*('Исходные данные'!B38+'Нагрузки'!B8)*(MAX($B$9-B78,0)),'Исходные данные'!B28*'Исходные данные'!B38*((MAX($B$9-B78,0))+($B$7)*'Нагрузки'!B9),'Исходные данные'!B28*'Исходные данные'!B38*((MAX($B$9-B78,0))+'Балластные случаи'!B12*'Нагрузки'!B10),0.75*'Исходные данные'!B28*'Исходные данные'!B38*((MAX($B$9-B78,0))+'Балластные случаи'!B13),'Исходные данные'!B28*'Исходные данные'!B38*(MAX($B$9-B78,0))+'Балластные случаи'!B14)</x:f>
        <x:v>65.35185614457829</x:v>
      </x:c>
    </x:row>
    <x:row r="79" ht="40" customHeight="1">
      <x:c r="A79" s="10" t="str">
        <x:v>ISA / 2</x:v>
      </x:c>
      <x:c r="B79" s="10" t="n">
        <x:f>('Эквивалентный брус'!F39+'Эквивалентный брус'!D39/20)/100</x:f>
        <x:v>14.18</x:v>
      </x:c>
      <x:c r="C79" s="10" t="n">
        <x:f>10*MAX($B$5-B79,0)</x:f>
        <x:v>0</x:v>
      </x:c>
      <x:c r="D79" s="10" t="n">
        <x:f>MAX(0,IF(B79&lt;=$B$5,'Нагрузки'!B7-1.5*'Нагрузки'!B6*($B$5-B79)/$B$5,'Нагрузки'!B7-7.5*'Исходные данные'!B36*(B79-$B$5)))</x:f>
        <x:v>6.613563376004876</x:v>
      </x:c>
      <x:c r="E79" s="10" t="n">
        <x:f>MAX(C79-D79,0)</x:f>
        <x:v>0</x:v>
      </x:c>
      <x:c r="F79" s="10" t="n">
        <x:f>MAX('Исходные данные'!B28*('Исходные данные'!B38+'Нагрузки'!B8)*(MAX($B$9-B79,0)),'Исходные данные'!B28*'Исходные данные'!B38*((MAX($B$9-B79,0))+($B$7)*'Нагрузки'!B9),'Исходные данные'!B28*'Исходные данные'!B38*((MAX($B$9-B79,0))+'Балластные случаи'!B12*'Нагрузки'!B10),0.75*'Исходные данные'!B28*'Исходные данные'!B38*((MAX($B$9-B79,0))+'Балластные случаи'!B13),'Исходные данные'!B28*'Исходные данные'!B38*(MAX($B$9-B79,0))+'Балластные случаи'!B14)</x:f>
        <x:v>43.4314111445783</x:v>
      </x:c>
    </x:row>
    <x:row r="80" ht="40" customHeight="1">
      <x:c r="A80" s="10" t="str">
        <x:v>ISA / 3</x:v>
      </x:c>
      <x:c r="B80" s="10" t="n">
        <x:f>MAX((('Эквивалентный брус'!F39-'Эквивалентный брус'!D39/20)/100),MIN((('Эквивалентный брус'!F39+'Эквивалентный брус'!D39/20)/100),$B$15))</x:f>
        <x:v>12</x:v>
      </x:c>
      <x:c r="C80" s="10" t="n">
        <x:f>10*MAX($B$5-B80,0)</x:f>
        <x:v>0</x:v>
      </x:c>
      <x:c r="D80" s="10" t="n">
        <x:f>MAX(0,IF(B80&lt;=$B$5,'Нагрузки'!B7-1.5*'Нагрузки'!B6*($B$5-B80)/$B$5,'Нагрузки'!B7-7.5*'Исходные данные'!B36*(B80-$B$5)))</x:f>
        <x:v>10.979013376004875</x:v>
      </x:c>
      <x:c r="E80" s="10" t="n">
        <x:f>MAX(C80-D80,0)</x:f>
        <x:v>0</x:v>
      </x:c>
      <x:c r="F80" s="10" t="n">
        <x:f>MAX('Исходные данные'!B28*('Исходные данные'!B38+'Нагрузки'!B8)*(MAX($B$9-B80,0)),'Исходные данные'!B28*'Исходные данные'!B38*((MAX($B$9-B80,0))+($B$7)*'Нагрузки'!B9),'Исходные данные'!B28*'Исходные данные'!B38*((MAX($B$9-B80,0))+'Балластные случаи'!B12*'Нагрузки'!B10),0.75*'Исходные данные'!B28*'Исходные данные'!B38*((MAX($B$9-B80,0))+'Балластные случаи'!B13),'Исходные данные'!B28*'Исходные данные'!B38*(MAX($B$9-B80,0))+'Балластные случаи'!B14)</x:f>
        <x:v>65.35185614457829</x:v>
      </x:c>
    </x:row>
    <x:row r="81" ht="40" customHeight="1">
      <x:c r="A81" s="10" t="str">
        <x:v>OF1 / 1</x:v>
      </x:c>
      <x:c r="B81" s="10" t="n">
        <x:f>'Нагрузки'!B37</x:f>
        <x:v>3.3</x:v>
      </x:c>
      <x:c r="C81" s="10" t="n">
        <x:f>10*MAX($B$5-B81,0)</x:f>
        <x:v>13.400000000000007</x:v>
      </x:c>
      <x:c r="D81" s="10" t="n">
        <x:f>MAX(0,IF(B81&lt;=$B$5,'Нагрузки'!B7-1.5*'Нагрузки'!B6*($B$5-B81)/$B$5,'Нагрузки'!B7-7.5*'Исходные данные'!B36*(B81-$B$5)))</x:f>
        <x:v>22.003907565245548</x:v>
      </x:c>
      <x:c r="E81" s="10" t="n">
        <x:f>MAX(C81-D81,0)</x:f>
        <x:v>0</x:v>
      </x:c>
      <x:c r="F81" s="10" t="n">
        <x:f>MAX('Исходные данные'!B28*('Исходные данные'!B38+'Нагрузки'!B8)*(MAX($B$9-B81,0)),'Исходные данные'!B28*'Исходные данные'!B38*((MAX($B$9-B81,0))+($B$7)*'Нагрузки'!B9),'Исходные данные'!B28*'Исходные данные'!B38*((MAX($B$9-B81,0))+'Балластные случаи'!B12*'Нагрузки'!B10),0.75*'Исходные данные'!B28*'Исходные данные'!B38*((MAX($B$9-B81,0))+'Балластные случаи'!B13),'Исходные данные'!B28*'Исходные данные'!B38*(MAX($B$9-B81,0))+'Балластные случаи'!B14)</x:f>
        <x:v>152.8325311445783</x:v>
      </x:c>
    </x:row>
    <x:row r="82" ht="40" customHeight="1">
      <x:c r="A82" s="10" t="str">
        <x:v>OF1 / 2</x:v>
      </x:c>
      <x:c r="B82" s="10" t="n">
        <x:f>'Нагрузки'!B37</x:f>
        <x:v>3.3</x:v>
      </x:c>
      <x:c r="C82" s="10" t="n">
        <x:f>10*MAX($B$5-B82,0)</x:f>
        <x:v>13.400000000000007</x:v>
      </x:c>
      <x:c r="D82" s="10" t="n">
        <x:f>MAX(0,IF(B82&lt;=$B$5,'Нагрузки'!B7-1.5*'Нагрузки'!B6*($B$5-B82)/$B$5,'Нагрузки'!B7-7.5*'Исходные данные'!B36*(B82-$B$5)))</x:f>
        <x:v>22.003907565245548</x:v>
      </x:c>
      <x:c r="E82" s="10" t="n">
        <x:f>MAX(C82-D82,0)</x:f>
        <x:v>0</x:v>
      </x:c>
      <x:c r="F82" s="10" t="n">
        <x:f>MAX('Исходные данные'!B28*('Исходные данные'!B38+'Нагрузки'!B8)*(MAX($B$9-B82,0)),'Исходные данные'!B28*'Исходные данные'!B38*((MAX($B$9-B82,0))+($B$7)*'Нагрузки'!B9),'Исходные данные'!B28*'Исходные данные'!B38*((MAX($B$9-B82,0))+'Балластные случаи'!B12*'Нагрузки'!B10),0.75*'Исходные данные'!B28*'Исходные данные'!B38*((MAX($B$9-B82,0))+'Балластные случаи'!B13),'Исходные данные'!B28*'Исходные данные'!B38*(MAX($B$9-B82,0))+'Балластные случаи'!B14)</x:f>
        <x:v>152.8325311445783</x:v>
      </x:c>
    </x:row>
    <x:row r="83" ht="40" customHeight="1">
      <x:c r="A83" s="10" t="str">
        <x:v>OF1 / 3</x:v>
      </x:c>
      <x:c r="B83" s="10" t="n">
        <x:f>MAX(('Нагрузки'!B37),MIN(('Нагрузки'!B37),$B$15))</x:f>
        <x:v>3.3</x:v>
      </x:c>
      <x:c r="C83" s="10" t="n">
        <x:f>10*MAX($B$5-B83,0)</x:f>
        <x:v>13.400000000000007</x:v>
      </x:c>
      <x:c r="D83" s="10" t="n">
        <x:f>MAX(0,IF(B83&lt;=$B$5,'Нагрузки'!B7-1.5*'Нагрузки'!B6*($B$5-B83)/$B$5,'Нагрузки'!B7-7.5*'Исходные данные'!B36*(B83-$B$5)))</x:f>
        <x:v>22.003907565245548</x:v>
      </x:c>
      <x:c r="E83" s="10" t="n">
        <x:f>MAX(C83-D83,0)</x:f>
        <x:v>0</x:v>
      </x:c>
      <x:c r="F83" s="10" t="n">
        <x:f>MAX('Исходные данные'!B28*('Исходные данные'!B38+'Нагрузки'!B8)*(MAX($B$9-B83,0)),'Исходные данные'!B28*'Исходные данные'!B38*((MAX($B$9-B83,0))+($B$7)*'Нагрузки'!B9),'Исходные данные'!B28*'Исходные данные'!B38*((MAX($B$9-B83,0))+'Балластные случаи'!B12*'Нагрузки'!B10),0.75*'Исходные данные'!B28*'Исходные данные'!B38*((MAX($B$9-B83,0))+'Балластные случаи'!B13),'Исходные данные'!B28*'Исходные данные'!B38*(MAX($B$9-B83,0))+'Балластные случаи'!B14)</x:f>
        <x:v>152.8325311445783</x:v>
      </x:c>
    </x:row>
    <x:row r="84" ht="40" customHeight="1">
      <x:c r="A84" s="10" t="str">
        <x:v>OF2 / 1</x:v>
      </x:c>
      <x:c r="B84" s="10" t="n">
        <x:f>'Нагрузки'!B38</x:f>
        <x:v>6.35</x:v>
      </x:c>
      <x:c r="C84" s="10" t="n">
        <x:f>10*MAX($B$5-B84,0)</x:f>
        <x:v>0</x:v>
      </x:c>
      <x:c r="D84" s="10" t="n">
        <x:f>MAX(0,IF(B84&lt;=$B$5,'Нагрузки'!B7-1.5*'Нагрузки'!B6*($B$5-B84)/$B$5,'Нагрузки'!B7-7.5*'Исходные данные'!B36*(B84-$B$5)))</x:f>
        <x:v>22.293138376004876</x:v>
      </x:c>
      <x:c r="E84" s="10" t="n">
        <x:f>MAX(C84-D84,0)</x:f>
        <x:v>0</x:v>
      </x:c>
      <x:c r="F84" s="10" t="n">
        <x:f>MAX('Исходные данные'!B28*('Исходные данные'!B38+'Нагрузки'!B8)*(MAX($B$9-B84,0)),'Исходные данные'!B28*'Исходные данные'!B38*((MAX($B$9-B84,0))+($B$7)*'Нагрузки'!B9),'Исходные данные'!B28*'Исходные данные'!B38*((MAX($B$9-B84,0))+'Балластные случаи'!B12*'Нагрузки'!B10),0.75*'Исходные данные'!B28*'Исходные данные'!B38*((MAX($B$9-B84,0))+'Балластные случаи'!B13),'Исходные данные'!B28*'Исходные данные'!B38*(MAX($B$9-B84,0))+'Балластные случаи'!B14)</x:f>
        <x:v>122.16401864457828</x:v>
      </x:c>
    </x:row>
    <x:row r="85" ht="40" customHeight="1">
      <x:c r="A85" s="10" t="str">
        <x:v>OF2 / 2</x:v>
      </x:c>
      <x:c r="B85" s="10" t="n">
        <x:f>'Нагрузки'!B38</x:f>
        <x:v>6.35</x:v>
      </x:c>
      <x:c r="C85" s="10" t="n">
        <x:f>10*MAX($B$5-B85,0)</x:f>
        <x:v>0</x:v>
      </x:c>
      <x:c r="D85" s="10" t="n">
        <x:f>MAX(0,IF(B85&lt;=$B$5,'Нагрузки'!B7-1.5*'Нагрузки'!B6*($B$5-B85)/$B$5,'Нагрузки'!B7-7.5*'Исходные данные'!B36*(B85-$B$5)))</x:f>
        <x:v>22.293138376004876</x:v>
      </x:c>
      <x:c r="E85" s="10" t="n">
        <x:f>MAX(C85-D85,0)</x:f>
        <x:v>0</x:v>
      </x:c>
      <x:c r="F85" s="10" t="n">
        <x:f>MAX('Исходные данные'!B28*('Исходные данные'!B38+'Нагрузки'!B8)*(MAX($B$9-B85,0)),'Исходные данные'!B28*'Исходные данные'!B38*((MAX($B$9-B85,0))+($B$7)*'Нагрузки'!B9),'Исходные данные'!B28*'Исходные данные'!B38*((MAX($B$9-B85,0))+'Балластные случаи'!B12*'Нагрузки'!B10),0.75*'Исходные данные'!B28*'Исходные данные'!B38*((MAX($B$9-B85,0))+'Балластные случаи'!B13),'Исходные данные'!B28*'Исходные данные'!B38*(MAX($B$9-B85,0))+'Балластные случаи'!B14)</x:f>
        <x:v>122.16401864457828</x:v>
      </x:c>
    </x:row>
    <x:row r="86" ht="40" customHeight="1">
      <x:c r="A86" s="10" t="str">
        <x:v>OF2 / 3</x:v>
      </x:c>
      <x:c r="B86" s="10" t="n">
        <x:f>MAX(('Нагрузки'!B38),MIN(('Нагрузки'!B38),$B$15))</x:f>
        <x:v>6.35</x:v>
      </x:c>
      <x:c r="C86" s="10" t="n">
        <x:f>10*MAX($B$5-B86,0)</x:f>
        <x:v>0</x:v>
      </x:c>
      <x:c r="D86" s="10" t="n">
        <x:f>MAX(0,IF(B86&lt;=$B$5,'Нагрузки'!B7-1.5*'Нагрузки'!B6*($B$5-B86)/$B$5,'Нагрузки'!B7-7.5*'Исходные данные'!B36*(B86-$B$5)))</x:f>
        <x:v>22.293138376004876</x:v>
      </x:c>
      <x:c r="E86" s="10" t="n">
        <x:f>MAX(C86-D86,0)</x:f>
        <x:v>0</x:v>
      </x:c>
      <x:c r="F86" s="10" t="n">
        <x:f>MAX('Исходные данные'!B28*('Исходные данные'!B38+'Нагрузки'!B8)*(MAX($B$9-B86,0)),'Исходные данные'!B28*'Исходные данные'!B38*((MAX($B$9-B86,0))+($B$7)*'Нагрузки'!B9),'Исходные данные'!B28*'Исходные данные'!B38*((MAX($B$9-B86,0))+'Балластные случаи'!B12*'Нагрузки'!B10),0.75*'Исходные данные'!B28*'Исходные данные'!B38*((MAX($B$9-B86,0))+'Балластные случаи'!B13),'Исходные данные'!B28*'Исходные данные'!B38*(MAX($B$9-B86,0))+'Балластные случаи'!B14)</x:f>
        <x:v>122.16401864457828</x:v>
      </x:c>
    </x:row>
    <x:row r="87" ht="40" customHeight="1">
      <x:c r="A87" s="10" t="str">
        <x:v>OF3 / 1</x:v>
      </x:c>
      <x:c r="B87" s="10" t="n">
        <x:f>'Нагрузки'!B39</x:f>
        <x:v>9.45</x:v>
      </x:c>
      <x:c r="C87" s="10" t="n">
        <x:f>10*MAX($B$5-B87,0)</x:f>
        <x:v>0</x:v>
      </x:c>
      <x:c r="D87" s="10" t="n">
        <x:f>MAX(0,IF(B87&lt;=$B$5,'Нагрузки'!B7-1.5*'Нагрузки'!B6*($B$5-B87)/$B$5,'Нагрузки'!B7-7.5*'Исходные данные'!B36*(B87-$B$5)))</x:f>
        <x:v>16.08538837600488</x:v>
      </x:c>
      <x:c r="E87" s="10" t="n">
        <x:f>MAX(C87-D87,0)</x:f>
        <x:v>0</x:v>
      </x:c>
      <x:c r="F87" s="10" t="n">
        <x:f>MAX('Исходные данные'!B28*('Исходные данные'!B38+'Нагрузки'!B8)*(MAX($B$9-B87,0)),'Исходные данные'!B28*'Исходные данные'!B38*((MAX($B$9-B87,0))+($B$7)*'Нагрузки'!B9),'Исходные данные'!B28*'Исходные данные'!B38*((MAX($B$9-B87,0))+'Балластные случаи'!B12*'Нагрузки'!B10),0.75*'Исходные данные'!B28*'Исходные данные'!B38*((MAX($B$9-B87,0))+'Балластные случаи'!B13),'Исходные данные'!B28*'Исходные данные'!B38*(MAX($B$9-B87,0))+'Балластные случаи'!B14)</x:f>
        <x:v>90.99274364457831</x:v>
      </x:c>
    </x:row>
    <x:row r="88" ht="40" customHeight="1">
      <x:c r="A88" s="10" t="str">
        <x:v>OF3 / 2</x:v>
      </x:c>
      <x:c r="B88" s="10" t="n">
        <x:f>'Нагрузки'!B39</x:f>
        <x:v>9.45</x:v>
      </x:c>
      <x:c r="C88" s="10" t="n">
        <x:f>10*MAX($B$5-B88,0)</x:f>
        <x:v>0</x:v>
      </x:c>
      <x:c r="D88" s="10" t="n">
        <x:f>MAX(0,IF(B88&lt;=$B$5,'Нагрузки'!B7-1.5*'Нагрузки'!B6*($B$5-B88)/$B$5,'Нагрузки'!B7-7.5*'Исходные данные'!B36*(B88-$B$5)))</x:f>
        <x:v>16.08538837600488</x:v>
      </x:c>
      <x:c r="E88" s="10" t="n">
        <x:f>MAX(C88-D88,0)</x:f>
        <x:v>0</x:v>
      </x:c>
      <x:c r="F88" s="10" t="n">
        <x:f>MAX('Исходные данные'!B28*('Исходные данные'!B38+'Нагрузки'!B8)*(MAX($B$9-B88,0)),'Исходные данные'!B28*'Исходные данные'!B38*((MAX($B$9-B88,0))+($B$7)*'Нагрузки'!B9),'Исходные данные'!B28*'Исходные данные'!B38*((MAX($B$9-B88,0))+'Балластные случаи'!B12*'Нагрузки'!B10),0.75*'Исходные данные'!B28*'Исходные данные'!B38*((MAX($B$9-B88,0))+'Балластные случаи'!B13),'Исходные данные'!B28*'Исходные данные'!B38*(MAX($B$9-B88,0))+'Балластные случаи'!B14)</x:f>
        <x:v>90.99274364457831</x:v>
      </x:c>
    </x:row>
    <x:row r="89" ht="40" customHeight="1">
      <x:c r="A89" s="10" t="str">
        <x:v>OF3 / 3</x:v>
      </x:c>
      <x:c r="B89" s="10" t="n">
        <x:f>MAX(('Нагрузки'!B39),MIN(('Нагрузки'!B39),$B$15))</x:f>
        <x:v>9.45</x:v>
      </x:c>
      <x:c r="C89" s="10" t="n">
        <x:f>10*MAX($B$5-B89,0)</x:f>
        <x:v>0</x:v>
      </x:c>
      <x:c r="D89" s="10" t="n">
        <x:f>MAX(0,IF(B89&lt;=$B$5,'Нагрузки'!B7-1.5*'Нагрузки'!B6*($B$5-B89)/$B$5,'Нагрузки'!B7-7.5*'Исходные данные'!B36*(B89-$B$5)))</x:f>
        <x:v>16.08538837600488</x:v>
      </x:c>
      <x:c r="E89" s="10" t="n">
        <x:f>MAX(C89-D89,0)</x:f>
        <x:v>0</x:v>
      </x:c>
      <x:c r="F89" s="10" t="n">
        <x:f>MAX('Исходные данные'!B28*('Исходные данные'!B38+'Нагрузки'!B8)*(MAX($B$9-B89,0)),'Исходные данные'!B28*'Исходные данные'!B38*((MAX($B$9-B89,0))+($B$7)*'Нагрузки'!B9),'Исходные данные'!B28*'Исходные данные'!B38*((MAX($B$9-B89,0))+'Балластные случаи'!B12*'Нагрузки'!B10),0.75*'Исходные данные'!B28*'Исходные данные'!B38*((MAX($B$9-B89,0))+'Балластные случаи'!B13),'Исходные данные'!B28*'Исходные данные'!B38*(MAX($B$9-B89,0))+'Балластные случаи'!B14)</x:f>
        <x:v>90.99274364457831</x:v>
      </x:c>
    </x:row>
    <x:row r="90" ht="40" customHeight="1">
      <x:c r="A90" s="10" t="str">
        <x:v>OF4 / 1</x:v>
      </x:c>
      <x:c r="B90" s="10" t="n">
        <x:f>'Нагрузки'!B40</x:f>
        <x:v>12.55</x:v>
      </x:c>
      <x:c r="C90" s="10" t="n">
        <x:f>10*MAX($B$5-B90,0)</x:f>
        <x:v>0</x:v>
      </x:c>
      <x:c r="D90" s="10" t="n">
        <x:f>MAX(0,IF(B90&lt;=$B$5,'Нагрузки'!B7-1.5*'Нагрузки'!B6*($B$5-B90)/$B$5,'Нагрузки'!B7-7.5*'Исходные данные'!B36*(B90-$B$5)))</x:f>
        <x:v>9.877638376004874</x:v>
      </x:c>
      <x:c r="E90" s="10" t="n">
        <x:f>MAX(C90-D90,0)</x:f>
        <x:v>0</x:v>
      </x:c>
      <x:c r="F90" s="10" t="n">
        <x:f>MAX('Исходные данные'!B28*('Исходные данные'!B38+'Нагрузки'!B8)*(MAX($B$9-B90,0)),'Исходные данные'!B28*'Исходные данные'!B38*((MAX($B$9-B90,0))+($B$7)*'Нагрузки'!B9),'Исходные данные'!B28*'Исходные данные'!B38*((MAX($B$9-B90,0))+'Балластные случаи'!B12*'Нагрузки'!B10),0.75*'Исходные данные'!B28*'Исходные данные'!B38*((MAX($B$9-B90,0))+'Балластные случаи'!B13),'Исходные данные'!B28*'Исходные данные'!B38*(MAX($B$9-B90,0))+'Балластные случаи'!B14)</x:f>
        <x:v>59.82146864457828</x:v>
      </x:c>
    </x:row>
    <x:row r="91" ht="40" customHeight="1">
      <x:c r="A91" s="10" t="str">
        <x:v>OF4 / 2</x:v>
      </x:c>
      <x:c r="B91" s="10" t="n">
        <x:f>'Нагрузки'!B40</x:f>
        <x:v>12.55</x:v>
      </x:c>
      <x:c r="C91" s="10" t="n">
        <x:f>10*MAX($B$5-B91,0)</x:f>
        <x:v>0</x:v>
      </x:c>
      <x:c r="D91" s="10" t="n">
        <x:f>MAX(0,IF(B91&lt;=$B$5,'Нагрузки'!B7-1.5*'Нагрузки'!B6*($B$5-B91)/$B$5,'Нагрузки'!B7-7.5*'Исходные данные'!B36*(B91-$B$5)))</x:f>
        <x:v>9.877638376004874</x:v>
      </x:c>
      <x:c r="E91" s="10" t="n">
        <x:f>MAX(C91-D91,0)</x:f>
        <x:v>0</x:v>
      </x:c>
      <x:c r="F91" s="10" t="n">
        <x:f>MAX('Исходные данные'!B28*('Исходные данные'!B38+'Нагрузки'!B8)*(MAX($B$9-B91,0)),'Исходные данные'!B28*'Исходные данные'!B38*((MAX($B$9-B91,0))+($B$7)*'Нагрузки'!B9),'Исходные данные'!B28*'Исходные данные'!B38*((MAX($B$9-B91,0))+'Балластные случаи'!B12*'Нагрузки'!B10),0.75*'Исходные данные'!B28*'Исходные данные'!B38*((MAX($B$9-B91,0))+'Балластные случаи'!B13),'Исходные данные'!B28*'Исходные данные'!B38*(MAX($B$9-B91,0))+'Балластные случаи'!B14)</x:f>
        <x:v>59.82146864457828</x:v>
      </x:c>
    </x:row>
    <x:row r="92" ht="40" customHeight="1">
      <x:c r="A92" s="10" t="str">
        <x:v>OF4 / 3</x:v>
      </x:c>
      <x:c r="B92" s="10" t="n">
        <x:f>MAX(('Нагрузки'!B40),MIN(('Нагрузки'!B40),$B$15))</x:f>
        <x:v>12.55</x:v>
      </x:c>
      <x:c r="C92" s="10" t="n">
        <x:f>10*MAX($B$5-B92,0)</x:f>
        <x:v>0</x:v>
      </x:c>
      <x:c r="D92" s="10" t="n">
        <x:f>MAX(0,IF(B92&lt;=$B$5,'Нагрузки'!B7-1.5*'Нагрузки'!B6*($B$5-B92)/$B$5,'Нагрузки'!B7-7.5*'Исходные данные'!B36*(B92-$B$5)))</x:f>
        <x:v>9.877638376004874</x:v>
      </x:c>
      <x:c r="E92" s="10" t="n">
        <x:f>MAX(C92-D92,0)</x:f>
        <x:v>0</x:v>
      </x:c>
      <x:c r="F92" s="10" t="n">
        <x:f>MAX('Исходные данные'!B28*('Исходные данные'!B38+'Нагрузки'!B8)*(MAX($B$9-B92,0)),'Исходные данные'!B28*'Исходные данные'!B38*((MAX($B$9-B92,0))+($B$7)*'Нагрузки'!B9),'Исходные данные'!B28*'Исходные данные'!B38*((MAX($B$9-B92,0))+'Балластные случаи'!B12*'Нагрузки'!B10),0.75*'Исходные данные'!B28*'Исходные данные'!B38*((MAX($B$9-B92,0))+'Балластные случаи'!B13),'Исходные данные'!B28*'Исходные данные'!B38*(MAX($B$9-B92,0))+'Балластные случаи'!B14)</x:f>
        <x:v>59.82146864457828</x:v>
      </x:c>
    </x:row>
    <x:row r="93" ht="40" customHeight="1">
      <x:c r="A93" s="10" t="str">
        <x:v>IF1 / 1</x:v>
      </x:c>
      <x:c r="B93" s="10" t="n">
        <x:f>'Нагрузки'!B41</x:f>
        <x:v>3.3</x:v>
      </x:c>
      <x:c r="C93" s="10" t="n">
        <x:f>10*MAX($B$5-B93,0)</x:f>
        <x:v>13.400000000000007</x:v>
      </x:c>
      <x:c r="D93" s="10" t="n">
        <x:f>MAX(0,IF(B93&lt;=$B$5,'Нагрузки'!B7-1.5*'Нагрузки'!B6*($B$5-B93)/$B$5,'Нагрузки'!B7-7.5*'Исходные данные'!B36*(B93-$B$5)))</x:f>
        <x:v>22.003907565245548</x:v>
      </x:c>
      <x:c r="E93" s="10" t="n">
        <x:f>MAX(C93-D93,0)</x:f>
        <x:v>0</x:v>
      </x:c>
      <x:c r="F93" s="10" t="n">
        <x:f>MAX('Исходные данные'!B28*('Исходные данные'!B38+'Нагрузки'!B8)*(MAX($B$9-B93,0)),'Исходные данные'!B28*'Исходные данные'!B38*((MAX($B$9-B93,0))+($B$7)*'Нагрузки'!B9),'Исходные данные'!B28*'Исходные данные'!B38*((MAX($B$9-B93,0))+'Балластные случаи'!B12*'Нагрузки'!B10),0.75*'Исходные данные'!B28*'Исходные данные'!B38*((MAX($B$9-B93,0))+'Балластные случаи'!B13),'Исходные данные'!B28*'Исходные данные'!B38*(MAX($B$9-B93,0))+'Балластные случаи'!B14)</x:f>
        <x:v>152.8325311445783</x:v>
      </x:c>
    </x:row>
    <x:row r="94" ht="40" customHeight="1">
      <x:c r="A94" s="10" t="str">
        <x:v>IF1 / 2</x:v>
      </x:c>
      <x:c r="B94" s="10" t="n">
        <x:f>'Нагрузки'!B41</x:f>
        <x:v>3.3</x:v>
      </x:c>
      <x:c r="C94" s="10" t="n">
        <x:f>10*MAX($B$5-B94,0)</x:f>
        <x:v>13.400000000000007</x:v>
      </x:c>
      <x:c r="D94" s="10" t="n">
        <x:f>MAX(0,IF(B94&lt;=$B$5,'Нагрузки'!B7-1.5*'Нагрузки'!B6*($B$5-B94)/$B$5,'Нагрузки'!B7-7.5*'Исходные данные'!B36*(B94-$B$5)))</x:f>
        <x:v>22.003907565245548</x:v>
      </x:c>
      <x:c r="E94" s="10" t="n">
        <x:f>MAX(C94-D94,0)</x:f>
        <x:v>0</x:v>
      </x:c>
      <x:c r="F94" s="10" t="n">
        <x:f>MAX('Исходные данные'!B28*('Исходные данные'!B38+'Нагрузки'!B8)*(MAX($B$9-B94,0)),'Исходные данные'!B28*'Исходные данные'!B38*((MAX($B$9-B94,0))+($B$7)*'Нагрузки'!B9),'Исходные данные'!B28*'Исходные данные'!B38*((MAX($B$9-B94,0))+'Балластные случаи'!B12*'Нагрузки'!B10),0.75*'Исходные данные'!B28*'Исходные данные'!B38*((MAX($B$9-B94,0))+'Балластные случаи'!B13),'Исходные данные'!B28*'Исходные данные'!B38*(MAX($B$9-B94,0))+'Балластные случаи'!B14)</x:f>
        <x:v>152.8325311445783</x:v>
      </x:c>
    </x:row>
    <x:row r="95" ht="40" customHeight="1">
      <x:c r="A95" s="10" t="str">
        <x:v>IF1 / 3</x:v>
      </x:c>
      <x:c r="B95" s="10" t="n">
        <x:f>MAX(('Нагрузки'!B41),MIN(('Нагрузки'!B41),$B$15))</x:f>
        <x:v>3.3</x:v>
      </x:c>
      <x:c r="C95" s="10" t="n">
        <x:f>10*MAX($B$5-B95,0)</x:f>
        <x:v>13.400000000000007</x:v>
      </x:c>
      <x:c r="D95" s="10" t="n">
        <x:f>MAX(0,IF(B95&lt;=$B$5,'Нагрузки'!B7-1.5*'Нагрузки'!B6*($B$5-B95)/$B$5,'Нагрузки'!B7-7.5*'Исходные данные'!B36*(B95-$B$5)))</x:f>
        <x:v>22.003907565245548</x:v>
      </x:c>
      <x:c r="E95" s="10" t="n">
        <x:f>MAX(C95-D95,0)</x:f>
        <x:v>0</x:v>
      </x:c>
      <x:c r="F95" s="10" t="n">
        <x:f>MAX('Исходные данные'!B28*('Исходные данные'!B38+'Нагрузки'!B8)*(MAX($B$9-B95,0)),'Исходные данные'!B28*'Исходные данные'!B38*((MAX($B$9-B95,0))+($B$7)*'Нагрузки'!B9),'Исходные данные'!B28*'Исходные данные'!B38*((MAX($B$9-B95,0))+'Балластные случаи'!B12*'Нагрузки'!B10),0.75*'Исходные данные'!B28*'Исходные данные'!B38*((MAX($B$9-B95,0))+'Балластные случаи'!B13),'Исходные данные'!B28*'Исходные данные'!B38*(MAX($B$9-B95,0))+'Балластные случаи'!B14)</x:f>
        <x:v>152.8325311445783</x:v>
      </x:c>
    </x:row>
    <x:row r="96" ht="40" customHeight="1">
      <x:c r="A96" s="10" t="str">
        <x:v>IF2 / 1</x:v>
      </x:c>
      <x:c r="B96" s="10" t="n">
        <x:f>'Нагрузки'!B42</x:f>
        <x:v>6.35</x:v>
      </x:c>
      <x:c r="C96" s="10" t="n">
        <x:f>10*MAX($B$5-B96,0)</x:f>
        <x:v>0</x:v>
      </x:c>
      <x:c r="D96" s="10" t="n">
        <x:f>MAX(0,IF(B96&lt;=$B$5,'Нагрузки'!B7-1.5*'Нагрузки'!B6*($B$5-B96)/$B$5,'Нагрузки'!B7-7.5*'Исходные данные'!B36*(B96-$B$5)))</x:f>
        <x:v>22.293138376004876</x:v>
      </x:c>
      <x:c r="E96" s="10" t="n">
        <x:f>MAX(C96-D96,0)</x:f>
        <x:v>0</x:v>
      </x:c>
      <x:c r="F96" s="10" t="n">
        <x:f>MAX('Исходные данные'!B28*('Исходные данные'!B38+'Нагрузки'!B8)*(MAX($B$9-B96,0)),'Исходные данные'!B28*'Исходные данные'!B38*((MAX($B$9-B96,0))+($B$7)*'Нагрузки'!B9),'Исходные данные'!B28*'Исходные данные'!B38*((MAX($B$9-B96,0))+'Балластные случаи'!B12*'Нагрузки'!B10),0.75*'Исходные данные'!B28*'Исходные данные'!B38*((MAX($B$9-B96,0))+'Балластные случаи'!B13),'Исходные данные'!B28*'Исходные данные'!B38*(MAX($B$9-B96,0))+'Балластные случаи'!B14)</x:f>
        <x:v>122.16401864457828</x:v>
      </x:c>
    </x:row>
    <x:row r="97" ht="40" customHeight="1">
      <x:c r="A97" s="10" t="str">
        <x:v>IF2 / 2</x:v>
      </x:c>
      <x:c r="B97" s="10" t="n">
        <x:f>'Нагрузки'!B42</x:f>
        <x:v>6.35</x:v>
      </x:c>
      <x:c r="C97" s="10" t="n">
        <x:f>10*MAX($B$5-B97,0)</x:f>
        <x:v>0</x:v>
      </x:c>
      <x:c r="D97" s="10" t="n">
        <x:f>MAX(0,IF(B97&lt;=$B$5,'Нагрузки'!B7-1.5*'Нагрузки'!B6*($B$5-B97)/$B$5,'Нагрузки'!B7-7.5*'Исходные данные'!B36*(B97-$B$5)))</x:f>
        <x:v>22.293138376004876</x:v>
      </x:c>
      <x:c r="E97" s="10" t="n">
        <x:f>MAX(C97-D97,0)</x:f>
        <x:v>0</x:v>
      </x:c>
      <x:c r="F97" s="10" t="n">
        <x:f>MAX('Исходные данные'!B28*('Исходные данные'!B38+'Нагрузки'!B8)*(MAX($B$9-B97,0)),'Исходные данные'!B28*'Исходные данные'!B38*((MAX($B$9-B97,0))+($B$7)*'Нагрузки'!B9),'Исходные данные'!B28*'Исходные данные'!B38*((MAX($B$9-B97,0))+'Балластные случаи'!B12*'Нагрузки'!B10),0.75*'Исходные данные'!B28*'Исходные данные'!B38*((MAX($B$9-B97,0))+'Балластные случаи'!B13),'Исходные данные'!B28*'Исходные данные'!B38*(MAX($B$9-B97,0))+'Балластные случаи'!B14)</x:f>
        <x:v>122.16401864457828</x:v>
      </x:c>
    </x:row>
    <x:row r="98" ht="40" customHeight="1">
      <x:c r="A98" s="10" t="str">
        <x:v>IF2 / 3</x:v>
      </x:c>
      <x:c r="B98" s="10" t="n">
        <x:f>MAX(('Нагрузки'!B42),MIN(('Нагрузки'!B42),$B$15))</x:f>
        <x:v>6.35</x:v>
      </x:c>
      <x:c r="C98" s="10" t="n">
        <x:f>10*MAX($B$5-B98,0)</x:f>
        <x:v>0</x:v>
      </x:c>
      <x:c r="D98" s="10" t="n">
        <x:f>MAX(0,IF(B98&lt;=$B$5,'Нагрузки'!B7-1.5*'Нагрузки'!B6*($B$5-B98)/$B$5,'Нагрузки'!B7-7.5*'Исходные данные'!B36*(B98-$B$5)))</x:f>
        <x:v>22.293138376004876</x:v>
      </x:c>
      <x:c r="E98" s="10" t="n">
        <x:f>MAX(C98-D98,0)</x:f>
        <x:v>0</x:v>
      </x:c>
      <x:c r="F98" s="10" t="n">
        <x:f>MAX('Исходные данные'!B28*('Исходные данные'!B38+'Нагрузки'!B8)*(MAX($B$9-B98,0)),'Исходные данные'!B28*'Исходные данные'!B38*((MAX($B$9-B98,0))+($B$7)*'Нагрузки'!B9),'Исходные данные'!B28*'Исходные данные'!B38*((MAX($B$9-B98,0))+'Балластные случаи'!B12*'Нагрузки'!B10),0.75*'Исходные данные'!B28*'Исходные данные'!B38*((MAX($B$9-B98,0))+'Балластные случаи'!B13),'Исходные данные'!B28*'Исходные данные'!B38*(MAX($B$9-B98,0))+'Балластные случаи'!B14)</x:f>
        <x:v>122.16401864457828</x:v>
      </x:c>
    </x:row>
    <x:row r="99" ht="40" customHeight="1">
      <x:c r="A99" s="10" t="str">
        <x:v>IF3 / 1</x:v>
      </x:c>
      <x:c r="B99" s="10" t="n">
        <x:f>'Нагрузки'!B43</x:f>
        <x:v>9.45</x:v>
      </x:c>
      <x:c r="C99" s="10" t="n">
        <x:f>10*MAX($B$5-B99,0)</x:f>
        <x:v>0</x:v>
      </x:c>
      <x:c r="D99" s="10" t="n">
        <x:f>MAX(0,IF(B99&lt;=$B$5,'Нагрузки'!B7-1.5*'Нагрузки'!B6*($B$5-B99)/$B$5,'Нагрузки'!B7-7.5*'Исходные данные'!B36*(B99-$B$5)))</x:f>
        <x:v>16.08538837600488</x:v>
      </x:c>
      <x:c r="E99" s="10" t="n">
        <x:f>MAX(C99-D99,0)</x:f>
        <x:v>0</x:v>
      </x:c>
      <x:c r="F99" s="10" t="n">
        <x:f>MAX('Исходные данные'!B28*('Исходные данные'!B38+'Нагрузки'!B8)*(MAX($B$9-B99,0)),'Исходные данные'!B28*'Исходные данные'!B38*((MAX($B$9-B99,0))+($B$7)*'Нагрузки'!B9),'Исходные данные'!B28*'Исходные данные'!B38*((MAX($B$9-B99,0))+'Балластные случаи'!B12*'Нагрузки'!B10),0.75*'Исходные данные'!B28*'Исходные данные'!B38*((MAX($B$9-B99,0))+'Балластные случаи'!B13),'Исходные данные'!B28*'Исходные данные'!B38*(MAX($B$9-B99,0))+'Балластные случаи'!B14)</x:f>
        <x:v>90.99274364457831</x:v>
      </x:c>
    </x:row>
    <x:row r="100" ht="40" customHeight="1">
      <x:c r="A100" s="10" t="str">
        <x:v>IF3 / 2</x:v>
      </x:c>
      <x:c r="B100" s="10" t="n">
        <x:f>'Нагрузки'!B43</x:f>
        <x:v>9.45</x:v>
      </x:c>
      <x:c r="C100" s="10" t="n">
        <x:f>10*MAX($B$5-B100,0)</x:f>
        <x:v>0</x:v>
      </x:c>
      <x:c r="D100" s="10" t="n">
        <x:f>MAX(0,IF(B100&lt;=$B$5,'Нагрузки'!B7-1.5*'Нагрузки'!B6*($B$5-B100)/$B$5,'Нагрузки'!B7-7.5*'Исходные данные'!B36*(B100-$B$5)))</x:f>
        <x:v>16.08538837600488</x:v>
      </x:c>
      <x:c r="E100" s="10" t="n">
        <x:f>MAX(C100-D100,0)</x:f>
        <x:v>0</x:v>
      </x:c>
      <x:c r="F100" s="10" t="n">
        <x:f>MAX('Исходные данные'!B28*('Исходные данные'!B38+'Нагрузки'!B8)*(MAX($B$9-B100,0)),'Исходные данные'!B28*'Исходные данные'!B38*((MAX($B$9-B100,0))+($B$7)*'Нагрузки'!B9),'Исходные данные'!B28*'Исходные данные'!B38*((MAX($B$9-B100,0))+'Балластные случаи'!B12*'Нагрузки'!B10),0.75*'Исходные данные'!B28*'Исходные данные'!B38*((MAX($B$9-B100,0))+'Балластные случаи'!B13),'Исходные данные'!B28*'Исходные данные'!B38*(MAX($B$9-B100,0))+'Балластные случаи'!B14)</x:f>
        <x:v>90.99274364457831</x:v>
      </x:c>
    </x:row>
    <x:row r="101" ht="40" customHeight="1">
      <x:c r="A101" s="10" t="str">
        <x:v>IF3 / 3</x:v>
      </x:c>
      <x:c r="B101" s="10" t="n">
        <x:f>MAX(('Нагрузки'!B43),MIN(('Нагрузки'!B43),$B$15))</x:f>
        <x:v>9.45</x:v>
      </x:c>
      <x:c r="C101" s="10" t="n">
        <x:f>10*MAX($B$5-B101,0)</x:f>
        <x:v>0</x:v>
      </x:c>
      <x:c r="D101" s="10" t="n">
        <x:f>MAX(0,IF(B101&lt;=$B$5,'Нагрузки'!B7-1.5*'Нагрузки'!B6*($B$5-B101)/$B$5,'Нагрузки'!B7-7.5*'Исходные данные'!B36*(B101-$B$5)))</x:f>
        <x:v>16.08538837600488</x:v>
      </x:c>
      <x:c r="E101" s="10" t="n">
        <x:f>MAX(C101-D101,0)</x:f>
        <x:v>0</x:v>
      </x:c>
      <x:c r="F101" s="10" t="n">
        <x:f>MAX('Исходные данные'!B28*('Исходные данные'!B38+'Нагрузки'!B8)*(MAX($B$9-B101,0)),'Исходные данные'!B28*'Исходные данные'!B38*((MAX($B$9-B101,0))+($B$7)*'Нагрузки'!B9),'Исходные данные'!B28*'Исходные данные'!B38*((MAX($B$9-B101,0))+'Балластные случаи'!B12*'Нагрузки'!B10),0.75*'Исходные данные'!B28*'Исходные данные'!B38*((MAX($B$9-B101,0))+'Балластные случаи'!B13),'Исходные данные'!B28*'Исходные данные'!B38*(MAX($B$9-B101,0))+'Балластные случаи'!B14)</x:f>
        <x:v>90.99274364457831</x:v>
      </x:c>
    </x:row>
    <x:row r="102" ht="40" customHeight="1">
      <x:c r="A102" s="10" t="str">
        <x:v>IF4 / 1</x:v>
      </x:c>
      <x:c r="B102" s="10" t="n">
        <x:f>'Нагрузки'!B44</x:f>
        <x:v>12.59</x:v>
      </x:c>
      <x:c r="C102" s="10" t="n">
        <x:f>10*MAX($B$5-B102,0)</x:f>
        <x:v>0</x:v>
      </x:c>
      <x:c r="D102" s="10" t="n">
        <x:f>MAX(0,IF(B102&lt;=$B$5,'Нагрузки'!B7-1.5*'Нагрузки'!B6*($B$5-B102)/$B$5,'Нагрузки'!B7-7.5*'Исходные данные'!B36*(B102-$B$5)))</x:f>
        <x:v>9.797538376004876</x:v>
      </x:c>
      <x:c r="E102" s="10" t="n">
        <x:f>MAX(C102-D102,0)</x:f>
        <x:v>0</x:v>
      </x:c>
      <x:c r="F102" s="10" t="n">
        <x:f>MAX('Исходные данные'!B28*('Исходные данные'!B38+'Нагрузки'!B8)*(MAX($B$9-B102,0)),'Исходные данные'!B28*'Исходные данные'!B38*((MAX($B$9-B102,0))+($B$7)*'Нагрузки'!B9),'Исходные данные'!B28*'Исходные данные'!B38*((MAX($B$9-B102,0))+'Балластные случаи'!B12*'Нагрузки'!B10),0.75*'Исходные данные'!B28*'Исходные данные'!B38*((MAX($B$9-B102,0))+'Балластные случаи'!B13),'Исходные данные'!B28*'Исходные данные'!B38*(MAX($B$9-B102,0))+'Балластные случаи'!B14)</x:f>
        <x:v>59.41925864457829</x:v>
      </x:c>
    </x:row>
    <x:row r="103" ht="40" customHeight="1">
      <x:c r="A103" s="10" t="str">
        <x:v>IF4 / 2</x:v>
      </x:c>
      <x:c r="B103" s="10" t="n">
        <x:f>'Нагрузки'!B44</x:f>
        <x:v>12.59</x:v>
      </x:c>
      <x:c r="C103" s="10" t="n">
        <x:f>10*MAX($B$5-B103,0)</x:f>
        <x:v>0</x:v>
      </x:c>
      <x:c r="D103" s="10" t="n">
        <x:f>MAX(0,IF(B103&lt;=$B$5,'Нагрузки'!B7-1.5*'Нагрузки'!B6*($B$5-B103)/$B$5,'Нагрузки'!B7-7.5*'Исходные данные'!B36*(B103-$B$5)))</x:f>
        <x:v>9.797538376004876</x:v>
      </x:c>
      <x:c r="E103" s="10" t="n">
        <x:f>MAX(C103-D103,0)</x:f>
        <x:v>0</x:v>
      </x:c>
      <x:c r="F103" s="10" t="n">
        <x:f>MAX('Исходные данные'!B28*('Исходные данные'!B38+'Нагрузки'!B8)*(MAX($B$9-B103,0)),'Исходные данные'!B28*'Исходные данные'!B38*((MAX($B$9-B103,0))+($B$7)*'Нагрузки'!B9),'Исходные данные'!B28*'Исходные данные'!B38*((MAX($B$9-B103,0))+'Балластные случаи'!B12*'Нагрузки'!B10),0.75*'Исходные данные'!B28*'Исходные данные'!B38*((MAX($B$9-B103,0))+'Балластные случаи'!B13),'Исходные данные'!B28*'Исходные данные'!B38*(MAX($B$9-B103,0))+'Балластные случаи'!B14)</x:f>
        <x:v>59.41925864457829</x:v>
      </x:c>
    </x:row>
    <x:row r="104" ht="40" customHeight="1">
      <x:c r="A104" s="10" t="str">
        <x:v>IF4 / 3</x:v>
      </x:c>
      <x:c r="B104" s="10" t="n">
        <x:f>MAX(('Нагрузки'!B44),MIN(('Нагрузки'!B44),$B$15))</x:f>
        <x:v>12.59</x:v>
      </x:c>
      <x:c r="C104" s="10" t="n">
        <x:f>10*MAX($B$5-B104,0)</x:f>
        <x:v>0</x:v>
      </x:c>
      <x:c r="D104" s="10" t="n">
        <x:f>MAX(0,IF(B104&lt;=$B$5,'Нагрузки'!B7-1.5*'Нагрузки'!B6*($B$5-B104)/$B$5,'Нагрузки'!B7-7.5*'Исходные данные'!B36*(B104-$B$5)))</x:f>
        <x:v>9.797538376004876</x:v>
      </x:c>
      <x:c r="E104" s="10" t="n">
        <x:f>MAX(C104-D104,0)</x:f>
        <x:v>0</x:v>
      </x:c>
      <x:c r="F104" s="10" t="n">
        <x:f>MAX('Исходные данные'!B28*('Исходные данные'!B38+'Нагрузки'!B8)*(MAX($B$9-B104,0)),'Исходные данные'!B28*'Исходные данные'!B38*((MAX($B$9-B104,0))+($B$7)*'Нагрузки'!B9),'Исходные данные'!B28*'Исходные данные'!B38*((MAX($B$9-B104,0))+'Балластные случаи'!B12*'Нагрузки'!B10),0.75*'Исходные данные'!B28*'Исходные данные'!B38*((MAX($B$9-B104,0))+'Балластные случаи'!B13),'Исходные данные'!B28*'Исходные данные'!B38*(MAX($B$9-B104,0))+'Балластные случаи'!B14)</x:f>
        <x:v>59.41925864457829</x:v>
      </x:c>
    </x:row>
    <x:row r="105" ht="40" customHeight="1">
      <x:c r="A105" s="10"/>
      <x:c r="B105" s="10"/>
      <x:c r="C105" s="10"/>
      <x:c r="D105" s="10"/>
      <x:c r="E105" s="10"/>
      <x:c r="F105" s="10"/>
    </x:row>
    <x:row r="106" ht="40" customHeight="1">
      <x:c r="A106" s="10"/>
      <x:c r="B106" s="10"/>
      <x:c r="C106" s="10"/>
      <x:c r="D106" s="10"/>
      <x:c r="E106" s="10"/>
      <x:c r="F106" s="10"/>
    </x:row>
    <x:row r="107" ht="40" customHeight="1">
      <x:c r="A107" s="10"/>
      <x:c r="B107" s="10"/>
      <x:c r="C107" s="10"/>
      <x:c r="D107" s="10"/>
      <x:c r="E107" s="10"/>
      <x:c r="F107" s="10"/>
    </x:row>
    <x:row r="108" ht="70" customHeight="1">
      <x:c r="A108" s="22" t="str">
        <x:v>Узел / точка</x:v>
      </x:c>
      <x:c r="B108" s="22" t="str">
        <x:v>pнетто, кПа</x:v>
      </x:c>
      <x:c r="C108" s="22" t="str">
        <x:v>Внешнее p, кПа</x:v>
      </x:c>
      <x:c r="D108" s="22" t="str">
        <x:v>p обшивки, кПа</x:v>
      </x:c>
      <x:c r="E108" s="22" t="str">
        <x:v>p груза, кПа</x:v>
      </x:c>
      <x:c r="F108" s="22" t="str">
        <x:v>p внутренних, кПа</x:v>
      </x:c>
    </x:row>
    <x:row r="109" ht="40" customHeight="1">
      <x:c r="A109" s="10" t="str">
        <x:f>A21</x:f>
        <x:v>Днище / 1</x:v>
      </x:c>
      <x:c r="B109" s="10" t="n">
        <x:f>F21-E21</x:f>
        <x:v>152.4735628325807</x:v>
      </x:c>
      <x:c r="C109" s="10" t="n">
        <x:f>10*MAX($B$6-B21,0)+MAX(IF(B21&lt;=$B$6,'Нагрузки'!B7-1.5*'Нагрузки'!B6*($B$6-B21)/$B$6,'Нагрузки'!B7-7.5*'Исходные данные'!B36*(B21-$B$6)),IF(B21&gt;$B$6,0.03*'Исходные данные'!B8+5,0))</x:f>
        <x:v>97.85870668800243</x:v>
      </x:c>
      <x:c r="D109" s="10" t="n">
        <x:f>MAX(B109,C109,ABS(F21-(C21+D21)))</x:f>
        <x:v>152.4735628325807</x:v>
      </x:c>
      <x:c r="E109" s="10" t="n">
        <x:f>MAX('Исходные данные'!B28*('Исходные данные'!B38+'Нагрузки'!B8)*(MAX($B$10-B21,0)),'Исходные данные'!B28*'Исходные данные'!B38*((MAX($B$10-B21,0))+($B$8)*'Нагрузки'!B9),'Исходные данные'!B28*'Исходные данные'!B38*((MAX($B$10-B21,0))+'Балластные случаи'!B12*'Нагрузки'!B10),0.75*'Исходные данные'!B28*'Исходные данные'!B38*((MAX($B$10-B21,0))+'Балластные случаи'!B13),'Исходные данные'!B28*'Исходные данные'!B38*(MAX($B$10-B21,0))+'Балластные случаи'!B14)</x:f>
        <x:v>182.74799022289153</x:v>
      </x:c>
      <x:c r="F109" s="10" t="n">
        <x:f>MAX(E109,F21)</x:f>
        <x:v>186.0148561445783</x:v>
      </x:c>
    </x:row>
    <x:row r="110" ht="40" customHeight="1">
      <x:c r="A110" s="10" t="str">
        <x:f>A22</x:f>
        <x:v>Днище / 2</x:v>
      </x:c>
      <x:c r="B110" s="10" t="n">
        <x:f>F22-E22</x:f>
        <x:v>152.4735628325807</x:v>
      </x:c>
      <x:c r="C110" s="10" t="n">
        <x:f>10*MAX($B$6-B22,0)+MAX(IF(B22&lt;=$B$6,'Нагрузки'!B7-1.5*'Нагрузки'!B6*($B$6-B22)/$B$6,'Нагрузки'!B7-7.5*'Исходные данные'!B36*(B22-$B$6)),IF(B22&gt;$B$6,0.03*'Исходные данные'!B8+5,0))</x:f>
        <x:v>97.85870668800243</x:v>
      </x:c>
      <x:c r="D110" s="10" t="n">
        <x:f>MAX(B110,C110,ABS(F22-(C22+D22)))</x:f>
        <x:v>152.4735628325807</x:v>
      </x:c>
      <x:c r="E110" s="10" t="n">
        <x:f>MAX('Исходные данные'!B28*('Исходные данные'!B38+'Нагрузки'!B8)*(MAX($B$10-B22,0)),'Исходные данные'!B28*'Исходные данные'!B38*((MAX($B$10-B22,0))+($B$8)*'Нагрузки'!B9),'Исходные данные'!B28*'Исходные данные'!B38*((MAX($B$10-B22,0))+'Балластные случаи'!B12*'Нагрузки'!B10),0.75*'Исходные данные'!B28*'Исходные данные'!B38*((MAX($B$10-B22,0))+'Балластные случаи'!B13),'Исходные данные'!B28*'Исходные данные'!B38*(MAX($B$10-B22,0))+'Балластные случаи'!B14)</x:f>
        <x:v>182.74799022289153</x:v>
      </x:c>
      <x:c r="F110" s="10" t="n">
        <x:f>MAX(E110,F22)</x:f>
        <x:v>186.0148561445783</x:v>
      </x:c>
    </x:row>
    <x:row r="111" ht="40" customHeight="1">
      <x:c r="A111" s="10" t="str">
        <x:f>A23</x:f>
        <x:v>Днище / 3</x:v>
      </x:c>
      <x:c r="B111" s="10" t="n">
        <x:f>F23-E23</x:f>
        <x:v>152.4735628325807</x:v>
      </x:c>
      <x:c r="C111" s="10" t="n">
        <x:f>10*MAX($B$6-B23,0)+MAX(IF(B23&lt;=$B$6,'Нагрузки'!B7-1.5*'Нагрузки'!B6*($B$6-B23)/$B$6,'Нагрузки'!B7-7.5*'Исходные данные'!B36*(B23-$B$6)),IF(B23&gt;$B$6,0.03*'Исходные данные'!B8+5,0))</x:f>
        <x:v>97.85870668800243</x:v>
      </x:c>
      <x:c r="D111" s="10" t="n">
        <x:f>MAX(B111,C111,ABS(F23-(C23+D23)))</x:f>
        <x:v>152.4735628325807</x:v>
      </x:c>
      <x:c r="E111" s="10" t="n">
        <x:f>MAX('Исходные данные'!B28*('Исходные данные'!B38+'Нагрузки'!B8)*(MAX($B$10-B23,0)),'Исходные данные'!B28*'Исходные данные'!B38*((MAX($B$10-B23,0))+($B$8)*'Нагрузки'!B9),'Исходные данные'!B28*'Исходные данные'!B38*((MAX($B$10-B23,0))+'Балластные случаи'!B12*'Нагрузки'!B10),0.75*'Исходные данные'!B28*'Исходные данные'!B38*((MAX($B$10-B23,0))+'Балластные случаи'!B13),'Исходные данные'!B28*'Исходные данные'!B38*(MAX($B$10-B23,0))+'Балластные случаи'!B14)</x:f>
        <x:v>182.74799022289153</x:v>
      </x:c>
      <x:c r="F111" s="10" t="n">
        <x:f>MAX(E111,F23)</x:f>
        <x:v>186.0148561445783</x:v>
      </x:c>
    </x:row>
    <x:row r="112" ht="40" customHeight="1">
      <x:c r="A112" s="10" t="str">
        <x:f>A24</x:f>
        <x:v>Второе дно / 1</x:v>
      </x:c>
      <x:c r="B112" s="10" t="n">
        <x:f>F24-E24</x:f>
        <x:v>157.36240422016786</x:v>
      </x:c>
      <x:c r="C112" s="10" t="n">
        <x:f>10*MAX($B$6-B24,0)+MAX(IF(B24&lt;=$B$6,'Нагрузки'!B7-1.5*'Нагрузки'!B6*($B$6-B24)/$B$6,'Нагрузки'!B7-7.5*'Исходные данные'!B36*(B24-$B$6)),IF(B24&gt;$B$6,0.03*'Исходные данные'!B8+5,0))</x:f>
        <x:v>82.58172692781471</x:v>
      </x:c>
      <x:c r="D112" s="10" t="n">
        <x:f>MAX(B112,C112,ABS(F24-(C24+D24)))</x:f>
        <x:v>157.36240422016786</x:v>
      </x:c>
      <x:c r="E112" s="10" t="n">
        <x:f>MAX('Исходные данные'!B28*('Исходные данные'!B38+'Нагрузки'!B8)*(MAX($B$10-B24,0)),'Исходные данные'!B28*'Исходные данные'!B38*((MAX($B$10-B24,0))+($B$8)*'Нагрузки'!B9),'Исходные данные'!B28*'Исходные данные'!B38*((MAX($B$10-B24,0))+'Балластные случаи'!B12*'Нагрузки'!B10),0.75*'Исходные данные'!B28*'Исходные данные'!B38*((MAX($B$10-B24,0))+'Балластные случаи'!B13),'Исходные данные'!B28*'Исходные данные'!B38*(MAX($B$10-B24,0))+'Балластные случаи'!B14)</x:f>
        <x:v>164.6485402228915</x:v>
      </x:c>
      <x:c r="F112" s="10" t="n">
        <x:f>MAX(E112,F24)</x:f>
        <x:v>167.91540614457827</x:v>
      </x:c>
    </x:row>
    <x:row r="113" ht="40" customHeight="1">
      <x:c r="A113" s="10" t="str">
        <x:f>A25</x:f>
        <x:v>Второе дно / 2</x:v>
      </x:c>
      <x:c r="B113" s="10" t="n">
        <x:f>F25-E25</x:f>
        <x:v>157.36240422016786</x:v>
      </x:c>
      <x:c r="C113" s="10" t="n">
        <x:f>10*MAX($B$6-B25,0)+MAX(IF(B25&lt;=$B$6,'Нагрузки'!B7-1.5*'Нагрузки'!B6*($B$6-B25)/$B$6,'Нагрузки'!B7-7.5*'Исходные данные'!B36*(B25-$B$6)),IF(B25&gt;$B$6,0.03*'Исходные данные'!B8+5,0))</x:f>
        <x:v>82.58172692781471</x:v>
      </x:c>
      <x:c r="D113" s="10" t="n">
        <x:f>MAX(B113,C113,ABS(F25-(C25+D25)))</x:f>
        <x:v>157.36240422016786</x:v>
      </x:c>
      <x:c r="E113" s="10" t="n">
        <x:f>MAX('Исходные данные'!B28*('Исходные данные'!B38+'Нагрузки'!B8)*(MAX($B$10-B25,0)),'Исходные данные'!B28*'Исходные данные'!B38*((MAX($B$10-B25,0))+($B$8)*'Нагрузки'!B9),'Исходные данные'!B28*'Исходные данные'!B38*((MAX($B$10-B25,0))+'Балластные случаи'!B12*'Нагрузки'!B10),0.75*'Исходные данные'!B28*'Исходные данные'!B38*((MAX($B$10-B25,0))+'Балластные случаи'!B13),'Исходные данные'!B28*'Исходные данные'!B38*(MAX($B$10-B25,0))+'Балластные случаи'!B14)</x:f>
        <x:v>164.6485402228915</x:v>
      </x:c>
      <x:c r="F113" s="10" t="n">
        <x:f>MAX(E113,F25)</x:f>
        <x:v>167.91540614457827</x:v>
      </x:c>
    </x:row>
    <x:row r="114" ht="40" customHeight="1">
      <x:c r="A114" s="10" t="str">
        <x:f>A26</x:f>
        <x:v>Второе дно / 3</x:v>
      </x:c>
      <x:c r="B114" s="10" t="n">
        <x:f>F26-E26</x:f>
        <x:v>157.36240422016786</x:v>
      </x:c>
      <x:c r="C114" s="10" t="n">
        <x:f>10*MAX($B$6-B26,0)+MAX(IF(B26&lt;=$B$6,'Нагрузки'!B7-1.5*'Нагрузки'!B6*($B$6-B26)/$B$6,'Нагрузки'!B7-7.5*'Исходные данные'!B36*(B26-$B$6)),IF(B26&gt;$B$6,0.03*'Исходные данные'!B8+5,0))</x:f>
        <x:v>82.58172692781471</x:v>
      </x:c>
      <x:c r="D114" s="10" t="n">
        <x:f>MAX(B114,C114,ABS(F26-(C26+D26)))</x:f>
        <x:v>157.36240422016786</x:v>
      </x:c>
      <x:c r="E114" s="10" t="n">
        <x:f>MAX('Исходные данные'!B28*('Исходные данные'!B38+'Нагрузки'!B8)*(MAX($B$10-B26,0)),'Исходные данные'!B28*'Исходные данные'!B38*((MAX($B$10-B26,0))+($B$8)*'Нагрузки'!B9),'Исходные данные'!B28*'Исходные данные'!B38*((MAX($B$10-B26,0))+'Балластные случаи'!B12*'Нагрузки'!B10),0.75*'Исходные данные'!B28*'Исходные данные'!B38*((MAX($B$10-B26,0))+'Балластные случаи'!B13),'Исходные данные'!B28*'Исходные данные'!B38*(MAX($B$10-B26,0))+'Балластные случаи'!B14)</x:f>
        <x:v>164.6485402228915</x:v>
      </x:c>
      <x:c r="F114" s="10" t="n">
        <x:f>MAX(E114,F26)</x:f>
        <x:v>167.91540614457827</x:v>
      </x:c>
    </x:row>
    <x:row r="115" ht="40" customHeight="1">
      <x:c r="A115" s="10" t="str">
        <x:f>A27</x:f>
        <x:v>Верхняя палуба / 1</x:v>
      </x:c>
      <x:c r="B115" s="10" t="n">
        <x:f>F27-E27</x:f>
        <x:v>44.2358311445783</x:v>
      </x:c>
      <x:c r="C115" s="10" t="n">
        <x:f>10*MAX($B$6-B27,0)+MAX(IF(B27&lt;=$B$6,'Нагрузки'!B7-1.5*'Нагрузки'!B6*($B$6-B27)/$B$6,'Нагрузки'!B7-7.5*'Исходные данные'!B36*(B27-$B$6)),IF(B27&gt;$B$6,0.03*'Исходные данные'!B8+5,0))</x:f>
        <x:v>14.503413376004875</x:v>
      </x:c>
      <x:c r="D115" s="10" t="n">
        <x:f>MAX(B115,C115,ABS(F27-(C27+D27)))</x:f>
        <x:v>44.2358311445783</x:v>
      </x:c>
      <x:c r="E115" s="10" t="n">
        <x:f>MAX('Исходные данные'!B28*('Исходные данные'!B38+'Нагрузки'!B8)*(MAX($B$10-B27,0)),'Исходные данные'!B28*'Исходные данные'!B38*((MAX($B$10-B27,0))+($B$8)*'Нагрузки'!B9),'Исходные данные'!B28*'Исходные данные'!B38*((MAX($B$10-B27,0))+'Балластные случаи'!B12*'Нагрузки'!B10),0.75*'Исходные данные'!B28*'Исходные данные'!B38*((MAX($B$10-B27,0))+'Балластные случаи'!B13),'Исходные данные'!B28*'Исходные данные'!B38*(MAX($B$10-B27,0))+'Балластные случаи'!B14)</x:f>
        <x:v>40.968965222891555</x:v>
      </x:c>
      <x:c r="F115" s="10" t="n">
        <x:f>MAX(E115,F27)</x:f>
        <x:v>44.2358311445783</x:v>
      </x:c>
    </x:row>
    <x:row r="116" ht="40" customHeight="1">
      <x:c r="A116" s="10" t="str">
        <x:f>A28</x:f>
        <x:v>Верхняя палуба / 2</x:v>
      </x:c>
      <x:c r="B116" s="10" t="n">
        <x:f>F28-E28</x:f>
        <x:v>44.2358311445783</x:v>
      </x:c>
      <x:c r="C116" s="10" t="n">
        <x:f>10*MAX($B$6-B28,0)+MAX(IF(B28&lt;=$B$6,'Нагрузки'!B7-1.5*'Нагрузки'!B6*($B$6-B28)/$B$6,'Нагрузки'!B7-7.5*'Исходные данные'!B36*(B28-$B$6)),IF(B28&gt;$B$6,0.03*'Исходные данные'!B8+5,0))</x:f>
        <x:v>14.503413376004875</x:v>
      </x:c>
      <x:c r="D116" s="10" t="n">
        <x:f>MAX(B116,C116,ABS(F28-(C28+D28)))</x:f>
        <x:v>44.2358311445783</x:v>
      </x:c>
      <x:c r="E116" s="10" t="n">
        <x:f>MAX('Исходные данные'!B28*('Исходные данные'!B38+'Нагрузки'!B8)*(MAX($B$10-B28,0)),'Исходные данные'!B28*'Исходные данные'!B38*((MAX($B$10-B28,0))+($B$8)*'Нагрузки'!B9),'Исходные данные'!B28*'Исходные данные'!B38*((MAX($B$10-B28,0))+'Балластные случаи'!B12*'Нагрузки'!B10),0.75*'Исходные данные'!B28*'Исходные данные'!B38*((MAX($B$10-B28,0))+'Балластные случаи'!B13),'Исходные данные'!B28*'Исходные данные'!B38*(MAX($B$10-B28,0))+'Балластные случаи'!B14)</x:f>
        <x:v>40.968965222891555</x:v>
      </x:c>
      <x:c r="F116" s="10" t="n">
        <x:f>MAX(E116,F28)</x:f>
        <x:v>44.2358311445783</x:v>
      </x:c>
    </x:row>
    <x:row r="117" ht="40" customHeight="1">
      <x:c r="A117" s="10" t="str">
        <x:f>A29</x:f>
        <x:v>Верхняя палуба / 3</x:v>
      </x:c>
      <x:c r="B117" s="10" t="n">
        <x:f>F29-E29</x:f>
        <x:v>44.2358311445783</x:v>
      </x:c>
      <x:c r="C117" s="10" t="n">
        <x:f>10*MAX($B$6-B29,0)+MAX(IF(B29&lt;=$B$6,'Нагрузки'!B7-1.5*'Нагрузки'!B6*($B$6-B29)/$B$6,'Нагрузки'!B7-7.5*'Исходные данные'!B36*(B29-$B$6)),IF(B29&gt;$B$6,0.03*'Исходные данные'!B8+5,0))</x:f>
        <x:v>14.503413376004875</x:v>
      </x:c>
      <x:c r="D117" s="10" t="n">
        <x:f>MAX(B117,C117,ABS(F29-(C29+D29)))</x:f>
        <x:v>44.2358311445783</x:v>
      </x:c>
      <x:c r="E117" s="10" t="n">
        <x:f>MAX('Исходные данные'!B28*('Исходные данные'!B38+'Нагрузки'!B8)*(MAX($B$10-B29,0)),'Исходные данные'!B28*'Исходные данные'!B38*((MAX($B$10-B29,0))+($B$8)*'Нагрузки'!B9),'Исходные данные'!B28*'Исходные данные'!B38*((MAX($B$10-B29,0))+'Балластные случаи'!B12*'Нагрузки'!B10),0.75*'Исходные данные'!B28*'Исходные данные'!B38*((MAX($B$10-B29,0))+'Балластные случаи'!B13),'Исходные данные'!B28*'Исходные данные'!B38*(MAX($B$10-B29,0))+'Балластные случаи'!B14)</x:f>
        <x:v>40.968965222891555</x:v>
      </x:c>
      <x:c r="F117" s="10" t="n">
        <x:f>MAX(E117,F29)</x:f>
        <x:v>44.2358311445783</x:v>
      </x:c>
    </x:row>
    <x:row r="118" ht="40" customHeight="1">
      <x:c r="A118" s="10" t="str">
        <x:f>A30</x:f>
        <x:v>Обшивка F / 1</x:v>
      </x:c>
      <x:c r="B118" s="10" t="n">
        <x:f>F30-E30</x:f>
        <x:v>152.4735628325807</x:v>
      </x:c>
      <x:c r="C118" s="10" t="n">
        <x:f>10*MAX($B$6-B30,0)+MAX(IF(B30&lt;=$B$6,'Нагрузки'!B7-1.5*'Нагрузки'!B6*($B$6-B30)/$B$6,'Нагрузки'!B7-7.5*'Исходные данные'!B36*(B30-$B$6)),IF(B30&gt;$B$6,0.03*'Исходные данные'!B8+5,0))</x:f>
        <x:v>97.85870668800243</x:v>
      </x:c>
      <x:c r="D118" s="10" t="n">
        <x:f>MAX(B118,C118,ABS(F30-(C30+D30)))</x:f>
        <x:v>152.4735628325807</x:v>
      </x:c>
      <x:c r="E118" s="10" t="n">
        <x:f>MAX('Исходные данные'!B28*('Исходные данные'!B38+'Нагрузки'!B8)*(MAX($B$10-B30,0)),'Исходные данные'!B28*'Исходные данные'!B38*((MAX($B$10-B30,0))+($B$8)*'Нагрузки'!B9),'Исходные данные'!B28*'Исходные данные'!B38*((MAX($B$10-B30,0))+'Балластные случаи'!B12*'Нагрузки'!B10),0.75*'Исходные данные'!B28*'Исходные данные'!B38*((MAX($B$10-B30,0))+'Балластные случаи'!B13),'Исходные данные'!B28*'Исходные данные'!B38*(MAX($B$10-B30,0))+'Балластные случаи'!B14)</x:f>
        <x:v>182.74799022289153</x:v>
      </x:c>
      <x:c r="F118" s="10" t="n">
        <x:f>MAX(E118,F30)</x:f>
        <x:v>186.0148561445783</x:v>
      </x:c>
    </x:row>
    <x:row r="119" ht="40" customHeight="1">
      <x:c r="A119" s="10" t="str">
        <x:f>A31</x:f>
        <x:v>Обшивка F / 2</x:v>
      </x:c>
      <x:c r="B119" s="10" t="n">
        <x:f>F31-E31</x:f>
        <x:v>153.74611310752735</x:v>
      </x:c>
      <x:c r="C119" s="10" t="n">
        <x:f>10*MAX($B$6-B31,0)+MAX(IF(B31&lt;=$B$6,'Нагрузки'!B7-1.5*'Нагрузки'!B6*($B$6-B31)/$B$6,'Нагрузки'!B7-7.5*'Исходные данные'!B36*(B31-$B$6)),IF(B31&gt;$B$6,0.03*'Исходные данные'!B8+5,0))</x:f>
        <x:v>93.88215616142134</x:v>
      </x:c>
      <x:c r="D119" s="10" t="n">
        <x:f>MAX(B119,C119,ABS(F31-(C31+D31)))</x:f>
        <x:v>153.74611310752735</x:v>
      </x:c>
      <x:c r="E119" s="10" t="n">
        <x:f>MAX('Исходные данные'!B28*('Исходные данные'!B38+'Нагрузки'!B8)*(MAX($B$10-B31,0)),'Исходные данные'!B28*'Исходные данные'!B38*((MAX($B$10-B31,0))+($B$8)*'Нагрузки'!B9),'Исходные данные'!B28*'Исходные данные'!B38*((MAX($B$10-B31,0))+'Балластные случаи'!B12*'Нагрузки'!B10),0.75*'Исходные данные'!B28*'Исходные данные'!B38*((MAX($B$10-B31,0))+'Балластные случаи'!B13),'Исходные данные'!B28*'Исходные данные'!B38*(MAX($B$10-B31,0))+'Балластные случаи'!B14)</x:f>
        <x:v>178.03675943263462</x:v>
      </x:c>
      <x:c r="F119" s="10" t="n">
        <x:f>MAX(E119,F31)</x:f>
        <x:v>181.30362535432138</x:v>
      </x:c>
    </x:row>
    <x:row r="120" ht="40" customHeight="1">
      <x:c r="A120" s="10" t="str">
        <x:f>A32</x:f>
        <x:v>Обшивка F / 3</x:v>
      </x:c>
      <x:c r="B120" s="10" t="n">
        <x:f>F32-E32</x:f>
        <x:v>153.74611310752735</x:v>
      </x:c>
      <x:c r="C120" s="10" t="n">
        <x:f>10*MAX($B$6-B32,0)+MAX(IF(B32&lt;=$B$6,'Нагрузки'!B7-1.5*'Нагрузки'!B6*($B$6-B32)/$B$6,'Нагрузки'!B7-7.5*'Исходные данные'!B36*(B32-$B$6)),IF(B32&gt;$B$6,0.03*'Исходные данные'!B8+5,0))</x:f>
        <x:v>93.88215616142134</x:v>
      </x:c>
      <x:c r="D120" s="10" t="n">
        <x:f>MAX(B120,C120,ABS(F32-(C32+D32)))</x:f>
        <x:v>153.74611310752735</x:v>
      </x:c>
      <x:c r="E120" s="10" t="n">
        <x:f>MAX('Исходные данные'!B28*('Исходные данные'!B38+'Нагрузки'!B8)*(MAX($B$10-B32,0)),'Исходные данные'!B28*'Исходные данные'!B38*((MAX($B$10-B32,0))+($B$8)*'Нагрузки'!B9),'Исходные данные'!B28*'Исходные данные'!B38*((MAX($B$10-B32,0))+'Балластные случаи'!B12*'Нагрузки'!B10),0.75*'Исходные данные'!B28*'Исходные данные'!B38*((MAX($B$10-B32,0))+'Балластные случаи'!B13),'Исходные данные'!B28*'Исходные данные'!B38*(MAX($B$10-B32,0))+'Балластные случаи'!B14)</x:f>
        <x:v>178.03675943263462</x:v>
      </x:c>
      <x:c r="F120" s="10" t="n">
        <x:f>MAX(E120,F32)</x:f>
        <x:v>181.30362535432138</x:v>
      </x:c>
    </x:row>
    <x:row r="121" ht="40" customHeight="1">
      <x:c r="A121" s="10" t="str">
        <x:f>A33</x:f>
        <x:v>Обшивка G / 1</x:v>
      </x:c>
      <x:c r="B121" s="10" t="n">
        <x:f>F33-E33</x:f>
        <x:v>153.74611310752735</x:v>
      </x:c>
      <x:c r="C121" s="10" t="n">
        <x:f>10*MAX($B$6-B33,0)+MAX(IF(B33&lt;=$B$6,'Нагрузки'!B7-1.5*'Нагрузки'!B6*($B$6-B33)/$B$6,'Нагрузки'!B7-7.5*'Исходные данные'!B36*(B33-$B$6)),IF(B33&gt;$B$6,0.03*'Исходные данные'!B8+5,0))</x:f>
        <x:v>93.88215616142134</x:v>
      </x:c>
      <x:c r="D121" s="10" t="n">
        <x:f>MAX(B121,C121,ABS(F33-(C33+D33)))</x:f>
        <x:v>153.74611310752735</x:v>
      </x:c>
      <x:c r="E121" s="10" t="n">
        <x:f>MAX('Исходные данные'!B28*('Исходные данные'!B38+'Нагрузки'!B8)*(MAX($B$10-B33,0)),'Исходные данные'!B28*'Исходные данные'!B38*((MAX($B$10-B33,0))+($B$8)*'Нагрузки'!B9),'Исходные данные'!B28*'Исходные данные'!B38*((MAX($B$10-B33,0))+'Балластные случаи'!B12*'Нагрузки'!B10),0.75*'Исходные данные'!B28*'Исходные данные'!B38*((MAX($B$10-B33,0))+'Балластные случаи'!B13),'Исходные данные'!B28*'Исходные данные'!B38*(MAX($B$10-B33,0))+'Балластные случаи'!B14)</x:f>
        <x:v>178.03675943263462</x:v>
      </x:c>
      <x:c r="F121" s="10" t="n">
        <x:f>MAX(E121,F33)</x:f>
        <x:v>181.30362535432138</x:v>
      </x:c>
    </x:row>
    <x:row r="122" ht="40" customHeight="1">
      <x:c r="A122" s="10" t="str">
        <x:f>A34</x:f>
        <x:v>Обшивка G / 2</x:v>
      </x:c>
      <x:c r="B122" s="10" t="n">
        <x:f>F34-E34</x:f>
        <x:v>158.94010162351543</x:v>
      </x:c>
      <x:c r="C122" s="10" t="n">
        <x:f>10*MAX($B$6-B34,0)+MAX(IF(B34&lt;=$B$6,'Нагрузки'!B7-1.5*'Нагрузки'!B6*($B$6-B34)/$B$6,'Нагрузки'!B7-7.5*'Исходные данные'!B36*(B34-$B$6)),IF(B34&gt;$B$6,0.03*'Исходные данные'!B8+5,0))</x:f>
        <x:v>77.65163216960923</x:v>
      </x:c>
      <x:c r="D122" s="10" t="n">
        <x:f>MAX(B122,C122,ABS(F34-(C34+D34)))</x:f>
        <x:v>158.94010162351543</x:v>
      </x:c>
      <x:c r="E122" s="10" t="n">
        <x:f>MAX('Исходные данные'!B28*('Исходные данные'!B38+'Нагрузки'!B8)*(MAX($B$10-B34,0)),'Исходные данные'!B28*'Исходные данные'!B38*((MAX($B$10-B34,0))+($B$8)*'Нагрузки'!B9),'Исходные данные'!B28*'Исходные данные'!B38*((MAX($B$10-B34,0))+'Балластные случаи'!B12*'Нагрузки'!B10),0.75*'Исходные данные'!B28*'Исходные данные'!B38*((MAX($B$10-B34,0))+'Балластные случаи'!B13),'Исходные данные'!B28*'Исходные данные'!B38*(MAX($B$10-B34,0))+'Балластные случаи'!B14)</x:f>
        <x:v>158.80759489389766</x:v>
      </x:c>
      <x:c r="F122" s="10" t="n">
        <x:f>MAX(E122,F34)</x:f>
        <x:v>162.0744608155844</x:v>
      </x:c>
    </x:row>
    <x:row r="123" ht="40" customHeight="1">
      <x:c r="A123" s="10" t="str">
        <x:f>A35</x:f>
        <x:v>Обшивка G / 3</x:v>
      </x:c>
      <x:c r="B123" s="10" t="n">
        <x:f>F35-E35</x:f>
        <x:v>158.94010162351543</x:v>
      </x:c>
      <x:c r="C123" s="10" t="n">
        <x:f>10*MAX($B$6-B35,0)+MAX(IF(B35&lt;=$B$6,'Нагрузки'!B7-1.5*'Нагрузки'!B6*($B$6-B35)/$B$6,'Нагрузки'!B7-7.5*'Исходные данные'!B36*(B35-$B$6)),IF(B35&gt;$B$6,0.03*'Исходные данные'!B8+5,0))</x:f>
        <x:v>77.65163216960923</x:v>
      </x:c>
      <x:c r="D123" s="10" t="n">
        <x:f>MAX(B123,C123,ABS(F35-(C35+D35)))</x:f>
        <x:v>158.94010162351543</x:v>
      </x:c>
      <x:c r="E123" s="10" t="n">
        <x:f>MAX('Исходные данные'!B28*('Исходные данные'!B38+'Нагрузки'!B8)*(MAX($B$10-B35,0)),'Исходные данные'!B28*'Исходные данные'!B38*((MAX($B$10-B35,0))+($B$8)*'Нагрузки'!B9),'Исходные данные'!B28*'Исходные данные'!B38*((MAX($B$10-B35,0))+'Балластные случаи'!B12*'Нагрузки'!B10),0.75*'Исходные данные'!B28*'Исходные данные'!B38*((MAX($B$10-B35,0))+'Балластные случаи'!B13),'Исходные данные'!B28*'Исходные данные'!B38*(MAX($B$10-B35,0))+'Балластные случаи'!B14)</x:f>
        <x:v>158.80759489389766</x:v>
      </x:c>
      <x:c r="F123" s="10" t="n">
        <x:f>MAX(E123,F35)</x:f>
        <x:v>162.0744608155844</x:v>
      </x:c>
    </x:row>
    <x:row r="124" ht="40" customHeight="1">
      <x:c r="A124" s="10" t="str">
        <x:f>A36</x:f>
        <x:v>Обшивка H / 1</x:v>
      </x:c>
      <x:c r="B124" s="10" t="n">
        <x:f>F36-E36</x:f>
        <x:v>158.94010162351543</x:v>
      </x:c>
      <x:c r="C124" s="10" t="n">
        <x:f>10*MAX($B$6-B36,0)+MAX(IF(B36&lt;=$B$6,'Нагрузки'!B7-1.5*'Нагрузки'!B6*($B$6-B36)/$B$6,'Нагрузки'!B7-7.5*'Исходные данные'!B36*(B36-$B$6)),IF(B36&gt;$B$6,0.03*'Исходные данные'!B8+5,0))</x:f>
        <x:v>77.65163216960923</x:v>
      </x:c>
      <x:c r="D124" s="10" t="n">
        <x:f>MAX(B124,C124,ABS(F36-(C36+D36)))</x:f>
        <x:v>158.94010162351543</x:v>
      </x:c>
      <x:c r="E124" s="10" t="n">
        <x:f>MAX('Исходные данные'!B28*('Исходные данные'!B38+'Нагрузки'!B8)*(MAX($B$10-B36,0)),'Исходные данные'!B28*'Исходные данные'!B38*((MAX($B$10-B36,0))+($B$8)*'Нагрузки'!B9),'Исходные данные'!B28*'Исходные данные'!B38*((MAX($B$10-B36,0))+'Балластные случаи'!B12*'Нагрузки'!B10),0.75*'Исходные данные'!B28*'Исходные данные'!B38*((MAX($B$10-B36,0))+'Балластные случаи'!B13),'Исходные данные'!B28*'Исходные данные'!B38*(MAX($B$10-B36,0))+'Балластные случаи'!B14)</x:f>
        <x:v>158.80759489389766</x:v>
      </x:c>
      <x:c r="F124" s="10" t="n">
        <x:f>MAX(E124,F36)</x:f>
        <x:v>162.0744608155844</x:v>
      </x:c>
    </x:row>
    <x:row r="125" ht="40" customHeight="1">
      <x:c r="A125" s="10" t="str">
        <x:f>A37</x:f>
        <x:v>Обшивка H / 2</x:v>
      </x:c>
      <x:c r="B125" s="10" t="n">
        <x:f>F37-E37</x:f>
        <x:v>145.9860608155844</x:v>
      </x:c>
      <x:c r="C125" s="10" t="n">
        <x:f>10*MAX($B$6-B37,0)+MAX(IF(B37&lt;=$B$6,'Нагрузки'!B7-1.5*'Нагрузки'!B6*($B$6-B37)/$B$6,'Нагрузки'!B7-7.5*'Исходные данные'!B36*(B37-$B$6)),IF(B37&gt;$B$6,0.03*'Исходные данные'!B8+5,0))</x:f>
        <x:v>64.07209460499791</x:v>
      </x:c>
      <x:c r="D125" s="10" t="n">
        <x:f>MAX(B125,C125,ABS(F37-(C37+D37)))</x:f>
        <x:v>145.9860608155844</x:v>
      </x:c>
      <x:c r="E125" s="10" t="n">
        <x:f>MAX('Исходные данные'!B28*('Исходные данные'!B38+'Нагрузки'!B8)*(MAX($B$10-B37,0)),'Исходные данные'!B28*'Исходные данные'!B38*((MAX($B$10-B37,0))+($B$8)*'Нагрузки'!B9),'Исходные данные'!B28*'Исходные данные'!B38*((MAX($B$10-B37,0))+'Балластные случаи'!B12*'Нагрузки'!B10),0.75*'Исходные данные'!B28*'Исходные данные'!B38*((MAX($B$10-B37,0))+'Балластные случаи'!B13),'Исходные данные'!B28*'Исходные данные'!B38*(MAX($B$10-B37,0))+'Балластные случаи'!B14)</x:f>
        <x:v>142.71919489389765</x:v>
      </x:c>
      <x:c r="F125" s="10" t="n">
        <x:f>MAX(E125,F37)</x:f>
        <x:v>145.9860608155844</x:v>
      </x:c>
    </x:row>
    <x:row r="126" ht="40" customHeight="1">
      <x:c r="A126" s="10" t="str">
        <x:f>A38</x:f>
        <x:v>Обшивка H / 3</x:v>
      </x:c>
      <x:c r="B126" s="10" t="n">
        <x:f>F38-E38</x:f>
        <x:v>159.60667508403913</x:v>
      </x:c>
      <x:c r="C126" s="10" t="n">
        <x:f>10*MAX($B$6-B38,0)+MAX(IF(B38&lt;=$B$6,'Нагрузки'!B7-1.5*'Нагрузки'!B6*($B$6-B38)/$B$6,'Нагрузки'!B7-7.5*'Исходные данные'!B36*(B38-$B$6)),IF(B38&gt;$B$6,0.03*'Исходные данные'!B8+5,0))</x:f>
        <x:v>75.56867867249758</x:v>
      </x:c>
      <x:c r="D126" s="10" t="n">
        <x:f>MAX(B126,C126,ABS(F38-(C38+D38)))</x:f>
        <x:v>159.60667508403913</x:v>
      </x:c>
      <x:c r="E126" s="10" t="n">
        <x:f>MAX('Исходные данные'!B28*('Исходные данные'!B38+'Нагрузки'!B8)*(MAX($B$10-B38,0)),'Исходные данные'!B28*'Исходные данные'!B38*((MAX($B$10-B38,0))+($B$8)*'Нагрузки'!B9),'Исходные данные'!B28*'Исходные данные'!B38*((MAX($B$10-B38,0))+'Балластные случаи'!B12*'Нагрузки'!B10),0.75*'Исходные данные'!B28*'Исходные данные'!B38*((MAX($B$10-B38,0))+'Балластные случаи'!B13),'Исходные данные'!B28*'Исходные данные'!B38*(MAX($B$10-B38,0))+'Балластные случаи'!B14)</x:f>
        <x:v>156.3398091623524</x:v>
      </x:c>
      <x:c r="F126" s="10" t="n">
        <x:f>MAX(E126,F38)</x:f>
        <x:v>159.60667508403913</x:v>
      </x:c>
    </x:row>
    <x:row r="127" ht="40" customHeight="1">
      <x:c r="A127" s="10" t="str">
        <x:f>A39</x:f>
        <x:v>Обшивка I / 1</x:v>
      </x:c>
      <x:c r="B127" s="10" t="n">
        <x:f>F39-E39</x:f>
        <x:v>145.9860608155844</x:v>
      </x:c>
      <x:c r="C127" s="10" t="n">
        <x:f>10*MAX($B$6-B39,0)+MAX(IF(B39&lt;=$B$6,'Нагрузки'!B7-1.5*'Нагрузки'!B6*($B$6-B39)/$B$6,'Нагрузки'!B7-7.5*'Исходные данные'!B36*(B39-$B$6)),IF(B39&gt;$B$6,0.03*'Исходные данные'!B8+5,0))</x:f>
        <x:v>64.07209460499791</x:v>
      </x:c>
      <x:c r="D127" s="10" t="n">
        <x:f>MAX(B127,C127,ABS(F39-(C39+D39)))</x:f>
        <x:v>145.9860608155844</x:v>
      </x:c>
      <x:c r="E127" s="10" t="n">
        <x:f>MAX('Исходные данные'!B28*('Исходные данные'!B38+'Нагрузки'!B8)*(MAX($B$10-B39,0)),'Исходные данные'!B28*'Исходные данные'!B38*((MAX($B$10-B39,0))+($B$8)*'Нагрузки'!B9),'Исходные данные'!B28*'Исходные данные'!B38*((MAX($B$10-B39,0))+'Балластные случаи'!B12*'Нагрузки'!B10),0.75*'Исходные данные'!B28*'Исходные данные'!B38*((MAX($B$10-B39,0))+'Балластные случаи'!B13),'Исходные данные'!B28*'Исходные данные'!B38*(MAX($B$10-B39,0))+'Балластные случаи'!B14)</x:f>
        <x:v>142.71919489389765</x:v>
      </x:c>
      <x:c r="F127" s="10" t="n">
        <x:f>MAX(E127,F39)</x:f>
        <x:v>145.9860608155844</x:v>
      </x:c>
    </x:row>
    <x:row r="128" ht="40" customHeight="1">
      <x:c r="A128" s="10" t="str">
        <x:f>A40</x:f>
        <x:v>Обшивка I / 2</x:v>
      </x:c>
      <x:c r="B128" s="10" t="n">
        <x:f>F40-E40</x:f>
        <x:v>129.8976608155844</x:v>
      </x:c>
      <x:c r="C128" s="10" t="n">
        <x:f>10*MAX($B$6-B40,0)+MAX(IF(B40&lt;=$B$6,'Нагрузки'!B7-1.5*'Нагрузки'!B6*($B$6-B40)/$B$6,'Нагрузки'!B7-7.5*'Исходные данные'!B36*(B40-$B$6)),IF(B40&gt;$B$6,0.03*'Исходные данные'!B8+5,0))</x:f>
        <x:v>50.4925570403866</x:v>
      </x:c>
      <x:c r="D128" s="10" t="n">
        <x:f>MAX(B128,C128,ABS(F40-(C40+D40)))</x:f>
        <x:v>129.8976608155844</x:v>
      </x:c>
      <x:c r="E128" s="10" t="n">
        <x:f>MAX('Исходные данные'!B28*('Исходные данные'!B38+'Нагрузки'!B8)*(MAX($B$10-B40,0)),'Исходные данные'!B28*'Исходные данные'!B38*((MAX($B$10-B40,0))+($B$8)*'Нагрузки'!B9),'Исходные данные'!B28*'Исходные данные'!B38*((MAX($B$10-B40,0))+'Балластные случаи'!B12*'Нагрузки'!B10),0.75*'Исходные данные'!B28*'Исходные данные'!B38*((MAX($B$10-B40,0))+'Балластные случаи'!B13),'Исходные данные'!B28*'Исходные данные'!B38*(MAX($B$10-B40,0))+'Балластные случаи'!B14)</x:f>
        <x:v>126.63079489389766</x:v>
      </x:c>
      <x:c r="F128" s="10" t="n">
        <x:f>MAX(E128,F40)</x:f>
        <x:v>129.8976608155844</x:v>
      </x:c>
    </x:row>
    <x:row r="129" ht="40" customHeight="1">
      <x:c r="A129" s="10" t="str">
        <x:f>A41</x:f>
        <x:v>Обшивка I / 3</x:v>
      </x:c>
      <x:c r="B129" s="10" t="n">
        <x:f>F41-E41</x:f>
        <x:v>145.9860608155844</x:v>
      </x:c>
      <x:c r="C129" s="10" t="n">
        <x:f>10*MAX($B$6-B41,0)+MAX(IF(B41&lt;=$B$6,'Нагрузки'!B7-1.5*'Нагрузки'!B6*($B$6-B41)/$B$6,'Нагрузки'!B7-7.5*'Исходные данные'!B36*(B41-$B$6)),IF(B41&gt;$B$6,0.03*'Исходные данные'!B8+5,0))</x:f>
        <x:v>64.07209460499791</x:v>
      </x:c>
      <x:c r="D129" s="10" t="n">
        <x:f>MAX(B129,C129,ABS(F41-(C41+D41)))</x:f>
        <x:v>145.9860608155844</x:v>
      </x:c>
      <x:c r="E129" s="10" t="n">
        <x:f>MAX('Исходные данные'!B28*('Исходные данные'!B38+'Нагрузки'!B8)*(MAX($B$10-B41,0)),'Исходные данные'!B28*'Исходные данные'!B38*((MAX($B$10-B41,0))+($B$8)*'Нагрузки'!B9),'Исходные данные'!B28*'Исходные данные'!B38*((MAX($B$10-B41,0))+'Балластные случаи'!B12*'Нагрузки'!B10),0.75*'Исходные данные'!B28*'Исходные данные'!B38*((MAX($B$10-B41,0))+'Балластные случаи'!B13),'Исходные данные'!B28*'Исходные данные'!B38*(MAX($B$10-B41,0))+'Балластные случаи'!B14)</x:f>
        <x:v>142.71919489389765</x:v>
      </x:c>
      <x:c r="F129" s="10" t="n">
        <x:f>MAX(E129,F41)</x:f>
        <x:v>145.9860608155844</x:v>
      </x:c>
    </x:row>
    <x:row r="130" ht="40" customHeight="1">
      <x:c r="A130" s="10" t="str">
        <x:f>A42</x:f>
        <x:v>Обшивка J / 1</x:v>
      </x:c>
      <x:c r="B130" s="10" t="n">
        <x:f>F42-E42</x:f>
        <x:v>129.8976608155844</x:v>
      </x:c>
      <x:c r="C130" s="10" t="n">
        <x:f>10*MAX($B$6-B42,0)+MAX(IF(B42&lt;=$B$6,'Нагрузки'!B7-1.5*'Нагрузки'!B6*($B$6-B42)/$B$6,'Нагрузки'!B7-7.5*'Исходные данные'!B36*(B42-$B$6)),IF(B42&gt;$B$6,0.03*'Исходные данные'!B8+5,0))</x:f>
        <x:v>50.4925570403866</x:v>
      </x:c>
      <x:c r="D130" s="10" t="n">
        <x:f>MAX(B130,C130,ABS(F42-(C42+D42)))</x:f>
        <x:v>129.8976608155844</x:v>
      </x:c>
      <x:c r="E130" s="10" t="n">
        <x:f>MAX('Исходные данные'!B28*('Исходные данные'!B38+'Нагрузки'!B8)*(MAX($B$10-B42,0)),'Исходные данные'!B28*'Исходные данные'!B38*((MAX($B$10-B42,0))+($B$8)*'Нагрузки'!B9),'Исходные данные'!B28*'Исходные данные'!B38*((MAX($B$10-B42,0))+'Балластные случаи'!B12*'Нагрузки'!B10),0.75*'Исходные данные'!B28*'Исходные данные'!B38*((MAX($B$10-B42,0))+'Балластные случаи'!B13),'Исходные данные'!B28*'Исходные данные'!B38*(MAX($B$10-B42,0))+'Балластные случаи'!B14)</x:f>
        <x:v>126.63079489389766</x:v>
      </x:c>
      <x:c r="F130" s="10" t="n">
        <x:f>MAX(E130,F42)</x:f>
        <x:v>129.8976608155844</x:v>
      </x:c>
    </x:row>
    <x:row r="131" ht="40" customHeight="1">
      <x:c r="A131" s="10" t="str">
        <x:f>A43</x:f>
        <x:v>Обшивка J / 2</x:v>
      </x:c>
      <x:c r="B131" s="10" t="n">
        <x:f>F43-E43</x:f>
        <x:v>113.80926081558441</x:v>
      </x:c>
      <x:c r="C131" s="10" t="n">
        <x:f>10*MAX($B$6-B43,0)+MAX(IF(B43&lt;=$B$6,'Нагрузки'!B7-1.5*'Нагрузки'!B6*($B$6-B43)/$B$6,'Нагрузки'!B7-7.5*'Исходные данные'!B36*(B43-$B$6)),IF(B43&gt;$B$6,0.03*'Исходные данные'!B8+5,0))</x:f>
        <x:v>36.9130194757753</x:v>
      </x:c>
      <x:c r="D131" s="10" t="n">
        <x:f>MAX(B131,C131,ABS(F43-(C43+D43)))</x:f>
        <x:v>113.80926081558441</x:v>
      </x:c>
      <x:c r="E131" s="10" t="n">
        <x:f>MAX('Исходные данные'!B28*('Исходные данные'!B38+'Нагрузки'!B8)*(MAX($B$10-B43,0)),'Исходные данные'!B28*'Исходные данные'!B38*((MAX($B$10-B43,0))+($B$8)*'Нагрузки'!B9),'Исходные данные'!B28*'Исходные данные'!B38*((MAX($B$10-B43,0))+'Балластные случаи'!B12*'Нагрузки'!B10),0.75*'Исходные данные'!B28*'Исходные данные'!B38*((MAX($B$10-B43,0))+'Балластные случаи'!B13),'Исходные данные'!B28*'Исходные данные'!B38*(MAX($B$10-B43,0))+'Балластные случаи'!B14)</x:f>
        <x:v>110.54239489389765</x:v>
      </x:c>
      <x:c r="F131" s="10" t="n">
        <x:f>MAX(E131,F43)</x:f>
        <x:v>113.80926081558441</x:v>
      </x:c>
    </x:row>
    <x:row r="132" ht="40" customHeight="1">
      <x:c r="A132" s="10" t="str">
        <x:f>A44</x:f>
        <x:v>Обшивка J / 3</x:v>
      </x:c>
      <x:c r="B132" s="10" t="n">
        <x:f>F44-E44</x:f>
        <x:v>129.8976608155844</x:v>
      </x:c>
      <x:c r="C132" s="10" t="n">
        <x:f>10*MAX($B$6-B44,0)+MAX(IF(B44&lt;=$B$6,'Нагрузки'!B7-1.5*'Нагрузки'!B6*($B$6-B44)/$B$6,'Нагрузки'!B7-7.5*'Исходные данные'!B36*(B44-$B$6)),IF(B44&gt;$B$6,0.03*'Исходные данные'!B8+5,0))</x:f>
        <x:v>50.4925570403866</x:v>
      </x:c>
      <x:c r="D132" s="10" t="n">
        <x:f>MAX(B132,C132,ABS(F44-(C44+D44)))</x:f>
        <x:v>129.8976608155844</x:v>
      </x:c>
      <x:c r="E132" s="10" t="n">
        <x:f>MAX('Исходные данные'!B28*('Исходные данные'!B38+'Нагрузки'!B8)*(MAX($B$10-B44,0)),'Исходные данные'!B28*'Исходные данные'!B38*((MAX($B$10-B44,0))+($B$8)*'Нагрузки'!B9),'Исходные данные'!B28*'Исходные данные'!B38*((MAX($B$10-B44,0))+'Балластные случаи'!B12*'Нагрузки'!B10),0.75*'Исходные данные'!B28*'Исходные данные'!B38*((MAX($B$10-B44,0))+'Балластные случаи'!B13),'Исходные данные'!B28*'Исходные данные'!B38*(MAX($B$10-B44,0))+'Балластные случаи'!B14)</x:f>
        <x:v>126.63079489389766</x:v>
      </x:c>
      <x:c r="F132" s="10" t="n">
        <x:f>MAX(E132,F44)</x:f>
        <x:v>129.8976608155844</x:v>
      </x:c>
    </x:row>
    <x:row r="133" ht="40" customHeight="1">
      <x:c r="A133" s="10" t="str">
        <x:f>A45</x:f>
        <x:v>Обшивка K / 1</x:v>
      </x:c>
      <x:c r="B133" s="10" t="n">
        <x:f>F45-E45</x:f>
        <x:v>113.80926081558441</x:v>
      </x:c>
      <x:c r="C133" s="10" t="n">
        <x:f>10*MAX($B$6-B45,0)+MAX(IF(B45&lt;=$B$6,'Нагрузки'!B7-1.5*'Нагрузки'!B6*($B$6-B45)/$B$6,'Нагрузки'!B7-7.5*'Исходные данные'!B36*(B45-$B$6)),IF(B45&gt;$B$6,0.03*'Исходные данные'!B8+5,0))</x:f>
        <x:v>36.9130194757753</x:v>
      </x:c>
      <x:c r="D133" s="10" t="n">
        <x:f>MAX(B133,C133,ABS(F45-(C45+D45)))</x:f>
        <x:v>113.80926081558441</x:v>
      </x:c>
      <x:c r="E133" s="10" t="n">
        <x:f>MAX('Исходные данные'!B28*('Исходные данные'!B38+'Нагрузки'!B8)*(MAX($B$10-B45,0)),'Исходные данные'!B28*'Исходные данные'!B38*((MAX($B$10-B45,0))+($B$8)*'Нагрузки'!B9),'Исходные данные'!B28*'Исходные данные'!B38*((MAX($B$10-B45,0))+'Балластные случаи'!B12*'Нагрузки'!B10),0.75*'Исходные данные'!B28*'Исходные данные'!B38*((MAX($B$10-B45,0))+'Балластные случаи'!B13),'Исходные данные'!B28*'Исходные данные'!B38*(MAX($B$10-B45,0))+'Балластные случаи'!B14)</x:f>
        <x:v>110.54239489389765</x:v>
      </x:c>
      <x:c r="F133" s="10" t="n">
        <x:f>MAX(E133,F45)</x:f>
        <x:v>113.80926081558441</x:v>
      </x:c>
    </x:row>
    <x:row r="134" ht="40" customHeight="1">
      <x:c r="A134" s="10" t="str">
        <x:f>A46</x:f>
        <x:v>Обшивка K / 2</x:v>
      </x:c>
      <x:c r="B134" s="10" t="n">
        <x:f>F46-E46</x:f>
        <x:v>97.72086081558442</x:v>
      </x:c>
      <x:c r="C134" s="10" t="n">
        <x:f>10*MAX($B$6-B46,0)+MAX(IF(B46&lt;=$B$6,'Нагрузки'!B7-1.5*'Нагрузки'!B6*($B$6-B46)/$B$6,'Нагрузки'!B7-7.5*'Исходные данные'!B36*(B46-$B$6)),IF(B46&gt;$B$6,0.03*'Исходные данные'!B8+5,0))</x:f>
        <x:v>25.15494087817436</x:v>
      </x:c>
      <x:c r="D134" s="10" t="n">
        <x:f>MAX(B134,C134,ABS(F46-(C46+D46)))</x:f>
        <x:v>97.72086081558442</x:v>
      </x:c>
      <x:c r="E134" s="10" t="n">
        <x:f>MAX('Исходные данные'!B28*('Исходные данные'!B38+'Нагрузки'!B8)*(MAX($B$10-B46,0)),'Исходные данные'!B28*'Исходные данные'!B38*((MAX($B$10-B46,0))+($B$8)*'Нагрузки'!B9),'Исходные данные'!B28*'Исходные данные'!B38*((MAX($B$10-B46,0))+'Балластные случаи'!B12*'Нагрузки'!B10),0.75*'Исходные данные'!B28*'Исходные данные'!B38*((MAX($B$10-B46,0))+'Балластные случаи'!B13),'Исходные данные'!B28*'Исходные данные'!B38*(MAX($B$10-B46,0))+'Балластные случаи'!B14)</x:f>
        <x:v>94.45399489389766</x:v>
      </x:c>
      <x:c r="F134" s="10" t="n">
        <x:f>MAX(E134,F46)</x:f>
        <x:v>97.72086081558442</x:v>
      </x:c>
    </x:row>
    <x:row r="135" ht="40" customHeight="1">
      <x:c r="A135" s="10" t="str">
        <x:f>A47</x:f>
        <x:v>Обшивка K / 3</x:v>
      </x:c>
      <x:c r="B135" s="10" t="n">
        <x:f>F47-E47</x:f>
        <x:v>113.80926081558441</x:v>
      </x:c>
      <x:c r="C135" s="10" t="n">
        <x:f>10*MAX($B$6-B47,0)+MAX(IF(B47&lt;=$B$6,'Нагрузки'!B7-1.5*'Нагрузки'!B6*($B$6-B47)/$B$6,'Нагрузки'!B7-7.5*'Исходные данные'!B36*(B47-$B$6)),IF(B47&gt;$B$6,0.03*'Исходные данные'!B8+5,0))</x:f>
        <x:v>36.9130194757753</x:v>
      </x:c>
      <x:c r="D135" s="10" t="n">
        <x:f>MAX(B135,C135,ABS(F47-(C47+D47)))</x:f>
        <x:v>113.80926081558441</x:v>
      </x:c>
      <x:c r="E135" s="10" t="n">
        <x:f>MAX('Исходные данные'!B28*('Исходные данные'!B38+'Нагрузки'!B8)*(MAX($B$10-B47,0)),'Исходные данные'!B28*'Исходные данные'!B38*((MAX($B$10-B47,0))+($B$8)*'Нагрузки'!B9),'Исходные данные'!B28*'Исходные данные'!B38*((MAX($B$10-B47,0))+'Балластные случаи'!B12*'Нагрузки'!B10),0.75*'Исходные данные'!B28*'Исходные данные'!B38*((MAX($B$10-B47,0))+'Балластные случаи'!B13),'Исходные данные'!B28*'Исходные данные'!B38*(MAX($B$10-B47,0))+'Балластные случаи'!B14)</x:f>
        <x:v>110.54239489389765</x:v>
      </x:c>
      <x:c r="F135" s="10" t="n">
        <x:f>MAX(E135,F47)</x:f>
        <x:v>113.80926081558441</x:v>
      </x:c>
    </x:row>
    <x:row r="136" ht="40" customHeight="1">
      <x:c r="A136" s="10" t="str">
        <x:f>A48</x:f>
        <x:v>Обшивка L / 1</x:v>
      </x:c>
      <x:c r="B136" s="10" t="n">
        <x:f>F48-E48</x:f>
        <x:v>97.72086081558442</x:v>
      </x:c>
      <x:c r="C136" s="10" t="n">
        <x:f>10*MAX($B$6-B48,0)+MAX(IF(B48&lt;=$B$6,'Нагрузки'!B7-1.5*'Нагрузки'!B6*($B$6-B48)/$B$6,'Нагрузки'!B7-7.5*'Исходные данные'!B36*(B48-$B$6)),IF(B48&gt;$B$6,0.03*'Исходные данные'!B8+5,0))</x:f>
        <x:v>25.15494087817436</x:v>
      </x:c>
      <x:c r="D136" s="10" t="n">
        <x:f>MAX(B136,C136,ABS(F48-(C48+D48)))</x:f>
        <x:v>97.72086081558442</x:v>
      </x:c>
      <x:c r="E136" s="10" t="n">
        <x:f>MAX('Исходные данные'!B28*('Исходные данные'!B38+'Нагрузки'!B8)*(MAX($B$10-B48,0)),'Исходные данные'!B28*'Исходные данные'!B38*((MAX($B$10-B48,0))+($B$8)*'Нагрузки'!B9),'Исходные данные'!B28*'Исходные данные'!B38*((MAX($B$10-B48,0))+'Балластные случаи'!B12*'Нагрузки'!B10),0.75*'Исходные данные'!B28*'Исходные данные'!B38*((MAX($B$10-B48,0))+'Балластные случаи'!B13),'Исходные данные'!B28*'Исходные данные'!B38*(MAX($B$10-B48,0))+'Балластные случаи'!B14)</x:f>
        <x:v>94.45399489389766</x:v>
      </x:c>
      <x:c r="F136" s="10" t="n">
        <x:f>MAX(E136,F48)</x:f>
        <x:v>97.72086081558442</x:v>
      </x:c>
    </x:row>
    <x:row r="137" ht="40" customHeight="1">
      <x:c r="A137" s="10" t="str">
        <x:f>A49</x:f>
        <x:v>Обшивка L / 2</x:v>
      </x:c>
      <x:c r="B137" s="10" t="n">
        <x:f>F49-E49</x:f>
        <x:v>81.63246081558444</x:v>
      </x:c>
      <x:c r="C137" s="10" t="n">
        <x:f>10*MAX($B$6-B49,0)+MAX(IF(B49&lt;=$B$6,'Нагрузки'!B7-1.5*'Нагрузки'!B6*($B$6-B49)/$B$6,'Нагрузки'!B7-7.5*'Исходные данные'!B36*(B49-$B$6)),IF(B49&gt;$B$6,0.03*'Исходные данные'!B8+5,0))</x:f>
        <x:v>21.950940878174364</x:v>
      </x:c>
      <x:c r="D137" s="10" t="n">
        <x:f>MAX(B137,C137,ABS(F49-(C49+D49)))</x:f>
        <x:v>81.63246081558444</x:v>
      </x:c>
      <x:c r="E137" s="10" t="n">
        <x:f>MAX('Исходные данные'!B28*('Исходные данные'!B38+'Нагрузки'!B8)*(MAX($B$10-B49,0)),'Исходные данные'!B28*'Исходные данные'!B38*((MAX($B$10-B49,0))+($B$8)*'Нагрузки'!B9),'Исходные данные'!B28*'Исходные данные'!B38*((MAX($B$10-B49,0))+'Балластные случаи'!B12*'Нагрузки'!B10),0.75*'Исходные данные'!B28*'Исходные данные'!B38*((MAX($B$10-B49,0))+'Балластные случаи'!B13),'Исходные данные'!B28*'Исходные данные'!B38*(MAX($B$10-B49,0))+'Балластные случаи'!B14)</x:f>
        <x:v>78.36559489389768</x:v>
      </x:c>
      <x:c r="F137" s="10" t="n">
        <x:f>MAX(E137,F49)</x:f>
        <x:v>81.63246081558444</x:v>
      </x:c>
    </x:row>
    <x:row r="138" ht="40" customHeight="1">
      <x:c r="A138" s="10" t="str">
        <x:f>A50</x:f>
        <x:v>Обшивка L / 3</x:v>
      </x:c>
      <x:c r="B138" s="10" t="n">
        <x:f>F50-E50</x:f>
        <x:v>97.72086081558442</x:v>
      </x:c>
      <x:c r="C138" s="10" t="n">
        <x:f>10*MAX($B$6-B50,0)+MAX(IF(B50&lt;=$B$6,'Нагрузки'!B7-1.5*'Нагрузки'!B6*($B$6-B50)/$B$6,'Нагрузки'!B7-7.5*'Исходные данные'!B36*(B50-$B$6)),IF(B50&gt;$B$6,0.03*'Исходные данные'!B8+5,0))</x:f>
        <x:v>25.15494087817436</x:v>
      </x:c>
      <x:c r="D138" s="10" t="n">
        <x:f>MAX(B138,C138,ABS(F50-(C50+D50)))</x:f>
        <x:v>97.72086081558442</x:v>
      </x:c>
      <x:c r="E138" s="10" t="n">
        <x:f>MAX('Исходные данные'!B28*('Исходные данные'!B38+'Нагрузки'!B8)*(MAX($B$10-B50,0)),'Исходные данные'!B28*'Исходные данные'!B38*((MAX($B$10-B50,0))+($B$8)*'Нагрузки'!B9),'Исходные данные'!B28*'Исходные данные'!B38*((MAX($B$10-B50,0))+'Балластные случаи'!B12*'Нагрузки'!B10),0.75*'Исходные данные'!B28*'Исходные данные'!B38*((MAX($B$10-B50,0))+'Балластные случаи'!B13),'Исходные данные'!B28*'Исходные данные'!B38*(MAX($B$10-B50,0))+'Балластные случаи'!B14)</x:f>
        <x:v>94.45399489389766</x:v>
      </x:c>
      <x:c r="F138" s="10" t="n">
        <x:f>MAX(E138,F50)</x:f>
        <x:v>97.72086081558442</x:v>
      </x:c>
    </x:row>
    <x:row r="139" ht="40" customHeight="1">
      <x:c r="A139" s="10" t="str">
        <x:f>A51</x:f>
        <x:v>Обшивка M / 1</x:v>
      </x:c>
      <x:c r="B139" s="10" t="n">
        <x:f>F51-E51</x:f>
        <x:v>81.6324608155844</x:v>
      </x:c>
      <x:c r="C139" s="10" t="n">
        <x:f>10*MAX($B$6-B51,0)+MAX(IF(B51&lt;=$B$6,'Нагрузки'!B7-1.5*'Нагрузки'!B6*($B$6-B51)/$B$6,'Нагрузки'!B7-7.5*'Исходные данные'!B36*(B51-$B$6)),IF(B51&gt;$B$6,0.03*'Исходные данные'!B8+5,0))</x:f>
        <x:v>21.950940878174357</x:v>
      </x:c>
      <x:c r="D139" s="10" t="n">
        <x:f>MAX(B139,C139,ABS(F51-(C51+D51)))</x:f>
        <x:v>81.6324608155844</x:v>
      </x:c>
      <x:c r="E139" s="10" t="n">
        <x:f>MAX('Исходные данные'!B28*('Исходные данные'!B38+'Нагрузки'!B8)*(MAX($B$10-B51,0)),'Исходные данные'!B28*'Исходные данные'!B38*((MAX($B$10-B51,0))+($B$8)*'Нагрузки'!B9),'Исходные данные'!B28*'Исходные данные'!B38*((MAX($B$10-B51,0))+'Балластные случаи'!B12*'Нагрузки'!B10),0.75*'Исходные данные'!B28*'Исходные данные'!B38*((MAX($B$10-B51,0))+'Балластные случаи'!B13),'Исходные данные'!B28*'Исходные данные'!B38*(MAX($B$10-B51,0))+'Балластные случаи'!B14)</x:f>
        <x:v>78.36559489389765</x:v>
      </x:c>
      <x:c r="F139" s="10" t="n">
        <x:f>MAX(E139,F51)</x:f>
        <x:v>81.6324608155844</x:v>
      </x:c>
    </x:row>
    <x:row r="140" ht="40" customHeight="1">
      <x:c r="A140" s="10" t="str">
        <x:f>A52</x:f>
        <x:v>Обшивка M / 2</x:v>
      </x:c>
      <x:c r="B140" s="10" t="n">
        <x:f>F52-E52</x:f>
        <x:v>70.27447848008136</x:v>
      </x:c>
      <x:c r="C140" s="10" t="n">
        <x:f>10*MAX($B$6-B52,0)+MAX(IF(B52&lt;=$B$6,'Нагрузки'!B7-1.5*'Нагрузки'!B6*($B$6-B52)/$B$6,'Нагрузки'!B7-7.5*'Исходные данные'!B36*(B52-$B$6)),IF(B52&gt;$B$6,0.03*'Исходные данные'!B8+5,0))</x:f>
        <x:v>19.68900212708962</x:v>
      </x:c>
      <x:c r="D140" s="10" t="n">
        <x:f>MAX(B140,C140,ABS(F52-(C52+D52)))</x:f>
        <x:v>70.27447848008136</x:v>
      </x:c>
      <x:c r="E140" s="10" t="n">
        <x:f>MAX('Исходные данные'!B28*('Исходные данные'!B38+'Нагрузки'!B8)*(MAX($B$10-B52,0)),'Исходные данные'!B28*'Исходные данные'!B38*((MAX($B$10-B52,0))+($B$8)*'Нагрузки'!B9),'Исходные данные'!B28*'Исходные данные'!B38*((MAX($B$10-B52,0))+'Балластные случаи'!B12*'Нагрузки'!B10),0.75*'Исходные данные'!B28*'Исходные данные'!B38*((MAX($B$10-B52,0))+'Балластные случаи'!B13),'Исходные данные'!B28*'Исходные данные'!B38*(MAX($B$10-B52,0))+'Балластные случаи'!B14)</x:f>
        <x:v>67.00761255839461</x:v>
      </x:c>
      <x:c r="F140" s="10" t="n">
        <x:f>MAX(E140,F52)</x:f>
        <x:v>70.27447848008136</x:v>
      </x:c>
    </x:row>
    <x:row r="141" ht="40" customHeight="1">
      <x:c r="A141" s="10" t="str">
        <x:f>A53</x:f>
        <x:v>Обшивка M / 3</x:v>
      </x:c>
      <x:c r="B141" s="10" t="n">
        <x:f>F53-E53</x:f>
        <x:v>81.6324608155844</x:v>
      </x:c>
      <x:c r="C141" s="10" t="n">
        <x:f>10*MAX($B$6-B53,0)+MAX(IF(B53&lt;=$B$6,'Нагрузки'!B7-1.5*'Нагрузки'!B6*($B$6-B53)/$B$6,'Нагрузки'!B7-7.5*'Исходные данные'!B36*(B53-$B$6)),IF(B53&gt;$B$6,0.03*'Исходные данные'!B8+5,0))</x:f>
        <x:v>21.950940878174357</x:v>
      </x:c>
      <x:c r="D141" s="10" t="n">
        <x:f>MAX(B141,C141,ABS(F53-(C53+D53)))</x:f>
        <x:v>81.6324608155844</x:v>
      </x:c>
      <x:c r="E141" s="10" t="n">
        <x:f>MAX('Исходные данные'!B28*('Исходные данные'!B38+'Нагрузки'!B8)*(MAX($B$10-B53,0)),'Исходные данные'!B28*'Исходные данные'!B38*((MAX($B$10-B53,0))+($B$8)*'Нагрузки'!B9),'Исходные данные'!B28*'Исходные данные'!B38*((MAX($B$10-B53,0))+'Балластные случаи'!B12*'Нагрузки'!B10),0.75*'Исходные данные'!B28*'Исходные данные'!B38*((MAX($B$10-B53,0))+'Балластные случаи'!B13),'Исходные данные'!B28*'Исходные данные'!B38*(MAX($B$10-B53,0))+'Балластные случаи'!B14)</x:f>
        <x:v>78.36559489389765</x:v>
      </x:c>
      <x:c r="F141" s="10" t="n">
        <x:f>MAX(E141,F53)</x:f>
        <x:v>81.6324608155844</x:v>
      </x:c>
    </x:row>
    <x:row r="142" ht="40" customHeight="1">
      <x:c r="A142" s="10" t="str">
        <x:f>A54</x:f>
        <x:v>Обшивка N / 1</x:v>
      </x:c>
      <x:c r="B142" s="10" t="n">
        <x:f>F54-E54</x:f>
        <x:v>70.27447848008134</x:v>
      </x:c>
      <x:c r="C142" s="10" t="n">
        <x:f>10*MAX($B$6-B54,0)+MAX(IF(B54&lt;=$B$6,'Нагрузки'!B7-1.5*'Нагрузки'!B6*($B$6-B54)/$B$6,'Нагрузки'!B7-7.5*'Исходные данные'!B36*(B54-$B$6)),IF(B54&gt;$B$6,0.03*'Исходные данные'!B8+5,0))</x:f>
        <x:v>19.689002127089616</x:v>
      </x:c>
      <x:c r="D142" s="10" t="n">
        <x:f>MAX(B142,C142,ABS(F54-(C54+D54)))</x:f>
        <x:v>70.27447848008134</x:v>
      </x:c>
      <x:c r="E142" s="10" t="n">
        <x:f>MAX('Исходные данные'!B28*('Исходные данные'!B38+'Нагрузки'!B8)*(MAX($B$10-B54,0)),'Исходные данные'!B28*'Исходные данные'!B38*((MAX($B$10-B54,0))+($B$8)*'Нагрузки'!B9),'Исходные данные'!B28*'Исходные данные'!B38*((MAX($B$10-B54,0))+'Балластные случаи'!B12*'Нагрузки'!B10),0.75*'Исходные данные'!B28*'Исходные данные'!B38*((MAX($B$10-B54,0))+'Балластные случаи'!B13),'Исходные данные'!B28*'Исходные данные'!B38*(MAX($B$10-B54,0))+'Балластные случаи'!B14)</x:f>
        <x:v>67.0076125583946</x:v>
      </x:c>
      <x:c r="F142" s="10" t="n">
        <x:f>MAX(E142,F54)</x:f>
        <x:v>70.27447848008134</x:v>
      </x:c>
    </x:row>
    <x:row r="143" ht="40" customHeight="1">
      <x:c r="A143" s="10" t="str">
        <x:f>A55</x:f>
        <x:v>Обшивка N / 2</x:v>
      </x:c>
      <x:c r="B143" s="10" t="n">
        <x:f>F55-E55</x:f>
        <x:v>58.91649614457829</x:v>
      </x:c>
      <x:c r="C143" s="10" t="n">
        <x:f>10*MAX($B$6-B55,0)+MAX(IF(B55&lt;=$B$6,'Нагрузки'!B7-1.5*'Нагрузки'!B6*($B$6-B55)/$B$6,'Нагрузки'!B7-7.5*'Исходные данные'!B36*(B55-$B$6)),IF(B55&gt;$B$6,0.03*'Исходные данные'!B8+5,0))</x:f>
        <x:v>17.427063376004874</x:v>
      </x:c>
      <x:c r="D143" s="10" t="n">
        <x:f>MAX(B143,C143,ABS(F55-(C55+D55)))</x:f>
        <x:v>58.91649614457829</x:v>
      </x:c>
      <x:c r="E143" s="10" t="n">
        <x:f>MAX('Исходные данные'!B28*('Исходные данные'!B38+'Нагрузки'!B8)*(MAX($B$10-B55,0)),'Исходные данные'!B28*'Исходные данные'!B38*((MAX($B$10-B55,0))+($B$8)*'Нагрузки'!B9),'Исходные данные'!B28*'Исходные данные'!B38*((MAX($B$10-B55,0))+'Балластные случаи'!B12*'Нагрузки'!B10),0.75*'Исходные данные'!B28*'Исходные данные'!B38*((MAX($B$10-B55,0))+'Балластные случаи'!B13),'Исходные данные'!B28*'Исходные данные'!B38*(MAX($B$10-B55,0))+'Балластные случаи'!B14)</x:f>
        <x:v>55.649630222891545</x:v>
      </x:c>
      <x:c r="F143" s="10" t="n">
        <x:f>MAX(E143,F55)</x:f>
        <x:v>58.91649614457829</x:v>
      </x:c>
    </x:row>
    <x:row r="144" ht="40" customHeight="1">
      <x:c r="A144" s="10" t="str">
        <x:f>A56</x:f>
        <x:v>Обшивка N / 3</x:v>
      </x:c>
      <x:c r="B144" s="10" t="n">
        <x:f>F56-E56</x:f>
        <x:v>70.27447848008134</x:v>
      </x:c>
      <x:c r="C144" s="10" t="n">
        <x:f>10*MAX($B$6-B56,0)+MAX(IF(B56&lt;=$B$6,'Нагрузки'!B7-1.5*'Нагрузки'!B6*($B$6-B56)/$B$6,'Нагрузки'!B7-7.5*'Исходные данные'!B36*(B56-$B$6)),IF(B56&gt;$B$6,0.03*'Исходные данные'!B8+5,0))</x:f>
        <x:v>19.689002127089616</x:v>
      </x:c>
      <x:c r="D144" s="10" t="n">
        <x:f>MAX(B144,C144,ABS(F56-(C56+D56)))</x:f>
        <x:v>70.27447848008134</x:v>
      </x:c>
      <x:c r="E144" s="10" t="n">
        <x:f>MAX('Исходные данные'!B28*('Исходные данные'!B38+'Нагрузки'!B8)*(MAX($B$10-B56,0)),'Исходные данные'!B28*'Исходные данные'!B38*((MAX($B$10-B56,0))+($B$8)*'Нагрузки'!B9),'Исходные данные'!B28*'Исходные данные'!B38*((MAX($B$10-B56,0))+'Балластные случаи'!B12*'Нагрузки'!B10),0.75*'Исходные данные'!B28*'Исходные данные'!B38*((MAX($B$10-B56,0))+'Балластные случаи'!B13),'Исходные данные'!B28*'Исходные данные'!B38*(MAX($B$10-B56,0))+'Балластные случаи'!B14)</x:f>
        <x:v>67.0076125583946</x:v>
      </x:c>
      <x:c r="F144" s="10" t="n">
        <x:f>MAX(E144,F56)</x:f>
        <x:v>70.27447848008134</x:v>
      </x:c>
    </x:row>
    <x:row r="145" ht="40" customHeight="1">
      <x:c r="A145" s="10" t="str">
        <x:f>A57</x:f>
        <x:v>Обшивка SH / 1</x:v>
      </x:c>
      <x:c r="B145" s="10" t="n">
        <x:f>F57-E57</x:f>
        <x:v>58.91649614457829</x:v>
      </x:c>
      <x:c r="C145" s="10" t="n">
        <x:f>10*MAX($B$6-B57,0)+MAX(IF(B57&lt;=$B$6,'Нагрузки'!B7-1.5*'Нагрузки'!B6*($B$6-B57)/$B$6,'Нагрузки'!B7-7.5*'Исходные данные'!B36*(B57-$B$6)),IF(B57&gt;$B$6,0.03*'Исходные данные'!B8+5,0))</x:f>
        <x:v>17.427063376004874</x:v>
      </x:c>
      <x:c r="D145" s="10" t="n">
        <x:f>MAX(B145,C145,ABS(F57-(C57+D57)))</x:f>
        <x:v>58.91649614457829</x:v>
      </x:c>
      <x:c r="E145" s="10" t="n">
        <x:f>MAX('Исходные данные'!B28*('Исходные данные'!B38+'Нагрузки'!B8)*(MAX($B$10-B57,0)),'Исходные данные'!B28*'Исходные данные'!B38*((MAX($B$10-B57,0))+($B$8)*'Нагрузки'!B9),'Исходные данные'!B28*'Исходные данные'!B38*((MAX($B$10-B57,0))+'Балластные случаи'!B12*'Нагрузки'!B10),0.75*'Исходные данные'!B28*'Исходные данные'!B38*((MAX($B$10-B57,0))+'Балластные случаи'!B13),'Исходные данные'!B28*'Исходные данные'!B38*(MAX($B$10-B57,0))+'Балластные случаи'!B14)</x:f>
        <x:v>55.649630222891545</x:v>
      </x:c>
      <x:c r="F145" s="10" t="n">
        <x:f>MAX(E145,F57)</x:f>
        <x:v>58.91649614457829</x:v>
      </x:c>
    </x:row>
    <x:row r="146" ht="40" customHeight="1">
      <x:c r="A146" s="10" t="str">
        <x:f>A58</x:f>
        <x:v>Обшивка SH / 2</x:v>
      </x:c>
      <x:c r="B146" s="10" t="n">
        <x:f>F58-E58</x:f>
        <x:v>44.2358311445783</x:v>
      </x:c>
      <x:c r="C146" s="10" t="n">
        <x:f>10*MAX($B$6-B58,0)+MAX(IF(B58&lt;=$B$6,'Нагрузки'!B7-1.5*'Нагрузки'!B6*($B$6-B58)/$B$6,'Нагрузки'!B7-7.5*'Исходные данные'!B36*(B58-$B$6)),IF(B58&gt;$B$6,0.03*'Исходные данные'!B8+5,0))</x:f>
        <x:v>14.503413376004875</x:v>
      </x:c>
      <x:c r="D146" s="10" t="n">
        <x:f>MAX(B146,C146,ABS(F58-(C58+D58)))</x:f>
        <x:v>44.2358311445783</x:v>
      </x:c>
      <x:c r="E146" s="10" t="n">
        <x:f>MAX('Исходные данные'!B28*('Исходные данные'!B38+'Нагрузки'!B8)*(MAX($B$10-B58,0)),'Исходные данные'!B28*'Исходные данные'!B38*((MAX($B$10-B58,0))+($B$8)*'Нагрузки'!B9),'Исходные данные'!B28*'Исходные данные'!B38*((MAX($B$10-B58,0))+'Балластные случаи'!B12*'Нагрузки'!B10),0.75*'Исходные данные'!B28*'Исходные данные'!B38*((MAX($B$10-B58,0))+'Балластные случаи'!B13),'Исходные данные'!B28*'Исходные данные'!B38*(MAX($B$10-B58,0))+'Балластные случаи'!B14)</x:f>
        <x:v>40.968965222891555</x:v>
      </x:c>
      <x:c r="F146" s="10" t="n">
        <x:f>MAX(E146,F58)</x:f>
        <x:v>44.2358311445783</x:v>
      </x:c>
    </x:row>
    <x:row r="147" ht="40" customHeight="1">
      <x:c r="A147" s="10" t="str">
        <x:f>A59</x:f>
        <x:v>Обшивка SH / 3</x:v>
      </x:c>
      <x:c r="B147" s="10" t="n">
        <x:f>F59-E59</x:f>
        <x:v>58.91649614457829</x:v>
      </x:c>
      <x:c r="C147" s="10" t="n">
        <x:f>10*MAX($B$6-B59,0)+MAX(IF(B59&lt;=$B$6,'Нагрузки'!B7-1.5*'Нагрузки'!B6*($B$6-B59)/$B$6,'Нагрузки'!B7-7.5*'Исходные данные'!B36*(B59-$B$6)),IF(B59&gt;$B$6,0.03*'Исходные данные'!B8+5,0))</x:f>
        <x:v>17.427063376004874</x:v>
      </x:c>
      <x:c r="D147" s="10" t="n">
        <x:f>MAX(B147,C147,ABS(F59-(C59+D59)))</x:f>
        <x:v>58.91649614457829</x:v>
      </x:c>
      <x:c r="E147" s="10" t="n">
        <x:f>MAX('Исходные данные'!B28*('Исходные данные'!B38+'Нагрузки'!B8)*(MAX($B$10-B59,0)),'Исходные данные'!B28*'Исходные данные'!B38*((MAX($B$10-B59,0))+($B$8)*'Нагрузки'!B9),'Исходные данные'!B28*'Исходные данные'!B38*((MAX($B$10-B59,0))+'Балластные случаи'!B12*'Нагрузки'!B10),0.75*'Исходные данные'!B28*'Исходные данные'!B38*((MAX($B$10-B59,0))+'Балластные случаи'!B13),'Исходные данные'!B28*'Исходные данные'!B38*(MAX($B$10-B59,0))+'Балластные случаи'!B14)</x:f>
        <x:v>55.649630222891545</x:v>
      </x:c>
      <x:c r="F147" s="10" t="n">
        <x:f>MAX(E147,F59)</x:f>
        <x:v>58.91649614457829</x:v>
      </x:c>
    </x:row>
    <x:row r="148" ht="40" customHeight="1">
      <x:c r="A148" s="10" t="str">
        <x:f>A60</x:f>
        <x:v>ISG / 1</x:v>
      </x:c>
      <x:c r="B148" s="10" t="n">
        <x:f>F60-E60</x:f>
        <x:v>157.36240422016786</x:v>
      </x:c>
      <x:c r="C148" s="10" t="n">
        <x:f>10*MAX($B$6-B60,0)+MAX(IF(B60&lt;=$B$6,'Нагрузки'!B7-1.5*'Нагрузки'!B6*($B$6-B60)/$B$6,'Нагрузки'!B7-7.5*'Исходные данные'!B36*(B60-$B$6)),IF(B60&gt;$B$6,0.03*'Исходные данные'!B8+5,0))</x:f>
        <x:v>82.58172692781471</x:v>
      </x:c>
      <x:c r="D148" s="10" t="n">
        <x:f>MAX(B148,C148,ABS(F60-(C60+D60)))</x:f>
        <x:v>157.36240422016786</x:v>
      </x:c>
      <x:c r="E148" s="10" t="n">
        <x:f>MAX('Исходные данные'!B28*('Исходные данные'!B38+'Нагрузки'!B8)*(MAX($B$10-B60,0)),'Исходные данные'!B28*'Исходные данные'!B38*((MAX($B$10-B60,0))+($B$8)*'Нагрузки'!B9),'Исходные данные'!B28*'Исходные данные'!B38*((MAX($B$10-B60,0))+'Балластные случаи'!B12*'Нагрузки'!B10),0.75*'Исходные данные'!B28*'Исходные данные'!B38*((MAX($B$10-B60,0))+'Балластные случаи'!B13),'Исходные данные'!B28*'Исходные данные'!B38*(MAX($B$10-B60,0))+'Балластные случаи'!B14)</x:f>
        <x:v>164.6485402228915</x:v>
      </x:c>
      <x:c r="F148" s="10" t="n">
        <x:f>MAX(E148,F60)</x:f>
        <x:v>167.91540614457827</x:v>
      </x:c>
    </x:row>
    <x:row r="149" ht="40" customHeight="1">
      <x:c r="A149" s="10" t="str">
        <x:f>A61</x:f>
        <x:v>ISG / 2</x:v>
      </x:c>
      <x:c r="B149" s="10" t="n">
        <x:f>F61-E61</x:f>
        <x:v>150.82148114457829</x:v>
      </x:c>
      <x:c r="C149" s="10" t="n">
        <x:f>10*MAX($B$6-B61,0)+MAX(IF(B61&lt;=$B$6,'Нагрузки'!B7-1.5*'Нагрузки'!B6*($B$6-B61)/$B$6,'Нагрузки'!B7-7.5*'Исходные данные'!B36*(B61-$B$6)),IF(B61&gt;$B$6,0.03*'Исходные данные'!B8+5,0))</x:f>
        <x:v>68.1534682654152</x:v>
      </x:c>
      <x:c r="D149" s="10" t="n">
        <x:f>MAX(B149,C149,ABS(F61-(C61+D61)))</x:f>
        <x:v>150.82148114457829</x:v>
      </x:c>
      <x:c r="E149" s="10" t="n">
        <x:f>MAX('Исходные данные'!B28*('Исходные данные'!B38+'Нагрузки'!B8)*(MAX($B$10-B61,0)),'Исходные данные'!B28*'Исходные данные'!B38*((MAX($B$10-B61,0))+($B$8)*'Нагрузки'!B9),'Исходные данные'!B28*'Исходные данные'!B38*((MAX($B$10-B61,0))+'Балластные случаи'!B12*'Нагрузки'!B10),0.75*'Исходные данные'!B28*'Исходные данные'!B38*((MAX($B$10-B61,0))+'Балластные случаи'!B13),'Исходные данные'!B28*'Исходные данные'!B38*(MAX($B$10-B61,0))+'Балластные случаи'!B14)</x:f>
        <x:v>147.55461522289153</x:v>
      </x:c>
      <x:c r="F149" s="10" t="n">
        <x:f>MAX(E149,F61)</x:f>
        <x:v>150.82148114457829</x:v>
      </x:c>
    </x:row>
    <x:row r="150" ht="40" customHeight="1">
      <x:c r="A150" s="10" t="str">
        <x:f>A62</x:f>
        <x:v>ISG / 3</x:v>
      </x:c>
      <x:c r="B150" s="10" t="n">
        <x:f>F62-E62</x:f>
        <x:v>159.60667508403913</x:v>
      </x:c>
      <x:c r="C150" s="10" t="n">
        <x:f>10*MAX($B$6-B62,0)+MAX(IF(B62&lt;=$B$6,'Нагрузки'!B7-1.5*'Нагрузки'!B6*($B$6-B62)/$B$6,'Нагрузки'!B7-7.5*'Исходные данные'!B36*(B62-$B$6)),IF(B62&gt;$B$6,0.03*'Исходные данные'!B8+5,0))</x:f>
        <x:v>75.56867867249758</x:v>
      </x:c>
      <x:c r="D150" s="10" t="n">
        <x:f>MAX(B150,C150,ABS(F62-(C62+D62)))</x:f>
        <x:v>159.60667508403913</x:v>
      </x:c>
      <x:c r="E150" s="10" t="n">
        <x:f>MAX('Исходные данные'!B28*('Исходные данные'!B38+'Нагрузки'!B8)*(MAX($B$10-B62,0)),'Исходные данные'!B28*'Исходные данные'!B38*((MAX($B$10-B62,0))+($B$8)*'Нагрузки'!B9),'Исходные данные'!B28*'Исходные данные'!B38*((MAX($B$10-B62,0))+'Балластные случаи'!B12*'Нагрузки'!B10),0.75*'Исходные данные'!B28*'Исходные данные'!B38*((MAX($B$10-B62,0))+'Балластные случаи'!B13),'Исходные данные'!B28*'Исходные данные'!B38*(MAX($B$10-B62,0))+'Балластные случаи'!B14)</x:f>
        <x:v>156.3398091623524</x:v>
      </x:c>
      <x:c r="F150" s="10" t="n">
        <x:f>MAX(E150,F62)</x:f>
        <x:v>159.60667508403913</x:v>
      </x:c>
    </x:row>
    <x:row r="151" ht="40" customHeight="1">
      <x:c r="A151" s="10" t="str">
        <x:f>A63</x:f>
        <x:v>ISF / 1</x:v>
      </x:c>
      <x:c r="B151" s="10" t="n">
        <x:f>F63-E63</x:f>
        <x:v>150.82148114457829</x:v>
      </x:c>
      <x:c r="C151" s="10" t="n">
        <x:f>10*MAX($B$6-B63,0)+MAX(IF(B63&lt;=$B$6,'Нагрузки'!B7-1.5*'Нагрузки'!B6*($B$6-B63)/$B$6,'Нагрузки'!B7-7.5*'Исходные данные'!B36*(B63-$B$6)),IF(B63&gt;$B$6,0.03*'Исходные данные'!B8+5,0))</x:f>
        <x:v>68.1534682654152</x:v>
      </x:c>
      <x:c r="D151" s="10" t="n">
        <x:f>MAX(B151,C151,ABS(F63-(C63+D63)))</x:f>
        <x:v>150.82148114457829</x:v>
      </x:c>
      <x:c r="E151" s="10" t="n">
        <x:f>MAX('Исходные данные'!B28*('Исходные данные'!B38+'Нагрузки'!B8)*(MAX($B$10-B63,0)),'Исходные данные'!B28*'Исходные данные'!B38*((MAX($B$10-B63,0))+($B$8)*'Нагрузки'!B9),'Исходные данные'!B28*'Исходные данные'!B38*((MAX($B$10-B63,0))+'Балластные случаи'!B12*'Нагрузки'!B10),0.75*'Исходные данные'!B28*'Исходные данные'!B38*((MAX($B$10-B63,0))+'Балластные случаи'!B13),'Исходные данные'!B28*'Исходные данные'!B38*(MAX($B$10-B63,0))+'Балластные случаи'!B14)</x:f>
        <x:v>147.55461522289153</x:v>
      </x:c>
      <x:c r="F151" s="10" t="n">
        <x:f>MAX(E151,F63)</x:f>
        <x:v>150.82148114457829</x:v>
      </x:c>
    </x:row>
    <x:row r="152" ht="40" customHeight="1">
      <x:c r="A152" s="10" t="str">
        <x:f>A64</x:f>
        <x:v>ISF / 2</x:v>
      </x:c>
      <x:c r="B152" s="10" t="n">
        <x:f>F64-E64</x:f>
        <x:v>133.7275561445783</x:v>
      </x:c>
      <x:c r="C152" s="10" t="n">
        <x:f>10*MAX($B$6-B64,0)+MAX(IF(B64&lt;=$B$6,'Нагрузки'!B7-1.5*'Нагрузки'!B6*($B$6-B64)/$B$6,'Нагрузки'!B7-7.5*'Исходные данные'!B36*(B64-$B$6)),IF(B64&gt;$B$6,0.03*'Исходные данные'!B8+5,0))</x:f>
        <x:v>53.72520960301569</x:v>
      </x:c>
      <x:c r="D152" s="10" t="n">
        <x:f>MAX(B152,C152,ABS(F64-(C64+D64)))</x:f>
        <x:v>133.7275561445783</x:v>
      </x:c>
      <x:c r="E152" s="10" t="n">
        <x:f>MAX('Исходные данные'!B28*('Исходные данные'!B38+'Нагрузки'!B8)*(MAX($B$10-B64,0)),'Исходные данные'!B28*'Исходные данные'!B38*((MAX($B$10-B64,0))+($B$8)*'Нагрузки'!B9),'Исходные данные'!B28*'Исходные данные'!B38*((MAX($B$10-B64,0))+'Балластные случаи'!B12*'Нагрузки'!B10),0.75*'Исходные данные'!B28*'Исходные данные'!B38*((MAX($B$10-B64,0))+'Балластные случаи'!B13),'Исходные данные'!B28*'Исходные данные'!B38*(MAX($B$10-B64,0))+'Балластные случаи'!B14)</x:f>
        <x:v>130.46069022289154</x:v>
      </x:c>
      <x:c r="F152" s="10" t="n">
        <x:f>MAX(E152,F64)</x:f>
        <x:v>133.7275561445783</x:v>
      </x:c>
    </x:row>
    <x:row r="153" ht="40" customHeight="1">
      <x:c r="A153" s="10" t="str">
        <x:f>A65</x:f>
        <x:v>ISF / 3</x:v>
      </x:c>
      <x:c r="B153" s="10" t="n">
        <x:f>F65-E65</x:f>
        <x:v>150.82148114457829</x:v>
      </x:c>
      <x:c r="C153" s="10" t="n">
        <x:f>10*MAX($B$6-B65,0)+MAX(IF(B65&lt;=$B$6,'Нагрузки'!B7-1.5*'Нагрузки'!B6*($B$6-B65)/$B$6,'Нагрузки'!B7-7.5*'Исходные данные'!B36*(B65-$B$6)),IF(B65&gt;$B$6,0.03*'Исходные данные'!B8+5,0))</x:f>
        <x:v>68.1534682654152</x:v>
      </x:c>
      <x:c r="D153" s="10" t="n">
        <x:f>MAX(B153,C153,ABS(F65-(C65+D65)))</x:f>
        <x:v>150.82148114457829</x:v>
      </x:c>
      <x:c r="E153" s="10" t="n">
        <x:f>MAX('Исходные данные'!B28*('Исходные данные'!B38+'Нагрузки'!B8)*(MAX($B$10-B65,0)),'Исходные данные'!B28*'Исходные данные'!B38*((MAX($B$10-B65,0))+($B$8)*'Нагрузки'!B9),'Исходные данные'!B28*'Исходные данные'!B38*((MAX($B$10-B65,0))+'Балластные случаи'!B12*'Нагрузки'!B10),0.75*'Исходные данные'!B28*'Исходные данные'!B38*((MAX($B$10-B65,0))+'Балластные случаи'!B13),'Исходные данные'!B28*'Исходные данные'!B38*(MAX($B$10-B65,0))+'Балластные случаи'!B14)</x:f>
        <x:v>147.55461522289153</x:v>
      </x:c>
      <x:c r="F153" s="10" t="n">
        <x:f>MAX(E153,F65)</x:f>
        <x:v>150.82148114457829</x:v>
      </x:c>
    </x:row>
    <x:row r="154" ht="40" customHeight="1">
      <x:c r="A154" s="10" t="str">
        <x:f>A66</x:f>
        <x:v>ISE / 1</x:v>
      </x:c>
      <x:c r="B154" s="10" t="n">
        <x:f>F66-E66</x:f>
        <x:v>133.7275561445783</x:v>
      </x:c>
      <x:c r="C154" s="10" t="n">
        <x:f>10*MAX($B$6-B66,0)+MAX(IF(B66&lt;=$B$6,'Нагрузки'!B7-1.5*'Нагрузки'!B6*($B$6-B66)/$B$6,'Нагрузки'!B7-7.5*'Исходные данные'!B36*(B66-$B$6)),IF(B66&gt;$B$6,0.03*'Исходные данные'!B8+5,0))</x:f>
        <x:v>53.72520960301569</x:v>
      </x:c>
      <x:c r="D154" s="10" t="n">
        <x:f>MAX(B154,C154,ABS(F66-(C66+D66)))</x:f>
        <x:v>133.7275561445783</x:v>
      </x:c>
      <x:c r="E154" s="10" t="n">
        <x:f>MAX('Исходные данные'!B28*('Исходные данные'!B38+'Нагрузки'!B8)*(MAX($B$10-B66,0)),'Исходные данные'!B28*'Исходные данные'!B38*((MAX($B$10-B66,0))+($B$8)*'Нагрузки'!B9),'Исходные данные'!B28*'Исходные данные'!B38*((MAX($B$10-B66,0))+'Балластные случаи'!B12*'Нагрузки'!B10),0.75*'Исходные данные'!B28*'Исходные данные'!B38*((MAX($B$10-B66,0))+'Балластные случаи'!B13),'Исходные данные'!B28*'Исходные данные'!B38*(MAX($B$10-B66,0))+'Балластные случаи'!B14)</x:f>
        <x:v>130.46069022289154</x:v>
      </x:c>
      <x:c r="F154" s="10" t="n">
        <x:f>MAX(E154,F66)</x:f>
        <x:v>133.7275561445783</x:v>
      </x:c>
    </x:row>
    <x:row r="155" ht="40" customHeight="1">
      <x:c r="A155" s="10" t="str">
        <x:f>A67</x:f>
        <x:v>ISE / 2</x:v>
      </x:c>
      <x:c r="B155" s="10" t="n">
        <x:f>F67-E67</x:f>
        <x:v>116.63363114457827</x:v>
      </x:c>
      <x:c r="C155" s="10" t="n">
        <x:f>10*MAX($B$6-B67,0)+MAX(IF(B67&lt;=$B$6,'Нагрузки'!B7-1.5*'Нагрузки'!B6*($B$6-B67)/$B$6,'Нагрузки'!B7-7.5*'Исходные данные'!B36*(B67-$B$6)),IF(B67&gt;$B$6,0.03*'Исходные данные'!B8+5,0))</x:f>
        <x:v>39.29695094061618</x:v>
      </x:c>
      <x:c r="D155" s="10" t="n">
        <x:f>MAX(B155,C155,ABS(F67-(C67+D67)))</x:f>
        <x:v>116.63363114457827</x:v>
      </x:c>
      <x:c r="E155" s="10" t="n">
        <x:f>MAX('Исходные данные'!B28*('Исходные данные'!B38+'Нагрузки'!B8)*(MAX($B$10-B67,0)),'Исходные данные'!B28*'Исходные данные'!B38*((MAX($B$10-B67,0))+($B$8)*'Нагрузки'!B9),'Исходные данные'!B28*'Исходные данные'!B38*((MAX($B$10-B67,0))+'Балластные случаи'!B12*'Нагрузки'!B10),0.75*'Исходные данные'!B28*'Исходные данные'!B38*((MAX($B$10-B67,0))+'Балластные случаи'!B13),'Исходные данные'!B28*'Исходные данные'!B38*(MAX($B$10-B67,0))+'Балластные случаи'!B14)</x:f>
        <x:v>113.36676522289154</x:v>
      </x:c>
      <x:c r="F155" s="10" t="n">
        <x:f>MAX(E155,F67)</x:f>
        <x:v>116.63363114457827</x:v>
      </x:c>
    </x:row>
    <x:row r="156" ht="40" customHeight="1">
      <x:c r="A156" s="10" t="str">
        <x:f>A68</x:f>
        <x:v>ISE / 3</x:v>
      </x:c>
      <x:c r="B156" s="10" t="n">
        <x:f>F68-E68</x:f>
        <x:v>133.7275561445783</x:v>
      </x:c>
      <x:c r="C156" s="10" t="n">
        <x:f>10*MAX($B$6-B68,0)+MAX(IF(B68&lt;=$B$6,'Нагрузки'!B7-1.5*'Нагрузки'!B6*($B$6-B68)/$B$6,'Нагрузки'!B7-7.5*'Исходные данные'!B36*(B68-$B$6)),IF(B68&gt;$B$6,0.03*'Исходные данные'!B8+5,0))</x:f>
        <x:v>53.72520960301569</x:v>
      </x:c>
      <x:c r="D156" s="10" t="n">
        <x:f>MAX(B156,C156,ABS(F68-(C68+D68)))</x:f>
        <x:v>133.7275561445783</x:v>
      </x:c>
      <x:c r="E156" s="10" t="n">
        <x:f>MAX('Исходные данные'!B28*('Исходные данные'!B38+'Нагрузки'!B8)*(MAX($B$10-B68,0)),'Исходные данные'!B28*'Исходные данные'!B38*((MAX($B$10-B68,0))+($B$8)*'Нагрузки'!B9),'Исходные данные'!B28*'Исходные данные'!B38*((MAX($B$10-B68,0))+'Балластные случаи'!B12*'Нагрузки'!B10),0.75*'Исходные данные'!B28*'Исходные данные'!B38*((MAX($B$10-B68,0))+'Балластные случаи'!B13),'Исходные данные'!B28*'Исходные данные'!B38*(MAX($B$10-B68,0))+'Балластные случаи'!B14)</x:f>
        <x:v>130.46069022289154</x:v>
      </x:c>
      <x:c r="F156" s="10" t="n">
        <x:f>MAX(E156,F68)</x:f>
        <x:v>133.7275561445783</x:v>
      </x:c>
    </x:row>
    <x:row r="157" ht="40" customHeight="1">
      <x:c r="A157" s="10" t="str">
        <x:f>A69</x:f>
        <x:v>ISD / 1</x:v>
      </x:c>
      <x:c r="B157" s="10" t="n">
        <x:f>F69-E69</x:f>
        <x:v>116.63363114457827</x:v>
      </x:c>
      <x:c r="C157" s="10" t="n">
        <x:f>10*MAX($B$6-B69,0)+MAX(IF(B69&lt;=$B$6,'Нагрузки'!B7-1.5*'Нагрузки'!B6*($B$6-B69)/$B$6,'Нагрузки'!B7-7.5*'Исходные данные'!B36*(B69-$B$6)),IF(B69&gt;$B$6,0.03*'Исходные данные'!B8+5,0))</x:f>
        <x:v>39.29695094061618</x:v>
      </x:c>
      <x:c r="D157" s="10" t="n">
        <x:f>MAX(B157,C157,ABS(F69-(C69+D69)))</x:f>
        <x:v>116.63363114457827</x:v>
      </x:c>
      <x:c r="E157" s="10" t="n">
        <x:f>MAX('Исходные данные'!B28*('Исходные данные'!B38+'Нагрузки'!B8)*(MAX($B$10-B69,0)),'Исходные данные'!B28*'Исходные данные'!B38*((MAX($B$10-B69,0))+($B$8)*'Нагрузки'!B9),'Исходные данные'!B28*'Исходные данные'!B38*((MAX($B$10-B69,0))+'Балластные случаи'!B12*'Нагрузки'!B10),0.75*'Исходные данные'!B28*'Исходные данные'!B38*((MAX($B$10-B69,0))+'Балластные случаи'!B13),'Исходные данные'!B28*'Исходные данные'!B38*(MAX($B$10-B69,0))+'Балластные случаи'!B14)</x:f>
        <x:v>113.36676522289154</x:v>
      </x:c>
      <x:c r="F157" s="10" t="n">
        <x:f>MAX(E157,F69)</x:f>
        <x:v>116.63363114457827</x:v>
      </x:c>
    </x:row>
    <x:row r="158" ht="40" customHeight="1">
      <x:c r="A158" s="10" t="str">
        <x:f>A70</x:f>
        <x:v>ISD / 2</x:v>
      </x:c>
      <x:c r="B158" s="10" t="n">
        <x:f>F70-E70</x:f>
        <x:v>99.53970614457829</x:v>
      </x:c>
      <x:c r="C158" s="10" t="n">
        <x:f>10*MAX($B$6-B70,0)+MAX(IF(B70&lt;=$B$6,'Нагрузки'!B7-1.5*'Нагрузки'!B6*($B$6-B70)/$B$6,'Нагрузки'!B7-7.5*'Исходные данные'!B36*(B70-$B$6)),IF(B70&gt;$B$6,0.03*'Исходные данные'!B8+5,0))</x:f>
        <x:v>25.517163376004873</x:v>
      </x:c>
      <x:c r="D158" s="10" t="n">
        <x:f>MAX(B158,C158,ABS(F70-(C70+D70)))</x:f>
        <x:v>99.53970614457829</x:v>
      </x:c>
      <x:c r="E158" s="10" t="n">
        <x:f>MAX('Исходные данные'!B28*('Исходные данные'!B38+'Нагрузки'!B8)*(MAX($B$10-B70,0)),'Исходные данные'!B28*'Исходные данные'!B38*((MAX($B$10-B70,0))+($B$8)*'Нагрузки'!B9),'Исходные данные'!B28*'Исходные данные'!B38*((MAX($B$10-B70,0))+'Балластные случаи'!B12*'Нагрузки'!B10),0.75*'Исходные данные'!B28*'Исходные данные'!B38*((MAX($B$10-B70,0))+'Балластные случаи'!B13),'Исходные данные'!B28*'Исходные данные'!B38*(MAX($B$10-B70,0))+'Балластные случаи'!B14)</x:f>
        <x:v>96.27284022289155</x:v>
      </x:c>
      <x:c r="F158" s="10" t="n">
        <x:f>MAX(E158,F70)</x:f>
        <x:v>99.53970614457829</x:v>
      </x:c>
    </x:row>
    <x:row r="159" ht="40" customHeight="1">
      <x:c r="A159" s="10" t="str">
        <x:f>A71</x:f>
        <x:v>ISD / 3</x:v>
      </x:c>
      <x:c r="B159" s="10" t="n">
        <x:f>F71-E71</x:f>
        <x:v>116.63363114457827</x:v>
      </x:c>
      <x:c r="C159" s="10" t="n">
        <x:f>10*MAX($B$6-B71,0)+MAX(IF(B71&lt;=$B$6,'Нагрузки'!B7-1.5*'Нагрузки'!B6*($B$6-B71)/$B$6,'Нагрузки'!B7-7.5*'Исходные данные'!B36*(B71-$B$6)),IF(B71&gt;$B$6,0.03*'Исходные данные'!B8+5,0))</x:f>
        <x:v>39.29695094061618</x:v>
      </x:c>
      <x:c r="D159" s="10" t="n">
        <x:f>MAX(B159,C159,ABS(F71-(C71+D71)))</x:f>
        <x:v>116.63363114457827</x:v>
      </x:c>
      <x:c r="E159" s="10" t="n">
        <x:f>MAX('Исходные данные'!B28*('Исходные данные'!B38+'Нагрузки'!B8)*(MAX($B$10-B71,0)),'Исходные данные'!B28*'Исходные данные'!B38*((MAX($B$10-B71,0))+($B$8)*'Нагрузки'!B9),'Исходные данные'!B28*'Исходные данные'!B38*((MAX($B$10-B71,0))+'Балластные случаи'!B12*'Нагрузки'!B10),0.75*'Исходные данные'!B28*'Исходные данные'!B38*((MAX($B$10-B71,0))+'Балластные случаи'!B13),'Исходные данные'!B28*'Исходные данные'!B38*(MAX($B$10-B71,0))+'Балластные случаи'!B14)</x:f>
        <x:v>113.36676522289154</x:v>
      </x:c>
      <x:c r="F159" s="10" t="n">
        <x:f>MAX(E159,F71)</x:f>
        <x:v>116.63363114457827</x:v>
      </x:c>
    </x:row>
    <x:row r="160" ht="40" customHeight="1">
      <x:c r="A160" s="10" t="str">
        <x:f>A72</x:f>
        <x:v>ISC / 1</x:v>
      </x:c>
      <x:c r="B160" s="10" t="n">
        <x:f>F72-E72</x:f>
        <x:v>99.53970614457829</x:v>
      </x:c>
      <x:c r="C160" s="10" t="n">
        <x:f>10*MAX($B$6-B72,0)+MAX(IF(B72&lt;=$B$6,'Нагрузки'!B7-1.5*'Нагрузки'!B6*($B$6-B72)/$B$6,'Нагрузки'!B7-7.5*'Исходные данные'!B36*(B72-$B$6)),IF(B72&gt;$B$6,0.03*'Исходные данные'!B8+5,0))</x:f>
        <x:v>25.517163376004873</x:v>
      </x:c>
      <x:c r="D160" s="10" t="n">
        <x:f>MAX(B160,C160,ABS(F72-(C72+D72)))</x:f>
        <x:v>99.53970614457829</x:v>
      </x:c>
      <x:c r="E160" s="10" t="n">
        <x:f>MAX('Исходные данные'!B28*('Исходные данные'!B38+'Нагрузки'!B8)*(MAX($B$10-B72,0)),'Исходные данные'!B28*'Исходные данные'!B38*((MAX($B$10-B72,0))+($B$8)*'Нагрузки'!B9),'Исходные данные'!B28*'Исходные данные'!B38*((MAX($B$10-B72,0))+'Балластные случаи'!B12*'Нагрузки'!B10),0.75*'Исходные данные'!B28*'Исходные данные'!B38*((MAX($B$10-B72,0))+'Балластные случаи'!B13),'Исходные данные'!B28*'Исходные данные'!B38*(MAX($B$10-B72,0))+'Балластные случаи'!B14)</x:f>
        <x:v>96.27284022289155</x:v>
      </x:c>
      <x:c r="F160" s="10" t="n">
        <x:f>MAX(E160,F72)</x:f>
        <x:v>99.53970614457829</x:v>
      </x:c>
    </x:row>
    <x:row r="161" ht="40" customHeight="1">
      <x:c r="A161" s="10" t="str">
        <x:f>A73</x:f>
        <x:v>ISC / 2</x:v>
      </x:c>
      <x:c r="B161" s="10" t="n">
        <x:f>F73-E73</x:f>
        <x:v>82.44578114457829</x:v>
      </x:c>
      <x:c r="C161" s="10" t="n">
        <x:f>10*MAX($B$6-B73,0)+MAX(IF(B73&lt;=$B$6,'Нагрузки'!B7-1.5*'Нагрузки'!B6*($B$6-B73)/$B$6,'Нагрузки'!B7-7.5*'Исходные данные'!B36*(B73-$B$6)),IF(B73&gt;$B$6,0.03*'Исходные данные'!B8+5,0))</x:f>
        <x:v>22.112913376004872</x:v>
      </x:c>
      <x:c r="D161" s="10" t="n">
        <x:f>MAX(B161,C161,ABS(F73-(C73+D73)))</x:f>
        <x:v>82.44578114457829</x:v>
      </x:c>
      <x:c r="E161" s="10" t="n">
        <x:f>MAX('Исходные данные'!B28*('Исходные данные'!B38+'Нагрузки'!B8)*(MAX($B$10-B73,0)),'Исходные данные'!B28*'Исходные данные'!B38*((MAX($B$10-B73,0))+($B$8)*'Нагрузки'!B9),'Исходные данные'!B28*'Исходные данные'!B38*((MAX($B$10-B73,0))+'Балластные случаи'!B12*'Нагрузки'!B10),0.75*'Исходные данные'!B28*'Исходные данные'!B38*((MAX($B$10-B73,0))+'Балластные случаи'!B13),'Исходные данные'!B28*'Исходные данные'!B38*(MAX($B$10-B73,0))+'Балластные случаи'!B14)</x:f>
        <x:v>79.17891522289155</x:v>
      </x:c>
      <x:c r="F161" s="10" t="n">
        <x:f>MAX(E161,F73)</x:f>
        <x:v>82.44578114457829</x:v>
      </x:c>
    </x:row>
    <x:row r="162" ht="40" customHeight="1">
      <x:c r="A162" s="10" t="str">
        <x:f>A74</x:f>
        <x:v>ISC / 3</x:v>
      </x:c>
      <x:c r="B162" s="10" t="n">
        <x:f>F74-E74</x:f>
        <x:v>99.53970614457829</x:v>
      </x:c>
      <x:c r="C162" s="10" t="n">
        <x:f>10*MAX($B$6-B74,0)+MAX(IF(B74&lt;=$B$6,'Нагрузки'!B7-1.5*'Нагрузки'!B6*($B$6-B74)/$B$6,'Нагрузки'!B7-7.5*'Исходные данные'!B36*(B74-$B$6)),IF(B74&gt;$B$6,0.03*'Исходные данные'!B8+5,0))</x:f>
        <x:v>25.517163376004873</x:v>
      </x:c>
      <x:c r="D162" s="10" t="n">
        <x:f>MAX(B162,C162,ABS(F74-(C74+D74)))</x:f>
        <x:v>99.53970614457829</x:v>
      </x:c>
      <x:c r="E162" s="10" t="n">
        <x:f>MAX('Исходные данные'!B28*('Исходные данные'!B38+'Нагрузки'!B8)*(MAX($B$10-B74,0)),'Исходные данные'!B28*'Исходные данные'!B38*((MAX($B$10-B74,0))+($B$8)*'Нагрузки'!B9),'Исходные данные'!B28*'Исходные данные'!B38*((MAX($B$10-B74,0))+'Балластные случаи'!B12*'Нагрузки'!B10),0.75*'Исходные данные'!B28*'Исходные данные'!B38*((MAX($B$10-B74,0))+'Балластные случаи'!B13),'Исходные данные'!B28*'Исходные данные'!B38*(MAX($B$10-B74,0))+'Балластные случаи'!B14)</x:f>
        <x:v>96.27284022289155</x:v>
      </x:c>
      <x:c r="F162" s="10" t="n">
        <x:f>MAX(E162,F74)</x:f>
        <x:v>99.53970614457829</x:v>
      </x:c>
    </x:row>
    <x:row r="163" ht="40" customHeight="1">
      <x:c r="A163" s="10" t="str">
        <x:f>A75</x:f>
        <x:v>ISB / 1</x:v>
      </x:c>
      <x:c r="B163" s="10" t="n">
        <x:f>F75-E75</x:f>
        <x:v>82.44578114457829</x:v>
      </x:c>
      <x:c r="C163" s="10" t="n">
        <x:f>10*MAX($B$6-B75,0)+MAX(IF(B75&lt;=$B$6,'Нагрузки'!B7-1.5*'Нагрузки'!B6*($B$6-B75)/$B$6,'Нагрузки'!B7-7.5*'Исходные данные'!B36*(B75-$B$6)),IF(B75&gt;$B$6,0.03*'Исходные данные'!B8+5,0))</x:f>
        <x:v>22.112913376004872</x:v>
      </x:c>
      <x:c r="D163" s="10" t="n">
        <x:f>MAX(B163,C163,ABS(F75-(C75+D75)))</x:f>
        <x:v>82.44578114457829</x:v>
      </x:c>
      <x:c r="E163" s="10" t="n">
        <x:f>MAX('Исходные данные'!B28*('Исходные данные'!B38+'Нагрузки'!B8)*(MAX($B$10-B75,0)),'Исходные данные'!B28*'Исходные данные'!B38*((MAX($B$10-B75,0))+($B$8)*'Нагрузки'!B9),'Исходные данные'!B28*'Исходные данные'!B38*((MAX($B$10-B75,0))+'Балластные случаи'!B12*'Нагрузки'!B10),0.75*'Исходные данные'!B28*'Исходные данные'!B38*((MAX($B$10-B75,0))+'Балластные случаи'!B13),'Исходные данные'!B28*'Исходные данные'!B38*(MAX($B$10-B75,0))+'Балластные случаи'!B14)</x:f>
        <x:v>79.17891522289155</x:v>
      </x:c>
      <x:c r="F163" s="10" t="n">
        <x:f>MAX(E163,F75)</x:f>
        <x:v>82.44578114457829</x:v>
      </x:c>
    </x:row>
    <x:row r="164" ht="40" customHeight="1">
      <x:c r="A164" s="10" t="str">
        <x:f>A76</x:f>
        <x:v>ISB / 2</x:v>
      </x:c>
      <x:c r="B164" s="10" t="n">
        <x:f>F76-E76</x:f>
        <x:v>65.35185614457829</x:v>
      </x:c>
      <x:c r="C164" s="10" t="n">
        <x:f>10*MAX($B$6-B76,0)+MAX(IF(B76&lt;=$B$6,'Нагрузки'!B7-1.5*'Нагрузки'!B6*($B$6-B76)/$B$6,'Нагрузки'!B7-7.5*'Исходные данные'!B36*(B76-$B$6)),IF(B76&gt;$B$6,0.03*'Исходные данные'!B8+5,0))</x:f>
        <x:v>18.708663376004875</x:v>
      </x:c>
      <x:c r="D164" s="10" t="n">
        <x:f>MAX(B164,C164,ABS(F76-(C76+D76)))</x:f>
        <x:v>65.35185614457829</x:v>
      </x:c>
      <x:c r="E164" s="10" t="n">
        <x:f>MAX('Исходные данные'!B28*('Исходные данные'!B38+'Нагрузки'!B8)*(MAX($B$10-B76,0)),'Исходные данные'!B28*'Исходные данные'!B38*((MAX($B$10-B76,0))+($B$8)*'Нагрузки'!B9),'Исходные данные'!B28*'Исходные данные'!B38*((MAX($B$10-B76,0))+'Балластные случаи'!B12*'Нагрузки'!B10),0.75*'Исходные данные'!B28*'Исходные данные'!B38*((MAX($B$10-B76,0))+'Балластные случаи'!B13),'Исходные данные'!B28*'Исходные данные'!B38*(MAX($B$10-B76,0))+'Балластные случаи'!B14)</x:f>
        <x:v>62.08499022289155</x:v>
      </x:c>
      <x:c r="F164" s="10" t="n">
        <x:f>MAX(E164,F76)</x:f>
        <x:v>65.35185614457829</x:v>
      </x:c>
    </x:row>
    <x:row r="165" ht="40" customHeight="1">
      <x:c r="A165" s="10" t="str">
        <x:f>A77</x:f>
        <x:v>ISB / 3</x:v>
      </x:c>
      <x:c r="B165" s="10" t="n">
        <x:f>F77-E77</x:f>
        <x:v>82.44578114457829</x:v>
      </x:c>
      <x:c r="C165" s="10" t="n">
        <x:f>10*MAX($B$6-B77,0)+MAX(IF(B77&lt;=$B$6,'Нагрузки'!B7-1.5*'Нагрузки'!B6*($B$6-B77)/$B$6,'Нагрузки'!B7-7.5*'Исходные данные'!B36*(B77-$B$6)),IF(B77&gt;$B$6,0.03*'Исходные данные'!B8+5,0))</x:f>
        <x:v>22.112913376004872</x:v>
      </x:c>
      <x:c r="D165" s="10" t="n">
        <x:f>MAX(B165,C165,ABS(F77-(C77+D77)))</x:f>
        <x:v>82.44578114457829</x:v>
      </x:c>
      <x:c r="E165" s="10" t="n">
        <x:f>MAX('Исходные данные'!B28*('Исходные данные'!B38+'Нагрузки'!B8)*(MAX($B$10-B77,0)),'Исходные данные'!B28*'Исходные данные'!B38*((MAX($B$10-B77,0))+($B$8)*'Нагрузки'!B9),'Исходные данные'!B28*'Исходные данные'!B38*((MAX($B$10-B77,0))+'Балластные случаи'!B12*'Нагрузки'!B10),0.75*'Исходные данные'!B28*'Исходные данные'!B38*((MAX($B$10-B77,0))+'Балластные случаи'!B13),'Исходные данные'!B28*'Исходные данные'!B38*(MAX($B$10-B77,0))+'Балластные случаи'!B14)</x:f>
        <x:v>79.17891522289155</x:v>
      </x:c>
      <x:c r="F165" s="10" t="n">
        <x:f>MAX(E165,F77)</x:f>
        <x:v>82.44578114457829</x:v>
      </x:c>
    </x:row>
    <x:row r="166" ht="40" customHeight="1">
      <x:c r="A166" s="10" t="str">
        <x:f>A78</x:f>
        <x:v>ISA / 1</x:v>
      </x:c>
      <x:c r="B166" s="10" t="n">
        <x:f>F78-E78</x:f>
        <x:v>65.35185614457829</x:v>
      </x:c>
      <x:c r="C166" s="10" t="n">
        <x:f>10*MAX($B$6-B78,0)+MAX(IF(B78&lt;=$B$6,'Нагрузки'!B7-1.5*'Нагрузки'!B6*($B$6-B78)/$B$6,'Нагрузки'!B7-7.5*'Исходные данные'!B36*(B78-$B$6)),IF(B78&gt;$B$6,0.03*'Исходные данные'!B8+5,0))</x:f>
        <x:v>18.708663376004875</x:v>
      </x:c>
      <x:c r="D166" s="10" t="n">
        <x:f>MAX(B166,C166,ABS(F78-(C78+D78)))</x:f>
        <x:v>65.35185614457829</x:v>
      </x:c>
      <x:c r="E166" s="10" t="n">
        <x:f>MAX('Исходные данные'!B28*('Исходные данные'!B38+'Нагрузки'!B8)*(MAX($B$10-B78,0)),'Исходные данные'!B28*'Исходные данные'!B38*((MAX($B$10-B78,0))+($B$8)*'Нагрузки'!B9),'Исходные данные'!B28*'Исходные данные'!B38*((MAX($B$10-B78,0))+'Балластные случаи'!B12*'Нагрузки'!B10),0.75*'Исходные данные'!B28*'Исходные данные'!B38*((MAX($B$10-B78,0))+'Балластные случаи'!B13),'Исходные данные'!B28*'Исходные данные'!B38*(MAX($B$10-B78,0))+'Балластные случаи'!B14)</x:f>
        <x:v>62.08499022289155</x:v>
      </x:c>
      <x:c r="F166" s="10" t="n">
        <x:f>MAX(E166,F78)</x:f>
        <x:v>65.35185614457829</x:v>
      </x:c>
    </x:row>
    <x:row r="167" ht="40" customHeight="1">
      <x:c r="A167" s="10" t="str">
        <x:f>A79</x:f>
        <x:v>ISA / 2</x:v>
      </x:c>
      <x:c r="B167" s="10" t="n">
        <x:f>F79-E79</x:f>
        <x:v>43.4314111445783</x:v>
      </x:c>
      <x:c r="C167" s="10" t="n">
        <x:f>10*MAX($B$6-B79,0)+MAX(IF(B79&lt;=$B$6,'Нагрузки'!B7-1.5*'Нагрузки'!B6*($B$6-B79)/$B$6,'Нагрузки'!B7-7.5*'Исходные данные'!B36*(B79-$B$6)),IF(B79&gt;$B$6,0.03*'Исходные данные'!B8+5,0))</x:f>
        <x:v>14.343213376004876</x:v>
      </x:c>
      <x:c r="D167" s="10" t="n">
        <x:f>MAX(B167,C167,ABS(F79-(C79+D79)))</x:f>
        <x:v>43.4314111445783</x:v>
      </x:c>
      <x:c r="E167" s="10" t="n">
        <x:f>MAX('Исходные данные'!B28*('Исходные данные'!B38+'Нагрузки'!B8)*(MAX($B$10-B79,0)),'Исходные данные'!B28*'Исходные данные'!B38*((MAX($B$10-B79,0))+($B$8)*'Нагрузки'!B9),'Исходные данные'!B28*'Исходные данные'!B38*((MAX($B$10-B79,0))+'Балластные случаи'!B12*'Нагрузки'!B10),0.75*'Исходные данные'!B28*'Исходные данные'!B38*((MAX($B$10-B79,0))+'Балластные случаи'!B13),'Исходные данные'!B28*'Исходные данные'!B38*(MAX($B$10-B79,0))+'Балластные случаи'!B14)</x:f>
        <x:v>40.16454522289155</x:v>
      </x:c>
      <x:c r="F167" s="10" t="n">
        <x:f>MAX(E167,F79)</x:f>
        <x:v>43.4314111445783</x:v>
      </x:c>
    </x:row>
    <x:row r="168" ht="40" customHeight="1">
      <x:c r="A168" s="10" t="str">
        <x:f>A80</x:f>
        <x:v>ISA / 3</x:v>
      </x:c>
      <x:c r="B168" s="10" t="n">
        <x:f>F80-E80</x:f>
        <x:v>65.35185614457829</x:v>
      </x:c>
      <x:c r="C168" s="10" t="n">
        <x:f>10*MAX($B$6-B80,0)+MAX(IF(B80&lt;=$B$6,'Нагрузки'!B7-1.5*'Нагрузки'!B6*($B$6-B80)/$B$6,'Нагрузки'!B7-7.5*'Исходные данные'!B36*(B80-$B$6)),IF(B80&gt;$B$6,0.03*'Исходные данные'!B8+5,0))</x:f>
        <x:v>18.708663376004875</x:v>
      </x:c>
      <x:c r="D168" s="10" t="n">
        <x:f>MAX(B168,C168,ABS(F80-(C80+D80)))</x:f>
        <x:v>65.35185614457829</x:v>
      </x:c>
      <x:c r="E168" s="10" t="n">
        <x:f>MAX('Исходные данные'!B28*('Исходные данные'!B38+'Нагрузки'!B8)*(MAX($B$10-B80,0)),'Исходные данные'!B28*'Исходные данные'!B38*((MAX($B$10-B80,0))+($B$8)*'Нагрузки'!B9),'Исходные данные'!B28*'Исходные данные'!B38*((MAX($B$10-B80,0))+'Балластные случаи'!B12*'Нагрузки'!B10),0.75*'Исходные данные'!B28*'Исходные данные'!B38*((MAX($B$10-B80,0))+'Балластные случаи'!B13),'Исходные данные'!B28*'Исходные данные'!B38*(MAX($B$10-B80,0))+'Балластные случаи'!B14)</x:f>
        <x:v>62.08499022289155</x:v>
      </x:c>
      <x:c r="F168" s="10" t="n">
        <x:f>MAX(E168,F80)</x:f>
        <x:v>65.35185614457829</x:v>
      </x:c>
    </x:row>
    <x:row r="169" ht="40" customHeight="1">
      <x:c r="A169" s="10" t="str">
        <x:f>A81</x:f>
        <x:v>OF1 / 1</x:v>
      </x:c>
      <x:c r="B169" s="10" t="n">
        <x:f>F81-E81</x:f>
        <x:v>152.8325311445783</x:v>
      </x:c>
      <x:c r="C169" s="10" t="n">
        <x:f>10*MAX($B$6-B81,0)+MAX(IF(B81&lt;=$B$6,'Нагрузки'!B7-1.5*'Нагрузки'!B6*($B$6-B81)/$B$6,'Нагрузки'!B7-7.5*'Исходные данные'!B36*(B81-$B$6)),IF(B81&gt;$B$6,0.03*'Исходные данные'!B8+5,0))</x:f>
        <x:v>69.85091046099161</x:v>
      </x:c>
      <x:c r="D169" s="10" t="n">
        <x:f>MAX(B169,C169,ABS(F81-(C81+D81)))</x:f>
        <x:v>152.8325311445783</x:v>
      </x:c>
      <x:c r="E169" s="10" t="n">
        <x:f>MAX('Исходные данные'!B28*('Исходные данные'!B38+'Нагрузки'!B8)*(MAX($B$10-B81,0)),'Исходные данные'!B28*'Исходные данные'!B38*((MAX($B$10-B81,0))+($B$8)*'Нагрузки'!B9),'Исходные данные'!B28*'Исходные данные'!B38*((MAX($B$10-B81,0))+'Балластные случаи'!B12*'Нагрузки'!B10),0.75*'Исходные данные'!B28*'Исходные данные'!B38*((MAX($B$10-B81,0))+'Балластные случаи'!B13),'Исходные данные'!B28*'Исходные данные'!B38*(MAX($B$10-B81,0))+'Балластные случаи'!B14)</x:f>
        <x:v>149.56566522289154</x:v>
      </x:c>
      <x:c r="F169" s="10" t="n">
        <x:f>MAX(E169,F81)</x:f>
        <x:v>152.8325311445783</x:v>
      </x:c>
    </x:row>
    <x:row r="170" ht="40" customHeight="1">
      <x:c r="A170" s="10" t="str">
        <x:f>A82</x:f>
        <x:v>OF1 / 2</x:v>
      </x:c>
      <x:c r="B170" s="10" t="n">
        <x:f>F82-E82</x:f>
        <x:v>152.8325311445783</x:v>
      </x:c>
      <x:c r="C170" s="10" t="n">
        <x:f>10*MAX($B$6-B82,0)+MAX(IF(B82&lt;=$B$6,'Нагрузки'!B7-1.5*'Нагрузки'!B6*($B$6-B82)/$B$6,'Нагрузки'!B7-7.5*'Исходные данные'!B36*(B82-$B$6)),IF(B82&gt;$B$6,0.03*'Исходные данные'!B8+5,0))</x:f>
        <x:v>69.85091046099161</x:v>
      </x:c>
      <x:c r="D170" s="10" t="n">
        <x:f>MAX(B170,C170,ABS(F82-(C82+D82)))</x:f>
        <x:v>152.8325311445783</x:v>
      </x:c>
      <x:c r="E170" s="10" t="n">
        <x:f>MAX('Исходные данные'!B28*('Исходные данные'!B38+'Нагрузки'!B8)*(MAX($B$10-B82,0)),'Исходные данные'!B28*'Исходные данные'!B38*((MAX($B$10-B82,0))+($B$8)*'Нагрузки'!B9),'Исходные данные'!B28*'Исходные данные'!B38*((MAX($B$10-B82,0))+'Балластные случаи'!B12*'Нагрузки'!B10),0.75*'Исходные данные'!B28*'Исходные данные'!B38*((MAX($B$10-B82,0))+'Балластные случаи'!B13),'Исходные данные'!B28*'Исходные данные'!B38*(MAX($B$10-B82,0))+'Балластные случаи'!B14)</x:f>
        <x:v>149.56566522289154</x:v>
      </x:c>
      <x:c r="F170" s="10" t="n">
        <x:f>MAX(E170,F82)</x:f>
        <x:v>152.8325311445783</x:v>
      </x:c>
    </x:row>
    <x:row r="171" ht="40" customHeight="1">
      <x:c r="A171" s="10" t="str">
        <x:f>A83</x:f>
        <x:v>OF1 / 3</x:v>
      </x:c>
      <x:c r="B171" s="10" t="n">
        <x:f>F83-E83</x:f>
        <x:v>152.8325311445783</x:v>
      </x:c>
      <x:c r="C171" s="10" t="n">
        <x:f>10*MAX($B$6-B83,0)+MAX(IF(B83&lt;=$B$6,'Нагрузки'!B7-1.5*'Нагрузки'!B6*($B$6-B83)/$B$6,'Нагрузки'!B7-7.5*'Исходные данные'!B36*(B83-$B$6)),IF(B83&gt;$B$6,0.03*'Исходные данные'!B8+5,0))</x:f>
        <x:v>69.85091046099161</x:v>
      </x:c>
      <x:c r="D171" s="10" t="n">
        <x:f>MAX(B171,C171,ABS(F83-(C83+D83)))</x:f>
        <x:v>152.8325311445783</x:v>
      </x:c>
      <x:c r="E171" s="10" t="n">
        <x:f>MAX('Исходные данные'!B28*('Исходные данные'!B38+'Нагрузки'!B8)*(MAX($B$10-B83,0)),'Исходные данные'!B28*'Исходные данные'!B38*((MAX($B$10-B83,0))+($B$8)*'Нагрузки'!B9),'Исходные данные'!B28*'Исходные данные'!B38*((MAX($B$10-B83,0))+'Балластные случаи'!B12*'Нагрузки'!B10),0.75*'Исходные данные'!B28*'Исходные данные'!B38*((MAX($B$10-B83,0))+'Балластные случаи'!B13),'Исходные данные'!B28*'Исходные данные'!B38*(MAX($B$10-B83,0))+'Балластные случаи'!B14)</x:f>
        <x:v>149.56566522289154</x:v>
      </x:c>
      <x:c r="F171" s="10" t="n">
        <x:f>MAX(E171,F83)</x:f>
        <x:v>152.8325311445783</x:v>
      </x:c>
    </x:row>
    <x:row r="172" ht="40" customHeight="1">
      <x:c r="A172" s="10" t="str">
        <x:f>A84</x:f>
        <x:v>OF2 / 1</x:v>
      </x:c>
      <x:c r="B172" s="10" t="n">
        <x:f>F84-E84</x:f>
        <x:v>122.16401864457828</x:v>
      </x:c>
      <x:c r="C172" s="10" t="n">
        <x:f>10*MAX($B$6-B84,0)+MAX(IF(B84&lt;=$B$6,'Нагрузки'!B7-1.5*'Нагрузки'!B6*($B$6-B84)/$B$6,'Нагрузки'!B7-7.5*'Исходные данные'!B36*(B84-$B$6)),IF(B84&gt;$B$6,0.03*'Исходные данные'!B8+5,0))</x:f>
        <x:v>43.96491697845131</x:v>
      </x:c>
      <x:c r="D172" s="10" t="n">
        <x:f>MAX(B172,C172,ABS(F84-(C84+D84)))</x:f>
        <x:v>122.16401864457828</x:v>
      </x:c>
      <x:c r="E172" s="10" t="n">
        <x:f>MAX('Исходные данные'!B28*('Исходные данные'!B38+'Нагрузки'!B8)*(MAX($B$10-B84,0)),'Исходные данные'!B28*'Исходные данные'!B38*((MAX($B$10-B84,0))+($B$8)*'Нагрузки'!B9),'Исходные данные'!B28*'Исходные данные'!B38*((MAX($B$10-B84,0))+'Балластные случаи'!B12*'Нагрузки'!B10),0.75*'Исходные данные'!B28*'Исходные данные'!B38*((MAX($B$10-B84,0))+'Балластные случаи'!B13),'Исходные данные'!B28*'Исходные данные'!B38*(MAX($B$10-B84,0))+'Балластные случаи'!B14)</x:f>
        <x:v>118.89715272289155</x:v>
      </x:c>
      <x:c r="F172" s="10" t="n">
        <x:f>MAX(E172,F84)</x:f>
        <x:v>122.16401864457828</x:v>
      </x:c>
    </x:row>
    <x:row r="173" ht="40" customHeight="1">
      <x:c r="A173" s="10" t="str">
        <x:f>A85</x:f>
        <x:v>OF2 / 2</x:v>
      </x:c>
      <x:c r="B173" s="10" t="n">
        <x:f>F85-E85</x:f>
        <x:v>122.16401864457828</x:v>
      </x:c>
      <x:c r="C173" s="10" t="n">
        <x:f>10*MAX($B$6-B85,0)+MAX(IF(B85&lt;=$B$6,'Нагрузки'!B7-1.5*'Нагрузки'!B6*($B$6-B85)/$B$6,'Нагрузки'!B7-7.5*'Исходные данные'!B36*(B85-$B$6)),IF(B85&gt;$B$6,0.03*'Исходные данные'!B8+5,0))</x:f>
        <x:v>43.96491697845131</x:v>
      </x:c>
      <x:c r="D173" s="10" t="n">
        <x:f>MAX(B173,C173,ABS(F85-(C85+D85)))</x:f>
        <x:v>122.16401864457828</x:v>
      </x:c>
      <x:c r="E173" s="10" t="n">
        <x:f>MAX('Исходные данные'!B28*('Исходные данные'!B38+'Нагрузки'!B8)*(MAX($B$10-B85,0)),'Исходные данные'!B28*'Исходные данные'!B38*((MAX($B$10-B85,0))+($B$8)*'Нагрузки'!B9),'Исходные данные'!B28*'Исходные данные'!B38*((MAX($B$10-B85,0))+'Балластные случаи'!B12*'Нагрузки'!B10),0.75*'Исходные данные'!B28*'Исходные данные'!B38*((MAX($B$10-B85,0))+'Балластные случаи'!B13),'Исходные данные'!B28*'Исходные данные'!B38*(MAX($B$10-B85,0))+'Балластные случаи'!B14)</x:f>
        <x:v>118.89715272289155</x:v>
      </x:c>
      <x:c r="F173" s="10" t="n">
        <x:f>MAX(E173,F85)</x:f>
        <x:v>122.16401864457828</x:v>
      </x:c>
    </x:row>
    <x:row r="174" ht="40" customHeight="1">
      <x:c r="A174" s="10" t="str">
        <x:f>A86</x:f>
        <x:v>OF2 / 3</x:v>
      </x:c>
      <x:c r="B174" s="10" t="n">
        <x:f>F86-E86</x:f>
        <x:v>122.16401864457828</x:v>
      </x:c>
      <x:c r="C174" s="10" t="n">
        <x:f>10*MAX($B$6-B86,0)+MAX(IF(B86&lt;=$B$6,'Нагрузки'!B7-1.5*'Нагрузки'!B6*($B$6-B86)/$B$6,'Нагрузки'!B7-7.5*'Исходные данные'!B36*(B86-$B$6)),IF(B86&gt;$B$6,0.03*'Исходные данные'!B8+5,0))</x:f>
        <x:v>43.96491697845131</x:v>
      </x:c>
      <x:c r="D174" s="10" t="n">
        <x:f>MAX(B174,C174,ABS(F86-(C86+D86)))</x:f>
        <x:v>122.16401864457828</x:v>
      </x:c>
      <x:c r="E174" s="10" t="n">
        <x:f>MAX('Исходные данные'!B28*('Исходные данные'!B38+'Нагрузки'!B8)*(MAX($B$10-B86,0)),'Исходные данные'!B28*'Исходные данные'!B38*((MAX($B$10-B86,0))+($B$8)*'Нагрузки'!B9),'Исходные данные'!B28*'Исходные данные'!B38*((MAX($B$10-B86,0))+'Балластные случаи'!B12*'Нагрузки'!B10),0.75*'Исходные данные'!B28*'Исходные данные'!B38*((MAX($B$10-B86,0))+'Балластные случаи'!B13),'Исходные данные'!B28*'Исходные данные'!B38*(MAX($B$10-B86,0))+'Балластные случаи'!B14)</x:f>
        <x:v>118.89715272289155</x:v>
      </x:c>
      <x:c r="F174" s="10" t="n">
        <x:f>MAX(E174,F86)</x:f>
        <x:v>122.16401864457828</x:v>
      </x:c>
    </x:row>
    <x:row r="175" ht="40" customHeight="1">
      <x:c r="A175" s="10" t="str">
        <x:f>A87</x:f>
        <x:v>OF3 / 1</x:v>
      </x:c>
      <x:c r="B175" s="10" t="n">
        <x:f>F87-E87</x:f>
        <x:v>90.99274364457831</x:v>
      </x:c>
      <x:c r="C175" s="10" t="n">
        <x:f>10*MAX($B$6-B87,0)+MAX(IF(B87&lt;=$B$6,'Нагрузки'!B7-1.5*'Нагрузки'!B6*($B$6-B87)/$B$6,'Нагрузки'!B7-7.5*'Исходные данные'!B36*(B87-$B$6)),IF(B87&gt;$B$6,0.03*'Исходные данные'!B8+5,0))</x:f>
        <x:v>23.815038376004875</x:v>
      </x:c>
      <x:c r="D175" s="10" t="n">
        <x:f>MAX(B175,C175,ABS(F87-(C87+D87)))</x:f>
        <x:v>90.99274364457831</x:v>
      </x:c>
      <x:c r="E175" s="10" t="n">
        <x:f>MAX('Исходные данные'!B28*('Исходные данные'!B38+'Нагрузки'!B8)*(MAX($B$10-B87,0)),'Исходные данные'!B28*'Исходные данные'!B38*((MAX($B$10-B87,0))+($B$8)*'Нагрузки'!B9),'Исходные данные'!B28*'Исходные данные'!B38*((MAX($B$10-B87,0))+'Балластные случаи'!B12*'Нагрузки'!B10),0.75*'Исходные данные'!B28*'Исходные данные'!B38*((MAX($B$10-B87,0))+'Балластные случаи'!B13),'Исходные данные'!B28*'Исходные данные'!B38*(MAX($B$10-B87,0))+'Балластные случаи'!B14)</x:f>
        <x:v>87.72587772289155</x:v>
      </x:c>
      <x:c r="F175" s="10" t="n">
        <x:f>MAX(E175,F87)</x:f>
        <x:v>90.99274364457831</x:v>
      </x:c>
    </x:row>
    <x:row r="176" ht="40" customHeight="1">
      <x:c r="A176" s="10" t="str">
        <x:f>A88</x:f>
        <x:v>OF3 / 2</x:v>
      </x:c>
      <x:c r="B176" s="10" t="n">
        <x:f>F88-E88</x:f>
        <x:v>90.99274364457831</x:v>
      </x:c>
      <x:c r="C176" s="10" t="n">
        <x:f>10*MAX($B$6-B88,0)+MAX(IF(B88&lt;=$B$6,'Нагрузки'!B7-1.5*'Нагрузки'!B6*($B$6-B88)/$B$6,'Нагрузки'!B7-7.5*'Исходные данные'!B36*(B88-$B$6)),IF(B88&gt;$B$6,0.03*'Исходные данные'!B8+5,0))</x:f>
        <x:v>23.815038376004875</x:v>
      </x:c>
      <x:c r="D176" s="10" t="n">
        <x:f>MAX(B176,C176,ABS(F88-(C88+D88)))</x:f>
        <x:v>90.99274364457831</x:v>
      </x:c>
      <x:c r="E176" s="10" t="n">
        <x:f>MAX('Исходные данные'!B28*('Исходные данные'!B38+'Нагрузки'!B8)*(MAX($B$10-B88,0)),'Исходные данные'!B28*'Исходные данные'!B38*((MAX($B$10-B88,0))+($B$8)*'Нагрузки'!B9),'Исходные данные'!B28*'Исходные данные'!B38*((MAX($B$10-B88,0))+'Балластные случаи'!B12*'Нагрузки'!B10),0.75*'Исходные данные'!B28*'Исходные данные'!B38*((MAX($B$10-B88,0))+'Балластные случаи'!B13),'Исходные данные'!B28*'Исходные данные'!B38*(MAX($B$10-B88,0))+'Балластные случаи'!B14)</x:f>
        <x:v>87.72587772289155</x:v>
      </x:c>
      <x:c r="F176" s="10" t="n">
        <x:f>MAX(E176,F88)</x:f>
        <x:v>90.99274364457831</x:v>
      </x:c>
    </x:row>
    <x:row r="177" ht="40" customHeight="1">
      <x:c r="A177" s="10" t="str">
        <x:f>A89</x:f>
        <x:v>OF3 / 3</x:v>
      </x:c>
      <x:c r="B177" s="10" t="n">
        <x:f>F89-E89</x:f>
        <x:v>90.99274364457831</x:v>
      </x:c>
      <x:c r="C177" s="10" t="n">
        <x:f>10*MAX($B$6-B89,0)+MAX(IF(B89&lt;=$B$6,'Нагрузки'!B7-1.5*'Нагрузки'!B6*($B$6-B89)/$B$6,'Нагрузки'!B7-7.5*'Исходные данные'!B36*(B89-$B$6)),IF(B89&gt;$B$6,0.03*'Исходные данные'!B8+5,0))</x:f>
        <x:v>23.815038376004875</x:v>
      </x:c>
      <x:c r="D177" s="10" t="n">
        <x:f>MAX(B177,C177,ABS(F89-(C89+D89)))</x:f>
        <x:v>90.99274364457831</x:v>
      </x:c>
      <x:c r="E177" s="10" t="n">
        <x:f>MAX('Исходные данные'!B28*('Исходные данные'!B38+'Нагрузки'!B8)*(MAX($B$10-B89,0)),'Исходные данные'!B28*'Исходные данные'!B38*((MAX($B$10-B89,0))+($B$8)*'Нагрузки'!B9),'Исходные данные'!B28*'Исходные данные'!B38*((MAX($B$10-B89,0))+'Балластные случаи'!B12*'Нагрузки'!B10),0.75*'Исходные данные'!B28*'Исходные данные'!B38*((MAX($B$10-B89,0))+'Балластные случаи'!B13),'Исходные данные'!B28*'Исходные данные'!B38*(MAX($B$10-B89,0))+'Балластные случаи'!B14)</x:f>
        <x:v>87.72587772289155</x:v>
      </x:c>
      <x:c r="F177" s="10" t="n">
        <x:f>MAX(E177,F89)</x:f>
        <x:v>90.99274364457831</x:v>
      </x:c>
    </x:row>
    <x:row r="178" ht="40" customHeight="1">
      <x:c r="A178" s="10" t="str">
        <x:f>A90</x:f>
        <x:v>OF4 / 1</x:v>
      </x:c>
      <x:c r="B178" s="10" t="n">
        <x:f>F90-E90</x:f>
        <x:v>59.82146864457828</x:v>
      </x:c>
      <x:c r="C178" s="10" t="n">
        <x:f>10*MAX($B$6-B90,0)+MAX(IF(B90&lt;=$B$6,'Нагрузки'!B7-1.5*'Нагрузки'!B6*($B$6-B90)/$B$6,'Нагрузки'!B7-7.5*'Исходные данные'!B36*(B90-$B$6)),IF(B90&gt;$B$6,0.03*'Исходные данные'!B8+5,0))</x:f>
        <x:v>17.607288376004874</x:v>
      </x:c>
      <x:c r="D178" s="10" t="n">
        <x:f>MAX(B178,C178,ABS(F90-(C90+D90)))</x:f>
        <x:v>59.82146864457828</x:v>
      </x:c>
      <x:c r="E178" s="10" t="n">
        <x:f>MAX('Исходные данные'!B28*('Исходные данные'!B38+'Нагрузки'!B8)*(MAX($B$10-B90,0)),'Исходные данные'!B28*'Исходные данные'!B38*((MAX($B$10-B90,0))+($B$8)*'Нагрузки'!B9),'Исходные данные'!B28*'Исходные данные'!B38*((MAX($B$10-B90,0))+'Балластные случаи'!B12*'Нагрузки'!B10),0.75*'Исходные данные'!B28*'Исходные данные'!B38*((MAX($B$10-B90,0))+'Балластные случаи'!B13),'Исходные данные'!B28*'Исходные данные'!B38*(MAX($B$10-B90,0))+'Балластные случаи'!B14)</x:f>
        <x:v>56.554602722891545</x:v>
      </x:c>
      <x:c r="F178" s="10" t="n">
        <x:f>MAX(E178,F90)</x:f>
        <x:v>59.82146864457828</x:v>
      </x:c>
    </x:row>
    <x:row r="179" ht="40" customHeight="1">
      <x:c r="A179" s="10" t="str">
        <x:f>A91</x:f>
        <x:v>OF4 / 2</x:v>
      </x:c>
      <x:c r="B179" s="10" t="n">
        <x:f>F91-E91</x:f>
        <x:v>59.82146864457828</x:v>
      </x:c>
      <x:c r="C179" s="10" t="n">
        <x:f>10*MAX($B$6-B91,0)+MAX(IF(B91&lt;=$B$6,'Нагрузки'!B7-1.5*'Нагрузки'!B6*($B$6-B91)/$B$6,'Нагрузки'!B7-7.5*'Исходные данные'!B36*(B91-$B$6)),IF(B91&gt;$B$6,0.03*'Исходные данные'!B8+5,0))</x:f>
        <x:v>17.607288376004874</x:v>
      </x:c>
      <x:c r="D179" s="10" t="n">
        <x:f>MAX(B179,C179,ABS(F91-(C91+D91)))</x:f>
        <x:v>59.82146864457828</x:v>
      </x:c>
      <x:c r="E179" s="10" t="n">
        <x:f>MAX('Исходные данные'!B28*('Исходные данные'!B38+'Нагрузки'!B8)*(MAX($B$10-B91,0)),'Исходные данные'!B28*'Исходные данные'!B38*((MAX($B$10-B91,0))+($B$8)*'Нагрузки'!B9),'Исходные данные'!B28*'Исходные данные'!B38*((MAX($B$10-B91,0))+'Балластные случаи'!B12*'Нагрузки'!B10),0.75*'Исходные данные'!B28*'Исходные данные'!B38*((MAX($B$10-B91,0))+'Балластные случаи'!B13),'Исходные данные'!B28*'Исходные данные'!B38*(MAX($B$10-B91,0))+'Балластные случаи'!B14)</x:f>
        <x:v>56.554602722891545</x:v>
      </x:c>
      <x:c r="F179" s="10" t="n">
        <x:f>MAX(E179,F91)</x:f>
        <x:v>59.82146864457828</x:v>
      </x:c>
    </x:row>
    <x:row r="180" ht="40" customHeight="1">
      <x:c r="A180" s="10" t="str">
        <x:f>A92</x:f>
        <x:v>OF4 / 3</x:v>
      </x:c>
      <x:c r="B180" s="10" t="n">
        <x:f>F92-E92</x:f>
        <x:v>59.82146864457828</x:v>
      </x:c>
      <x:c r="C180" s="10" t="n">
        <x:f>10*MAX($B$6-B92,0)+MAX(IF(B92&lt;=$B$6,'Нагрузки'!B7-1.5*'Нагрузки'!B6*($B$6-B92)/$B$6,'Нагрузки'!B7-7.5*'Исходные данные'!B36*(B92-$B$6)),IF(B92&gt;$B$6,0.03*'Исходные данные'!B8+5,0))</x:f>
        <x:v>17.607288376004874</x:v>
      </x:c>
      <x:c r="D180" s="10" t="n">
        <x:f>MAX(B180,C180,ABS(F92-(C92+D92)))</x:f>
        <x:v>59.82146864457828</x:v>
      </x:c>
      <x:c r="E180" s="10" t="n">
        <x:f>MAX('Исходные данные'!B28*('Исходные данные'!B38+'Нагрузки'!B8)*(MAX($B$10-B92,0)),'Исходные данные'!B28*'Исходные данные'!B38*((MAX($B$10-B92,0))+($B$8)*'Нагрузки'!B9),'Исходные данные'!B28*'Исходные данные'!B38*((MAX($B$10-B92,0))+'Балластные случаи'!B12*'Нагрузки'!B10),0.75*'Исходные данные'!B28*'Исходные данные'!B38*((MAX($B$10-B92,0))+'Балластные случаи'!B13),'Исходные данные'!B28*'Исходные данные'!B38*(MAX($B$10-B92,0))+'Балластные случаи'!B14)</x:f>
        <x:v>56.554602722891545</x:v>
      </x:c>
      <x:c r="F180" s="10" t="n">
        <x:f>MAX(E180,F92)</x:f>
        <x:v>59.82146864457828</x:v>
      </x:c>
    </x:row>
    <x:row r="181" ht="40" customHeight="1">
      <x:c r="A181" s="10" t="str">
        <x:f>A93</x:f>
        <x:v>IF1 / 1</x:v>
      </x:c>
      <x:c r="B181" s="10" t="n">
        <x:f>F93-E93</x:f>
        <x:v>152.8325311445783</x:v>
      </x:c>
      <x:c r="C181" s="10" t="n">
        <x:f>10*MAX($B$6-B93,0)+MAX(IF(B93&lt;=$B$6,'Нагрузки'!B7-1.5*'Нагрузки'!B6*($B$6-B93)/$B$6,'Нагрузки'!B7-7.5*'Исходные данные'!B36*(B93-$B$6)),IF(B93&gt;$B$6,0.03*'Исходные данные'!B8+5,0))</x:f>
        <x:v>69.85091046099161</x:v>
      </x:c>
      <x:c r="D181" s="10" t="n">
        <x:f>MAX(B181,C181,ABS(F93-(C93+D93)))</x:f>
        <x:v>152.8325311445783</x:v>
      </x:c>
      <x:c r="E181" s="10" t="n">
        <x:f>MAX('Исходные данные'!B28*('Исходные данные'!B38+'Нагрузки'!B8)*(MAX($B$10-B93,0)),'Исходные данные'!B28*'Исходные данные'!B38*((MAX($B$10-B93,0))+($B$8)*'Нагрузки'!B9),'Исходные данные'!B28*'Исходные данные'!B38*((MAX($B$10-B93,0))+'Балластные случаи'!B12*'Нагрузки'!B10),0.75*'Исходные данные'!B28*'Исходные данные'!B38*((MAX($B$10-B93,0))+'Балластные случаи'!B13),'Исходные данные'!B28*'Исходные данные'!B38*(MAX($B$10-B93,0))+'Балластные случаи'!B14)</x:f>
        <x:v>149.56566522289154</x:v>
      </x:c>
      <x:c r="F181" s="10" t="n">
        <x:f>MAX(E181,F93)</x:f>
        <x:v>152.8325311445783</x:v>
      </x:c>
    </x:row>
    <x:row r="182" ht="40" customHeight="1">
      <x:c r="A182" s="10" t="str">
        <x:f>A94</x:f>
        <x:v>IF1 / 2</x:v>
      </x:c>
      <x:c r="B182" s="10" t="n">
        <x:f>F94-E94</x:f>
        <x:v>152.8325311445783</x:v>
      </x:c>
      <x:c r="C182" s="10" t="n">
        <x:f>10*MAX($B$6-B94,0)+MAX(IF(B94&lt;=$B$6,'Нагрузки'!B7-1.5*'Нагрузки'!B6*($B$6-B94)/$B$6,'Нагрузки'!B7-7.5*'Исходные данные'!B36*(B94-$B$6)),IF(B94&gt;$B$6,0.03*'Исходные данные'!B8+5,0))</x:f>
        <x:v>69.85091046099161</x:v>
      </x:c>
      <x:c r="D182" s="10" t="n">
        <x:f>MAX(B182,C182,ABS(F94-(C94+D94)))</x:f>
        <x:v>152.8325311445783</x:v>
      </x:c>
      <x:c r="E182" s="10" t="n">
        <x:f>MAX('Исходные данные'!B28*('Исходные данные'!B38+'Нагрузки'!B8)*(MAX($B$10-B94,0)),'Исходные данные'!B28*'Исходные данные'!B38*((MAX($B$10-B94,0))+($B$8)*'Нагрузки'!B9),'Исходные данные'!B28*'Исходные данные'!B38*((MAX($B$10-B94,0))+'Балластные случаи'!B12*'Нагрузки'!B10),0.75*'Исходные данные'!B28*'Исходные данные'!B38*((MAX($B$10-B94,0))+'Балластные случаи'!B13),'Исходные данные'!B28*'Исходные данные'!B38*(MAX($B$10-B94,0))+'Балластные случаи'!B14)</x:f>
        <x:v>149.56566522289154</x:v>
      </x:c>
      <x:c r="F182" s="10" t="n">
        <x:f>MAX(E182,F94)</x:f>
        <x:v>152.8325311445783</x:v>
      </x:c>
    </x:row>
    <x:row r="183" ht="40" customHeight="1">
      <x:c r="A183" s="10" t="str">
        <x:f>A95</x:f>
        <x:v>IF1 / 3</x:v>
      </x:c>
      <x:c r="B183" s="10" t="n">
        <x:f>F95-E95</x:f>
        <x:v>152.8325311445783</x:v>
      </x:c>
      <x:c r="C183" s="10" t="n">
        <x:f>10*MAX($B$6-B95,0)+MAX(IF(B95&lt;=$B$6,'Нагрузки'!B7-1.5*'Нагрузки'!B6*($B$6-B95)/$B$6,'Нагрузки'!B7-7.5*'Исходные данные'!B36*(B95-$B$6)),IF(B95&gt;$B$6,0.03*'Исходные данные'!B8+5,0))</x:f>
        <x:v>69.85091046099161</x:v>
      </x:c>
      <x:c r="D183" s="10" t="n">
        <x:f>MAX(B183,C183,ABS(F95-(C95+D95)))</x:f>
        <x:v>152.8325311445783</x:v>
      </x:c>
      <x:c r="E183" s="10" t="n">
        <x:f>MAX('Исходные данные'!B28*('Исходные данные'!B38+'Нагрузки'!B8)*(MAX($B$10-B95,0)),'Исходные данные'!B28*'Исходные данные'!B38*((MAX($B$10-B95,0))+($B$8)*'Нагрузки'!B9),'Исходные данные'!B28*'Исходные данные'!B38*((MAX($B$10-B95,0))+'Балластные случаи'!B12*'Нагрузки'!B10),0.75*'Исходные данные'!B28*'Исходные данные'!B38*((MAX($B$10-B95,0))+'Балластные случаи'!B13),'Исходные данные'!B28*'Исходные данные'!B38*(MAX($B$10-B95,0))+'Балластные случаи'!B14)</x:f>
        <x:v>149.56566522289154</x:v>
      </x:c>
      <x:c r="F183" s="10" t="n">
        <x:f>MAX(E183,F95)</x:f>
        <x:v>152.8325311445783</x:v>
      </x:c>
    </x:row>
    <x:row r="184" ht="40" customHeight="1">
      <x:c r="A184" s="10" t="str">
        <x:f>A96</x:f>
        <x:v>IF2 / 1</x:v>
      </x:c>
      <x:c r="B184" s="10" t="n">
        <x:f>F96-E96</x:f>
        <x:v>122.16401864457828</x:v>
      </x:c>
      <x:c r="C184" s="10" t="n">
        <x:f>10*MAX($B$6-B96,0)+MAX(IF(B96&lt;=$B$6,'Нагрузки'!B7-1.5*'Нагрузки'!B6*($B$6-B96)/$B$6,'Нагрузки'!B7-7.5*'Исходные данные'!B36*(B96-$B$6)),IF(B96&gt;$B$6,0.03*'Исходные данные'!B8+5,0))</x:f>
        <x:v>43.96491697845131</x:v>
      </x:c>
      <x:c r="D184" s="10" t="n">
        <x:f>MAX(B184,C184,ABS(F96-(C96+D96)))</x:f>
        <x:v>122.16401864457828</x:v>
      </x:c>
      <x:c r="E184" s="10" t="n">
        <x:f>MAX('Исходные данные'!B28*('Исходные данные'!B38+'Нагрузки'!B8)*(MAX($B$10-B96,0)),'Исходные данные'!B28*'Исходные данные'!B38*((MAX($B$10-B96,0))+($B$8)*'Нагрузки'!B9),'Исходные данные'!B28*'Исходные данные'!B38*((MAX($B$10-B96,0))+'Балластные случаи'!B12*'Нагрузки'!B10),0.75*'Исходные данные'!B28*'Исходные данные'!B38*((MAX($B$10-B96,0))+'Балластные случаи'!B13),'Исходные данные'!B28*'Исходные данные'!B38*(MAX($B$10-B96,0))+'Балластные случаи'!B14)</x:f>
        <x:v>118.89715272289155</x:v>
      </x:c>
      <x:c r="F184" s="10" t="n">
        <x:f>MAX(E184,F96)</x:f>
        <x:v>122.16401864457828</x:v>
      </x:c>
    </x:row>
    <x:row r="185" ht="40" customHeight="1">
      <x:c r="A185" s="10" t="str">
        <x:f>A97</x:f>
        <x:v>IF2 / 2</x:v>
      </x:c>
      <x:c r="B185" s="10" t="n">
        <x:f>F97-E97</x:f>
        <x:v>122.16401864457828</x:v>
      </x:c>
      <x:c r="C185" s="10" t="n">
        <x:f>10*MAX($B$6-B97,0)+MAX(IF(B97&lt;=$B$6,'Нагрузки'!B7-1.5*'Нагрузки'!B6*($B$6-B97)/$B$6,'Нагрузки'!B7-7.5*'Исходные данные'!B36*(B97-$B$6)),IF(B97&gt;$B$6,0.03*'Исходные данные'!B8+5,0))</x:f>
        <x:v>43.96491697845131</x:v>
      </x:c>
      <x:c r="D185" s="10" t="n">
        <x:f>MAX(B185,C185,ABS(F97-(C97+D97)))</x:f>
        <x:v>122.16401864457828</x:v>
      </x:c>
      <x:c r="E185" s="10" t="n">
        <x:f>MAX('Исходные данные'!B28*('Исходные данные'!B38+'Нагрузки'!B8)*(MAX($B$10-B97,0)),'Исходные данные'!B28*'Исходные данные'!B38*((MAX($B$10-B97,0))+($B$8)*'Нагрузки'!B9),'Исходные данные'!B28*'Исходные данные'!B38*((MAX($B$10-B97,0))+'Балластные случаи'!B12*'Нагрузки'!B10),0.75*'Исходные данные'!B28*'Исходные данные'!B38*((MAX($B$10-B97,0))+'Балластные случаи'!B13),'Исходные данные'!B28*'Исходные данные'!B38*(MAX($B$10-B97,0))+'Балластные случаи'!B14)</x:f>
        <x:v>118.89715272289155</x:v>
      </x:c>
      <x:c r="F185" s="10" t="n">
        <x:f>MAX(E185,F97)</x:f>
        <x:v>122.16401864457828</x:v>
      </x:c>
    </x:row>
    <x:row r="186" ht="40" customHeight="1">
      <x:c r="A186" s="10" t="str">
        <x:f>A98</x:f>
        <x:v>IF2 / 3</x:v>
      </x:c>
      <x:c r="B186" s="10" t="n">
        <x:f>F98-E98</x:f>
        <x:v>122.16401864457828</x:v>
      </x:c>
      <x:c r="C186" s="10" t="n">
        <x:f>10*MAX($B$6-B98,0)+MAX(IF(B98&lt;=$B$6,'Нагрузки'!B7-1.5*'Нагрузки'!B6*($B$6-B98)/$B$6,'Нагрузки'!B7-7.5*'Исходные данные'!B36*(B98-$B$6)),IF(B98&gt;$B$6,0.03*'Исходные данные'!B8+5,0))</x:f>
        <x:v>43.96491697845131</x:v>
      </x:c>
      <x:c r="D186" s="10" t="n">
        <x:f>MAX(B186,C186,ABS(F98-(C98+D98)))</x:f>
        <x:v>122.16401864457828</x:v>
      </x:c>
      <x:c r="E186" s="10" t="n">
        <x:f>MAX('Исходные данные'!B28*('Исходные данные'!B38+'Нагрузки'!B8)*(MAX($B$10-B98,0)),'Исходные данные'!B28*'Исходные данные'!B38*((MAX($B$10-B98,0))+($B$8)*'Нагрузки'!B9),'Исходные данные'!B28*'Исходные данные'!B38*((MAX($B$10-B98,0))+'Балластные случаи'!B12*'Нагрузки'!B10),0.75*'Исходные данные'!B28*'Исходные данные'!B38*((MAX($B$10-B98,0))+'Балластные случаи'!B13),'Исходные данные'!B28*'Исходные данные'!B38*(MAX($B$10-B98,0))+'Балластные случаи'!B14)</x:f>
        <x:v>118.89715272289155</x:v>
      </x:c>
      <x:c r="F186" s="10" t="n">
        <x:f>MAX(E186,F98)</x:f>
        <x:v>122.16401864457828</x:v>
      </x:c>
    </x:row>
    <x:row r="187" ht="40" customHeight="1">
      <x:c r="A187" s="10" t="str">
        <x:f>A99</x:f>
        <x:v>IF3 / 1</x:v>
      </x:c>
      <x:c r="B187" s="10" t="n">
        <x:f>F99-E99</x:f>
        <x:v>90.99274364457831</x:v>
      </x:c>
      <x:c r="C187" s="10" t="n">
        <x:f>10*MAX($B$6-B99,0)+MAX(IF(B99&lt;=$B$6,'Нагрузки'!B7-1.5*'Нагрузки'!B6*($B$6-B99)/$B$6,'Нагрузки'!B7-7.5*'Исходные данные'!B36*(B99-$B$6)),IF(B99&gt;$B$6,0.03*'Исходные данные'!B8+5,0))</x:f>
        <x:v>23.815038376004875</x:v>
      </x:c>
      <x:c r="D187" s="10" t="n">
        <x:f>MAX(B187,C187,ABS(F99-(C99+D99)))</x:f>
        <x:v>90.99274364457831</x:v>
      </x:c>
      <x:c r="E187" s="10" t="n">
        <x:f>MAX('Исходные данные'!B28*('Исходные данные'!B38+'Нагрузки'!B8)*(MAX($B$10-B99,0)),'Исходные данные'!B28*'Исходные данные'!B38*((MAX($B$10-B99,0))+($B$8)*'Нагрузки'!B9),'Исходные данные'!B28*'Исходные данные'!B38*((MAX($B$10-B99,0))+'Балластные случаи'!B12*'Нагрузки'!B10),0.75*'Исходные данные'!B28*'Исходные данные'!B38*((MAX($B$10-B99,0))+'Балластные случаи'!B13),'Исходные данные'!B28*'Исходные данные'!B38*(MAX($B$10-B99,0))+'Балластные случаи'!B14)</x:f>
        <x:v>87.72587772289155</x:v>
      </x:c>
      <x:c r="F187" s="10" t="n">
        <x:f>MAX(E187,F99)</x:f>
        <x:v>90.99274364457831</x:v>
      </x:c>
    </x:row>
    <x:row r="188" ht="40" customHeight="1">
      <x:c r="A188" s="10" t="str">
        <x:f>A100</x:f>
        <x:v>IF3 / 2</x:v>
      </x:c>
      <x:c r="B188" s="10" t="n">
        <x:f>F100-E100</x:f>
        <x:v>90.99274364457831</x:v>
      </x:c>
      <x:c r="C188" s="10" t="n">
        <x:f>10*MAX($B$6-B100,0)+MAX(IF(B100&lt;=$B$6,'Нагрузки'!B7-1.5*'Нагрузки'!B6*($B$6-B100)/$B$6,'Нагрузки'!B7-7.5*'Исходные данные'!B36*(B100-$B$6)),IF(B100&gt;$B$6,0.03*'Исходные данные'!B8+5,0))</x:f>
        <x:v>23.815038376004875</x:v>
      </x:c>
      <x:c r="D188" s="10" t="n">
        <x:f>MAX(B188,C188,ABS(F100-(C100+D100)))</x:f>
        <x:v>90.99274364457831</x:v>
      </x:c>
      <x:c r="E188" s="10" t="n">
        <x:f>MAX('Исходные данные'!B28*('Исходные данные'!B38+'Нагрузки'!B8)*(MAX($B$10-B100,0)),'Исходные данные'!B28*'Исходные данные'!B38*((MAX($B$10-B100,0))+($B$8)*'Нагрузки'!B9),'Исходные данные'!B28*'Исходные данные'!B38*((MAX($B$10-B100,0))+'Балластные случаи'!B12*'Нагрузки'!B10),0.75*'Исходные данные'!B28*'Исходные данные'!B38*((MAX($B$10-B100,0))+'Балластные случаи'!B13),'Исходные данные'!B28*'Исходные данные'!B38*(MAX($B$10-B100,0))+'Балластные случаи'!B14)</x:f>
        <x:v>87.72587772289155</x:v>
      </x:c>
      <x:c r="F188" s="10" t="n">
        <x:f>MAX(E188,F100)</x:f>
        <x:v>90.99274364457831</x:v>
      </x:c>
    </x:row>
    <x:row r="189" ht="40" customHeight="1">
      <x:c r="A189" s="10" t="str">
        <x:f>A101</x:f>
        <x:v>IF3 / 3</x:v>
      </x:c>
      <x:c r="B189" s="10" t="n">
        <x:f>F101-E101</x:f>
        <x:v>90.99274364457831</x:v>
      </x:c>
      <x:c r="C189" s="10" t="n">
        <x:f>10*MAX($B$6-B101,0)+MAX(IF(B101&lt;=$B$6,'Нагрузки'!B7-1.5*'Нагрузки'!B6*($B$6-B101)/$B$6,'Нагрузки'!B7-7.5*'Исходные данные'!B36*(B101-$B$6)),IF(B101&gt;$B$6,0.03*'Исходные данные'!B8+5,0))</x:f>
        <x:v>23.815038376004875</x:v>
      </x:c>
      <x:c r="D189" s="10" t="n">
        <x:f>MAX(B189,C189,ABS(F101-(C101+D101)))</x:f>
        <x:v>90.99274364457831</x:v>
      </x:c>
      <x:c r="E189" s="10" t="n">
        <x:f>MAX('Исходные данные'!B28*('Исходные данные'!B38+'Нагрузки'!B8)*(MAX($B$10-B101,0)),'Исходные данные'!B28*'Исходные данные'!B38*((MAX($B$10-B101,0))+($B$8)*'Нагрузки'!B9),'Исходные данные'!B28*'Исходные данные'!B38*((MAX($B$10-B101,0))+'Балластные случаи'!B12*'Нагрузки'!B10),0.75*'Исходные данные'!B28*'Исходные данные'!B38*((MAX($B$10-B101,0))+'Балластные случаи'!B13),'Исходные данные'!B28*'Исходные данные'!B38*(MAX($B$10-B101,0))+'Балластные случаи'!B14)</x:f>
        <x:v>87.72587772289155</x:v>
      </x:c>
      <x:c r="F189" s="10" t="n">
        <x:f>MAX(E189,F101)</x:f>
        <x:v>90.99274364457831</x:v>
      </x:c>
    </x:row>
    <x:row r="190" ht="40" customHeight="1">
      <x:c r="A190" s="10" t="str">
        <x:f>A102</x:f>
        <x:v>IF4 / 1</x:v>
      </x:c>
      <x:c r="B190" s="10" t="n">
        <x:f>F102-E102</x:f>
        <x:v>59.41925864457829</x:v>
      </x:c>
      <x:c r="C190" s="10" t="n">
        <x:f>10*MAX($B$6-B102,0)+MAX(IF(B102&lt;=$B$6,'Нагрузки'!B7-1.5*'Нагрузки'!B6*($B$6-B102)/$B$6,'Нагрузки'!B7-7.5*'Исходные данные'!B36*(B102-$B$6)),IF(B102&gt;$B$6,0.03*'Исходные данные'!B8+5,0))</x:f>
        <x:v>17.527188376004872</x:v>
      </x:c>
      <x:c r="D190" s="10" t="n">
        <x:f>MAX(B190,C190,ABS(F102-(C102+D102)))</x:f>
        <x:v>59.41925864457829</x:v>
      </x:c>
      <x:c r="E190" s="10" t="n">
        <x:f>MAX('Исходные данные'!B28*('Исходные данные'!B38+'Нагрузки'!B8)*(MAX($B$10-B102,0)),'Исходные данные'!B28*'Исходные данные'!B38*((MAX($B$10-B102,0))+($B$8)*'Нагрузки'!B9),'Исходные данные'!B28*'Исходные данные'!B38*((MAX($B$10-B102,0))+'Балластные случаи'!B12*'Нагрузки'!B10),0.75*'Исходные данные'!B28*'Исходные данные'!B38*((MAX($B$10-B102,0))+'Балластные случаи'!B13),'Исходные данные'!B28*'Исходные данные'!B38*(MAX($B$10-B102,0))+'Балластные случаи'!B14)</x:f>
        <x:v>56.15239272289155</x:v>
      </x:c>
      <x:c r="F190" s="10" t="n">
        <x:f>MAX(E190,F102)</x:f>
        <x:v>59.41925864457829</x:v>
      </x:c>
    </x:row>
    <x:row r="191" ht="40" customHeight="1">
      <x:c r="A191" s="10" t="str">
        <x:f>A103</x:f>
        <x:v>IF4 / 2</x:v>
      </x:c>
      <x:c r="B191" s="10" t="n">
        <x:f>F103-E103</x:f>
        <x:v>59.41925864457829</x:v>
      </x:c>
      <x:c r="C191" s="10" t="n">
        <x:f>10*MAX($B$6-B103,0)+MAX(IF(B103&lt;=$B$6,'Нагрузки'!B7-1.5*'Нагрузки'!B6*($B$6-B103)/$B$6,'Нагрузки'!B7-7.5*'Исходные данные'!B36*(B103-$B$6)),IF(B103&gt;$B$6,0.03*'Исходные данные'!B8+5,0))</x:f>
        <x:v>17.527188376004872</x:v>
      </x:c>
      <x:c r="D191" s="10" t="n">
        <x:f>MAX(B191,C191,ABS(F103-(C103+D103)))</x:f>
        <x:v>59.41925864457829</x:v>
      </x:c>
      <x:c r="E191" s="10" t="n">
        <x:f>MAX('Исходные данные'!B28*('Исходные данные'!B38+'Нагрузки'!B8)*(MAX($B$10-B103,0)),'Исходные данные'!B28*'Исходные данные'!B38*((MAX($B$10-B103,0))+($B$8)*'Нагрузки'!B9),'Исходные данные'!B28*'Исходные данные'!B38*((MAX($B$10-B103,0))+'Балластные случаи'!B12*'Нагрузки'!B10),0.75*'Исходные данные'!B28*'Исходные данные'!B38*((MAX($B$10-B103,0))+'Балластные случаи'!B13),'Исходные данные'!B28*'Исходные данные'!B38*(MAX($B$10-B103,0))+'Балластные случаи'!B14)</x:f>
        <x:v>56.15239272289155</x:v>
      </x:c>
      <x:c r="F191" s="10" t="n">
        <x:f>MAX(E191,F103)</x:f>
        <x:v>59.41925864457829</x:v>
      </x:c>
    </x:row>
    <x:row r="192" ht="40" customHeight="1">
      <x:c r="A192" s="10" t="str">
        <x:f>A104</x:f>
        <x:v>IF4 / 3</x:v>
      </x:c>
      <x:c r="B192" s="10" t="n">
        <x:f>F104-E104</x:f>
        <x:v>59.41925864457829</x:v>
      </x:c>
      <x:c r="C192" s="10" t="n">
        <x:f>10*MAX($B$6-B104,0)+MAX(IF(B104&lt;=$B$6,'Нагрузки'!B7-1.5*'Нагрузки'!B6*($B$6-B104)/$B$6,'Нагрузки'!B7-7.5*'Исходные данные'!B36*(B104-$B$6)),IF(B104&gt;$B$6,0.03*'Исходные данные'!B8+5,0))</x:f>
        <x:v>17.527188376004872</x:v>
      </x:c>
      <x:c r="D192" s="10" t="n">
        <x:f>MAX(B192,C192,ABS(F104-(C104+D104)))</x:f>
        <x:v>59.41925864457829</x:v>
      </x:c>
      <x:c r="E192" s="10" t="n">
        <x:f>MAX('Исходные данные'!B28*('Исходные данные'!B38+'Нагрузки'!B8)*(MAX($B$10-B104,0)),'Исходные данные'!B28*'Исходные данные'!B38*((MAX($B$10-B104,0))+($B$8)*'Нагрузки'!B9),'Исходные данные'!B28*'Исходные данные'!B38*((MAX($B$10-B104,0))+'Балластные случаи'!B12*'Нагрузки'!B10),0.75*'Исходные данные'!B28*'Исходные данные'!B38*((MAX($B$10-B104,0))+'Балластные случаи'!B13),'Исходные данные'!B28*'Исходные данные'!B38*(MAX($B$10-B104,0))+'Балластные случаи'!B14)</x:f>
        <x:v>56.15239272289155</x:v>
      </x:c>
      <x:c r="F192" s="10" t="n">
        <x:f>MAX(E192,F104)</x:f>
        <x:v>59.41925864457829</x:v>
      </x:c>
    </x:row>
    <x:row r="193" ht="40" customHeight="1">
      <x:c r="A193" s="10"/>
      <x:c r="B193" s="10"/>
      <x:c r="C193" s="10"/>
      <x:c r="D193" s="10"/>
      <x:c r="E193" s="10"/>
      <x:c r="F193" s="10"/>
    </x:row>
    <x:row r="194" ht="40" customHeight="1">
      <x:c r="A194" s="10"/>
      <x:c r="B194" s="10"/>
      <x:c r="C194" s="10"/>
      <x:c r="D194" s="10"/>
      <x:c r="E194" s="10"/>
      <x:c r="F194" s="10"/>
    </x:row>
    <x:row r="195" ht="40" customHeight="1">
      <x:c r="A195" s="10"/>
      <x:c r="B195" s="10"/>
      <x:c r="C195" s="10"/>
      <x:c r="D195" s="10"/>
      <x:c r="E195" s="10"/>
      <x:c r="F195" s="10"/>
    </x:row>
    <x:row r="196" ht="40" customHeight="1">
      <x:c r="A196" s="10"/>
      <x:c r="B196" s="10"/>
      <x:c r="C196" s="10"/>
      <x:c r="D196" s="10"/>
      <x:c r="E196" s="10"/>
      <x:c r="F196" s="10"/>
    </x:row>
    <x:row r="197" ht="40" customHeight="1">
      <x:c r="A197" s="10"/>
      <x:c r="B197" s="10"/>
      <x:c r="C197" s="10"/>
      <x:c r="D197" s="10"/>
      <x:c r="E197" s="10"/>
      <x:c r="F197" s="10"/>
    </x:row>
    <x:row r="198" ht="48" customHeight="1">
      <x:c r="A198" s="20"/>
      <x:c r="B198" s="10"/>
      <x:c r="C198" s="10"/>
      <x:c r="D198" s="10"/>
      <x:c r="E198" s="10"/>
      <x:c r="F198" s="10"/>
    </x:row>
    <x:row r="199" ht="40" customHeight="1">
      <x:c r="A199" s="10"/>
      <x:c r="B199" s="10"/>
      <x:c r="C199" s="10"/>
      <x:c r="D199" s="10"/>
      <x:c r="E199" s="10"/>
      <x:c r="F199" s="10"/>
    </x:row>
    <x:row r="200" ht="40" customHeight="1">
      <x:c r="A200" s="10"/>
      <x:c r="B200" s="10"/>
      <x:c r="C200" s="10"/>
      <x:c r="D200" s="10"/>
      <x:c r="E200" s="10"/>
      <x:c r="F200" s="10"/>
    </x:row>
    <x:row r="201" ht="40" customHeight="1">
      <x:c r="A201" s="10"/>
      <x:c r="B201" s="10"/>
      <x:c r="C201" s="10"/>
      <x:c r="D201" s="10"/>
      <x:c r="E201" s="10"/>
      <x:c r="F201" s="10"/>
    </x:row>
    <x:row r="202" ht="40" customHeight="1">
      <x:c r="A202" s="10"/>
      <x:c r="B202" s="10"/>
      <x:c r="C202" s="10"/>
      <x:c r="D202" s="10"/>
      <x:c r="E202" s="10"/>
      <x:c r="F202" s="10"/>
    </x:row>
    <x:row r="203" ht="40" customHeight="1">
      <x:c r="A203" s="10"/>
      <x:c r="B203" s="10"/>
      <x:c r="C203" s="10"/>
      <x:c r="D203" s="10"/>
      <x:c r="E203" s="10"/>
      <x:c r="F203" s="10"/>
    </x:row>
    <x:row r="204" ht="40" customHeight="1">
      <x:c r="A204" s="10"/>
      <x:c r="B204" s="10"/>
      <x:c r="C204" s="10"/>
      <x:c r="D204" s="10"/>
      <x:c r="E204" s="10"/>
      <x:c r="F204" s="10"/>
    </x:row>
    <x:row r="205" ht="40" customHeight="1">
      <x:c r="A205" s="10"/>
      <x:c r="B205" s="10"/>
      <x:c r="C205" s="10"/>
      <x:c r="D205" s="10"/>
      <x:c r="E205" s="10"/>
      <x:c r="F205" s="10"/>
    </x:row>
    <x:row r="206" ht="40" customHeight="1">
      <x:c r="A206" s="10"/>
      <x:c r="B206" s="10"/>
      <x:c r="C206" s="10"/>
      <x:c r="D206" s="10"/>
      <x:c r="E206" s="10"/>
      <x:c r="F206" s="10"/>
    </x:row>
    <x:row r="207" ht="40" customHeight="1">
      <x:c r="A207" s="10"/>
      <x:c r="B207" s="10"/>
      <x:c r="C207" s="10"/>
      <x:c r="D207" s="10"/>
      <x:c r="E207" s="10"/>
      <x:c r="F207" s="10"/>
    </x:row>
    <x:row r="208" ht="40" customHeight="1">
      <x:c r="A208" s="10"/>
      <x:c r="B208" s="10"/>
      <x:c r="C208" s="10"/>
      <x:c r="D208" s="10"/>
      <x:c r="E208" s="10"/>
      <x:c r="F208" s="10"/>
    </x:row>
    <x:row r="209" ht="40" customHeight="1">
      <x:c r="A209" s="10"/>
      <x:c r="B209" s="10"/>
      <x:c r="C209" s="10"/>
      <x:c r="D209" s="10"/>
      <x:c r="E209" s="10"/>
      <x:c r="F209" s="10"/>
    </x:row>
    <x:row r="210" ht="40" customHeight="1">
      <x:c r="A210" s="10"/>
      <x:c r="B210" s="10"/>
      <x:c r="C210" s="10"/>
      <x:c r="D210" s="10"/>
      <x:c r="E210" s="10"/>
      <x:c r="F210" s="10"/>
    </x:row>
    <x:row r="211" ht="40" customHeight="1">
      <x:c r="A211" s="10"/>
      <x:c r="B211" s="10"/>
      <x:c r="C211" s="10"/>
      <x:c r="D211" s="10"/>
      <x:c r="E211" s="10"/>
      <x:c r="F211" s="10"/>
    </x:row>
    <x:row r="212" ht="40" customHeight="1">
      <x:c r="A212" s="10"/>
      <x:c r="B212" s="10"/>
      <x:c r="C212" s="10"/>
      <x:c r="D212" s="10"/>
      <x:c r="E212" s="10"/>
      <x:c r="F212" s="10"/>
    </x:row>
    <x:row r="213" ht="40" customHeight="1">
      <x:c r="A213" s="10"/>
      <x:c r="B213" s="10"/>
      <x:c r="C213" s="10"/>
      <x:c r="D213" s="10"/>
      <x:c r="E213" s="10"/>
      <x:c r="F213" s="10"/>
    </x:row>
    <x:row r="214" ht="40" customHeight="1">
      <x:c r="A214" s="10"/>
      <x:c r="B214" s="10"/>
      <x:c r="C214" s="10"/>
      <x:c r="D214" s="10"/>
      <x:c r="E214" s="10"/>
      <x:c r="F214" s="10"/>
    </x:row>
    <x:row r="215" ht="40" customHeight="1">
      <x:c r="A215" s="10"/>
      <x:c r="B215" s="10"/>
      <x:c r="C215" s="10"/>
      <x:c r="D215" s="10"/>
      <x:c r="E215" s="10"/>
      <x:c r="F215" s="10"/>
    </x:row>
    <x:row r="216" ht="40" customHeight="1">
      <x:c r="A216" s="10"/>
      <x:c r="B216" s="10"/>
      <x:c r="C216" s="10"/>
      <x:c r="D216" s="10"/>
      <x:c r="E216" s="10"/>
      <x:c r="F216" s="10"/>
    </x:row>
    <x:row r="217" ht="40" customHeight="1">
      <x:c r="A217" s="10"/>
      <x:c r="B217" s="10"/>
      <x:c r="C217" s="10"/>
      <x:c r="D217" s="10"/>
      <x:c r="E217" s="10"/>
      <x:c r="F217" s="10"/>
    </x:row>
    <x:row r="218" ht="40" customHeight="1">
      <x:c r="A218" s="10"/>
      <x:c r="B218" s="10"/>
      <x:c r="C218" s="10"/>
      <x:c r="D218" s="10"/>
      <x:c r="E218" s="10"/>
      <x:c r="F218" s="10"/>
    </x:row>
    <x:row r="219" ht="40" customHeight="1">
      <x:c r="A219" s="10"/>
      <x:c r="B219" s="10"/>
      <x:c r="C219" s="10"/>
      <x:c r="D219" s="10"/>
      <x:c r="E219" s="10"/>
      <x:c r="F219" s="10"/>
    </x:row>
    <x:row r="220" ht="40" customHeight="1">
      <x:c r="A220" s="10"/>
      <x:c r="B220" s="10"/>
      <x:c r="C220" s="10"/>
      <x:c r="D220" s="10"/>
      <x:c r="E220" s="10"/>
      <x:c r="F220" s="10"/>
    </x:row>
    <x:row r="221" ht="40" customHeight="1">
      <x:c r="A221" s="10"/>
      <x:c r="B221" s="10"/>
      <x:c r="C221" s="10"/>
      <x:c r="D221" s="10"/>
      <x:c r="E221" s="10"/>
      <x:c r="F221" s="10"/>
    </x:row>
    <x:row r="222" ht="40" customHeight="1">
      <x:c r="A222" s="10"/>
      <x:c r="B222" s="10"/>
      <x:c r="C222" s="10"/>
      <x:c r="D222" s="10"/>
      <x:c r="E222" s="10"/>
      <x:c r="F222" s="10"/>
    </x:row>
    <x:row r="223" ht="40" customHeight="1">
      <x:c r="A223" s="10"/>
      <x:c r="B223" s="10"/>
      <x:c r="C223" s="10"/>
      <x:c r="D223" s="10"/>
      <x:c r="E223" s="10"/>
      <x:c r="F223" s="10"/>
    </x:row>
    <x:row r="224" ht="40" customHeight="1">
      <x:c r="A224" s="10"/>
      <x:c r="B224" s="10"/>
      <x:c r="C224" s="10"/>
      <x:c r="D224" s="10"/>
      <x:c r="E224" s="10"/>
      <x:c r="F224" s="10"/>
    </x:row>
    <x:row r="225" ht="40" customHeight="1">
      <x:c r="A225" s="10"/>
      <x:c r="B225" s="10"/>
      <x:c r="C225" s="10"/>
      <x:c r="D225" s="10"/>
      <x:c r="E225" s="10"/>
      <x:c r="F225" s="10"/>
    </x:row>
    <x:row r="226" ht="40" customHeight="1">
      <x:c r="A226" s="10"/>
      <x:c r="B226" s="10"/>
      <x:c r="C226" s="10"/>
      <x:c r="D226" s="10"/>
      <x:c r="E226" s="10"/>
      <x:c r="F226" s="10"/>
    </x:row>
    <x:row r="227" ht="40" customHeight="1">
      <x:c r="A227" s="10"/>
      <x:c r="B227" s="10"/>
      <x:c r="C227" s="10"/>
      <x:c r="D227" s="10"/>
      <x:c r="E227" s="10"/>
      <x:c r="F227" s="10"/>
    </x:row>
    <x:row r="228" ht="40" customHeight="1">
      <x:c r="A228" s="10"/>
      <x:c r="B228" s="10"/>
      <x:c r="C228" s="10"/>
      <x:c r="D228" s="10"/>
      <x:c r="E228" s="10"/>
      <x:c r="F228" s="10"/>
    </x:row>
    <x:row r="229" ht="40" customHeight="1">
      <x:c r="A229" s="10"/>
      <x:c r="B229" s="10"/>
      <x:c r="C229" s="10"/>
      <x:c r="D229" s="10"/>
      <x:c r="E229" s="10"/>
      <x:c r="F229" s="10"/>
    </x:row>
    <x:row r="230" ht="40" customHeight="1">
      <x:c r="A230" s="10"/>
      <x:c r="B230" s="10"/>
      <x:c r="C230" s="10"/>
      <x:c r="D230" s="10"/>
      <x:c r="E230" s="10"/>
      <x:c r="F230" s="10"/>
    </x:row>
    <x:row r="231" ht="40" customHeight="1">
      <x:c r="A231" s="10"/>
      <x:c r="B231" s="10"/>
      <x:c r="C231" s="10"/>
      <x:c r="D231" s="10"/>
      <x:c r="E231" s="10"/>
      <x:c r="F231" s="10"/>
    </x:row>
    <x:row r="232" ht="40" customHeight="1">
      <x:c r="A232" s="10"/>
      <x:c r="B232" s="10"/>
      <x:c r="C232" s="10"/>
      <x:c r="D232" s="10"/>
      <x:c r="E232" s="10"/>
      <x:c r="F232" s="10"/>
    </x:row>
    <x:row r="233" ht="40" customHeight="1">
      <x:c r="A233" s="10"/>
      <x:c r="B233" s="10"/>
      <x:c r="C233" s="10"/>
      <x:c r="D233" s="10"/>
      <x:c r="E233" s="10"/>
      <x:c r="F233" s="10"/>
    </x:row>
    <x:row r="234" ht="40" customHeight="1">
      <x:c r="A234" s="10"/>
      <x:c r="B234" s="10"/>
      <x:c r="C234" s="10"/>
      <x:c r="D234" s="10"/>
      <x:c r="E234" s="10"/>
      <x:c r="F234" s="10"/>
    </x:row>
    <x:row r="235" ht="40" customHeight="1">
      <x:c r="A235" s="10"/>
      <x:c r="B235" s="10"/>
      <x:c r="C235" s="10"/>
      <x:c r="D235" s="10"/>
      <x:c r="E235" s="10"/>
      <x:c r="F235" s="10"/>
    </x:row>
    <x:row r="236" ht="40" customHeight="1">
      <x:c r="A236" s="10"/>
      <x:c r="B236" s="10"/>
      <x:c r="C236" s="10"/>
      <x:c r="D236" s="10"/>
      <x:c r="E236" s="10"/>
      <x:c r="F236" s="10"/>
    </x:row>
    <x:row r="237" ht="40" customHeight="1">
      <x:c r="A237" s="10"/>
      <x:c r="B237" s="10"/>
      <x:c r="C237" s="10"/>
      <x:c r="D237" s="10"/>
      <x:c r="E237" s="10"/>
      <x:c r="F237" s="10"/>
    </x:row>
    <x:row r="238" ht="40" customHeight="1">
      <x:c r="A238" s="10"/>
      <x:c r="B238" s="10"/>
      <x:c r="C238" s="10"/>
      <x:c r="D238" s="10"/>
      <x:c r="E238" s="10"/>
      <x:c r="F238" s="10"/>
    </x:row>
    <x:row r="239" ht="40" customHeight="1">
      <x:c r="A239" s="10"/>
      <x:c r="B239" s="10"/>
      <x:c r="C239" s="10"/>
      <x:c r="D239" s="10"/>
      <x:c r="E239" s="10"/>
      <x:c r="F239" s="10"/>
    </x:row>
    <x:row r="240" ht="40" customHeight="1">
      <x:c r="A240" s="10"/>
      <x:c r="B240" s="10"/>
      <x:c r="C240" s="10"/>
      <x:c r="D240" s="10"/>
      <x:c r="E240" s="10"/>
      <x:c r="F240" s="10"/>
    </x:row>
    <x:row r="241" ht="40" customHeight="1">
      <x:c r="A241" s="10"/>
      <x:c r="B241" s="10"/>
      <x:c r="C241" s="10"/>
      <x:c r="D241" s="10"/>
      <x:c r="E241" s="10"/>
      <x:c r="F241" s="10"/>
    </x:row>
    <x:row r="242" ht="40" customHeight="1">
      <x:c r="A242" s="10"/>
      <x:c r="B242" s="10"/>
      <x:c r="C242" s="10"/>
      <x:c r="D242" s="10"/>
      <x:c r="E242" s="10"/>
      <x:c r="F242" s="10"/>
    </x:row>
    <x:row r="243" ht="40" customHeight="1">
      <x:c r="A243" s="10"/>
      <x:c r="B243" s="10"/>
      <x:c r="C243" s="10"/>
      <x:c r="D243" s="10"/>
      <x:c r="E243" s="10"/>
      <x:c r="F243" s="10"/>
    </x:row>
    <x:row r="244" ht="40" customHeight="1">
      <x:c r="A244" s="10"/>
      <x:c r="B244" s="10"/>
      <x:c r="C244" s="10"/>
      <x:c r="D244" s="10"/>
      <x:c r="E244" s="10"/>
      <x:c r="F244" s="10"/>
    </x:row>
    <x:row r="245" ht="40" customHeight="1">
      <x:c r="A245" s="10"/>
      <x:c r="B245" s="10"/>
      <x:c r="C245" s="10"/>
      <x:c r="D245" s="10"/>
      <x:c r="E245" s="10"/>
      <x:c r="F245" s="10"/>
    </x:row>
    <x:row r="246" ht="40" customHeight="1">
      <x:c r="A246" s="10"/>
      <x:c r="B246" s="10"/>
      <x:c r="C246" s="10"/>
      <x:c r="D246" s="10"/>
      <x:c r="E246" s="10"/>
      <x:c r="F246" s="10"/>
    </x:row>
    <x:row r="247" ht="40" customHeight="1">
      <x:c r="A247" s="10"/>
      <x:c r="B247" s="10"/>
      <x:c r="C247" s="10"/>
      <x:c r="D247" s="10"/>
      <x:c r="E247" s="10"/>
      <x:c r="F247" s="10"/>
    </x:row>
    <x:row r="248" ht="40" customHeight="1">
      <x:c r="A248" s="10"/>
      <x:c r="B248" s="10"/>
      <x:c r="C248" s="10"/>
      <x:c r="D248" s="10"/>
      <x:c r="E248" s="10"/>
      <x:c r="F248" s="10"/>
    </x:row>
    <x:row r="249" ht="40" customHeight="1">
      <x:c r="A249" s="10"/>
      <x:c r="B249" s="10"/>
      <x:c r="C249" s="10"/>
      <x:c r="D249" s="10"/>
      <x:c r="E249" s="10"/>
      <x:c r="F249" s="10"/>
    </x:row>
    <x:row r="250" ht="40" customHeight="1">
      <x:c r="A250" s="10"/>
      <x:c r="B250" s="10"/>
      <x:c r="C250" s="10"/>
      <x:c r="D250" s="10"/>
      <x:c r="E250" s="10"/>
      <x:c r="F250" s="10"/>
    </x:row>
    <x:row r="251" ht="40" customHeight="1">
      <x:c r="A251" s="10"/>
      <x:c r="B251" s="10"/>
      <x:c r="C251" s="10"/>
      <x:c r="D251" s="10"/>
      <x:c r="E251" s="10"/>
      <x:c r="F251" s="10"/>
    </x:row>
    <x:row r="252" ht="40" customHeight="1">
      <x:c r="A252" s="10"/>
      <x:c r="B252" s="10"/>
      <x:c r="C252" s="10"/>
      <x:c r="D252" s="10"/>
      <x:c r="E252" s="10"/>
      <x:c r="F252" s="10"/>
    </x:row>
    <x:row r="253" ht="40" customHeight="1">
      <x:c r="A253" s="10"/>
      <x:c r="B253" s="10"/>
      <x:c r="C253" s="10"/>
      <x:c r="D253" s="10"/>
      <x:c r="E253" s="10"/>
      <x:c r="F253" s="10"/>
    </x:row>
    <x:row r="254" ht="40" customHeight="1">
      <x:c r="A254" s="10"/>
      <x:c r="B254" s="10"/>
      <x:c r="C254" s="10"/>
      <x:c r="D254" s="10"/>
      <x:c r="E254" s="10"/>
      <x:c r="F254" s="10"/>
    </x:row>
    <x:row r="255" ht="40" customHeight="1">
      <x:c r="A255" s="10"/>
      <x:c r="B255" s="10"/>
      <x:c r="C255" s="10"/>
      <x:c r="D255" s="10"/>
      <x:c r="E255" s="10"/>
      <x:c r="F255" s="10"/>
    </x:row>
    <x:row r="256" ht="40" customHeight="1">
      <x:c r="A256" s="10"/>
      <x:c r="B256" s="10"/>
      <x:c r="C256" s="10"/>
      <x:c r="D256" s="10"/>
      <x:c r="E256" s="10"/>
      <x:c r="F256" s="10"/>
    </x:row>
    <x:row r="257" ht="40" customHeight="1">
      <x:c r="A257" s="10"/>
      <x:c r="B257" s="10"/>
      <x:c r="C257" s="10"/>
      <x:c r="D257" s="10"/>
      <x:c r="E257" s="10"/>
      <x:c r="F257" s="10"/>
    </x:row>
    <x:row r="258" ht="40" customHeight="1">
      <x:c r="A258" s="10"/>
      <x:c r="B258" s="10"/>
      <x:c r="C258" s="10"/>
      <x:c r="D258" s="10"/>
      <x:c r="E258" s="10"/>
      <x:c r="F258" s="10"/>
    </x:row>
    <x:row r="259" ht="40" customHeight="1">
      <x:c r="A259" s="10"/>
      <x:c r="B259" s="10"/>
      <x:c r="C259" s="10"/>
      <x:c r="D259" s="10"/>
      <x:c r="E259" s="10"/>
      <x:c r="F259" s="10"/>
    </x:row>
    <x:row r="260" ht="40" customHeight="1">
      <x:c r="A260" s="10"/>
      <x:c r="B260" s="10"/>
      <x:c r="C260" s="10"/>
      <x:c r="D260" s="10"/>
      <x:c r="E260" s="10"/>
      <x:c r="F260" s="10"/>
    </x:row>
    <x:row r="261" ht="40" customHeight="1">
      <x:c r="A261" s="10"/>
      <x:c r="B261" s="10"/>
      <x:c r="C261" s="10"/>
      <x:c r="D261" s="10"/>
      <x:c r="E261" s="10"/>
      <x:c r="F261" s="10"/>
    </x:row>
    <x:row r="262" ht="40" customHeight="1">
      <x:c r="A262" s="10"/>
      <x:c r="B262" s="10"/>
      <x:c r="C262" s="10"/>
      <x:c r="D262" s="10"/>
      <x:c r="E262" s="10"/>
      <x:c r="F262" s="10"/>
    </x:row>
    <x:row r="263" ht="40" customHeight="1">
      <x:c r="A263" s="10"/>
      <x:c r="B263" s="10"/>
      <x:c r="C263" s="10"/>
      <x:c r="D263" s="10"/>
      <x:c r="E263" s="10"/>
      <x:c r="F263" s="10"/>
    </x:row>
    <x:row r="264" ht="40" customHeight="1">
      <x:c r="A264" s="10"/>
      <x:c r="B264" s="10"/>
      <x:c r="C264" s="10"/>
      <x:c r="D264" s="10"/>
      <x:c r="E264" s="10"/>
      <x:c r="F264" s="10"/>
    </x:row>
    <x:row r="265" ht="40" customHeight="1">
      <x:c r="A265" s="10"/>
      <x:c r="B265" s="10"/>
      <x:c r="C265" s="10"/>
      <x:c r="D265" s="10"/>
      <x:c r="E265" s="10"/>
      <x:c r="F265" s="10"/>
    </x:row>
    <x:row r="266" ht="40" customHeight="1">
      <x:c r="A266" s="10"/>
      <x:c r="B266" s="10"/>
      <x:c r="C266" s="10"/>
      <x:c r="D266" s="10"/>
      <x:c r="E266" s="10"/>
      <x:c r="F266" s="10"/>
    </x:row>
    <x:row r="267" ht="40" customHeight="1">
      <x:c r="A267" s="10"/>
      <x:c r="B267" s="10"/>
      <x:c r="C267" s="10"/>
      <x:c r="D267" s="10"/>
      <x:c r="E267" s="10"/>
      <x:c r="F267" s="10"/>
    </x:row>
    <x:row r="268" ht="40" customHeight="1">
      <x:c r="A268" s="10"/>
      <x:c r="B268" s="10"/>
      <x:c r="C268" s="10"/>
      <x:c r="D268" s="10"/>
      <x:c r="E268" s="10"/>
      <x:c r="F268" s="10"/>
    </x:row>
    <x:row r="269" ht="40" customHeight="1">
      <x:c r="A269" s="10"/>
      <x:c r="B269" s="10"/>
      <x:c r="C269" s="10"/>
      <x:c r="D269" s="10"/>
      <x:c r="E269" s="10"/>
      <x:c r="F269" s="10"/>
    </x:row>
    <x:row r="270" ht="40" customHeight="1">
      <x:c r="A270" s="10"/>
      <x:c r="B270" s="10"/>
      <x:c r="C270" s="10"/>
      <x:c r="D270" s="10"/>
      <x:c r="E270" s="10"/>
      <x:c r="F270" s="10"/>
    </x:row>
    <x:row r="271" ht="40" customHeight="1">
      <x:c r="A271" s="10"/>
      <x:c r="B271" s="10"/>
      <x:c r="C271" s="10"/>
      <x:c r="D271" s="10"/>
      <x:c r="E271" s="10"/>
      <x:c r="F271" s="10"/>
    </x:row>
    <x:row r="272" ht="40" customHeight="1">
      <x:c r="A272" s="10"/>
      <x:c r="B272" s="10"/>
      <x:c r="C272" s="10"/>
      <x:c r="D272" s="10"/>
      <x:c r="E272" s="10"/>
      <x:c r="F272" s="10"/>
    </x:row>
    <x:row r="273" ht="40" customHeight="1">
      <x:c r="A273" s="10"/>
      <x:c r="B273" s="10"/>
      <x:c r="C273" s="10"/>
      <x:c r="D273" s="10"/>
      <x:c r="E273" s="10"/>
      <x:c r="F273" s="10"/>
    </x:row>
    <x:row r="274" ht="40" customHeight="1">
      <x:c r="A274" s="10"/>
      <x:c r="B274" s="10"/>
      <x:c r="C274" s="10"/>
      <x:c r="D274" s="10"/>
      <x:c r="E274" s="10"/>
      <x:c r="F274" s="10"/>
    </x:row>
    <x:row r="275" ht="40" customHeight="1">
      <x:c r="A275" s="10"/>
      <x:c r="B275" s="10"/>
      <x:c r="C275" s="10"/>
      <x:c r="D275" s="10"/>
      <x:c r="E275" s="10"/>
      <x:c r="F275" s="10"/>
    </x:row>
    <x:row r="276" ht="40" customHeight="1">
      <x:c r="A276" s="10"/>
      <x:c r="B276" s="10"/>
      <x:c r="C276" s="10"/>
      <x:c r="D276" s="10"/>
      <x:c r="E276" s="10"/>
      <x:c r="F276" s="10"/>
    </x:row>
    <x:row r="277" ht="40" customHeight="1">
      <x:c r="A277" s="10"/>
      <x:c r="B277" s="10"/>
      <x:c r="C277" s="10"/>
      <x:c r="D277" s="10"/>
      <x:c r="E277" s="10"/>
      <x:c r="F277" s="10"/>
    </x:row>
    <x:row r="278" ht="40" customHeight="1">
      <x:c r="A278" s="10"/>
      <x:c r="B278" s="10"/>
      <x:c r="C278" s="10"/>
      <x:c r="D278" s="10"/>
      <x:c r="E278" s="10"/>
      <x:c r="F278" s="10"/>
    </x:row>
    <x:row r="279" ht="40" customHeight="1">
      <x:c r="A279" s="10"/>
      <x:c r="B279" s="10"/>
      <x:c r="C279" s="10"/>
      <x:c r="D279" s="10"/>
      <x:c r="E279" s="10"/>
      <x:c r="F279" s="10"/>
    </x:row>
    <x:row r="280" ht="40" customHeight="1">
      <x:c r="A280" s="10"/>
      <x:c r="B280" s="10"/>
      <x:c r="C280" s="10"/>
      <x:c r="D280" s="10"/>
      <x:c r="E280" s="10"/>
      <x:c r="F280" s="10"/>
    </x:row>
    <x:row r="281" ht="40" customHeight="1">
      <x:c r="A281" s="10"/>
      <x:c r="B281" s="10"/>
      <x:c r="C281" s="10"/>
      <x:c r="D281" s="10"/>
      <x:c r="E281" s="10"/>
      <x:c r="F281" s="10"/>
    </x:row>
    <x:row r="282" ht="40" customHeight="1">
      <x:c r="A282" s="10"/>
      <x:c r="B282" s="10"/>
      <x:c r="C282" s="10"/>
      <x:c r="D282" s="10"/>
      <x:c r="E282" s="10"/>
      <x:c r="F282" s="10"/>
    </x:row>
    <x:row r="283" ht="40" customHeight="1">
      <x:c r="A283" s="10"/>
      <x:c r="B283" s="10"/>
      <x:c r="C283" s="10"/>
      <x:c r="D283" s="10"/>
      <x:c r="E283" s="10"/>
      <x:c r="F283" s="10"/>
    </x:row>
    <x:row r="284" ht="40" customHeight="1">
      <x:c r="A284" s="10"/>
      <x:c r="B284" s="10"/>
      <x:c r="C284" s="10"/>
      <x:c r="D284" s="10"/>
      <x:c r="E284" s="10"/>
      <x:c r="F284" s="10"/>
    </x:row>
    <x:row r="285" ht="40" customHeight="1">
      <x:c r="A285" s="10"/>
      <x:c r="B285" s="10"/>
      <x:c r="C285" s="10"/>
      <x:c r="D285" s="10"/>
      <x:c r="E285" s="10"/>
      <x:c r="F285" s="10"/>
    </x:row>
    <x:row r="286" ht="40" customHeight="1">
      <x:c r="A286" s="10"/>
      <x:c r="B286" s="10"/>
      <x:c r="C286" s="10"/>
      <x:c r="D286" s="10"/>
      <x:c r="E286" s="10"/>
      <x:c r="F286" s="10"/>
    </x:row>
    <x:row r="287" ht="40" customHeight="1">
      <x:c r="A287" s="10"/>
      <x:c r="B287" s="10"/>
      <x:c r="C287" s="10"/>
      <x:c r="D287" s="10"/>
      <x:c r="E287" s="10"/>
      <x:c r="F287" s="10"/>
    </x:row>
    <x:row r="288" ht="40" customHeight="1">
      <x:c r="A288" s="10"/>
      <x:c r="B288" s="10"/>
      <x:c r="C288" s="10"/>
      <x:c r="D288" s="10"/>
      <x:c r="E288" s="10"/>
      <x:c r="F288" s="10"/>
    </x:row>
    <x:row r="289" ht="40" customHeight="1">
      <x:c r="A289" s="10"/>
      <x:c r="B289" s="10"/>
      <x:c r="C289" s="10"/>
      <x:c r="D289" s="10"/>
      <x:c r="E289" s="10"/>
      <x:c r="F289" s="10"/>
    </x:row>
    <x:row r="290" ht="40" customHeight="1">
      <x:c r="A290" s="10"/>
      <x:c r="B290" s="10"/>
      <x:c r="C290" s="10"/>
      <x:c r="D290" s="10"/>
      <x:c r="E290" s="10"/>
      <x:c r="F290" s="10"/>
    </x:row>
    <x:row r="291" ht="40" customHeight="1">
      <x:c r="A291" s="10"/>
      <x:c r="B291" s="10"/>
      <x:c r="C291" s="10"/>
      <x:c r="D291" s="10"/>
      <x:c r="E291" s="10"/>
      <x:c r="F291" s="10"/>
    </x:row>
    <x:row r="292" ht="40" customHeight="1">
      <x:c r="A292" s="10"/>
      <x:c r="B292" s="10"/>
      <x:c r="C292" s="10"/>
      <x:c r="D292" s="10"/>
      <x:c r="E292" s="10"/>
      <x:c r="F292" s="10"/>
    </x:row>
    <x:row r="293" ht="40" customHeight="1">
      <x:c r="A293" s="10"/>
      <x:c r="B293" s="10"/>
      <x:c r="C293" s="10"/>
      <x:c r="D293" s="10"/>
      <x:c r="E293" s="10"/>
      <x:c r="F293" s="10"/>
    </x:row>
    <x:row r="294" ht="40" customHeight="1">
      <x:c r="A294" s="10"/>
      <x:c r="B294" s="10"/>
      <x:c r="C294" s="10"/>
      <x:c r="D294" s="10"/>
      <x:c r="E294" s="10"/>
      <x:c r="F294" s="10"/>
    </x:row>
    <x:row r="295" ht="40" customHeight="1">
      <x:c r="A295" s="10"/>
      <x:c r="B295" s="10"/>
      <x:c r="C295" s="10"/>
      <x:c r="D295" s="10"/>
      <x:c r="E295" s="10"/>
      <x:c r="F295" s="10"/>
    </x:row>
    <x:row r="296" ht="40" customHeight="1">
      <x:c r="A296" s="10"/>
      <x:c r="B296" s="10"/>
      <x:c r="C296" s="10"/>
      <x:c r="D296" s="10"/>
      <x:c r="E296" s="10"/>
      <x:c r="F296" s="10"/>
    </x:row>
    <x:row r="297" ht="40" customHeight="1">
      <x:c r="A297" s="10"/>
      <x:c r="B297" s="10"/>
      <x:c r="C297" s="10"/>
      <x:c r="D297" s="10"/>
      <x:c r="E297" s="10"/>
      <x:c r="F297" s="10"/>
    </x:row>
    <x:row r="298" ht="40" customHeight="1">
      <x:c r="A298" s="10"/>
      <x:c r="B298" s="10"/>
      <x:c r="C298" s="10"/>
      <x:c r="D298" s="10"/>
      <x:c r="E298" s="10"/>
      <x:c r="F298" s="10"/>
    </x:row>
    <x:row r="299" ht="40" customHeight="1">
      <x:c r="A299" s="10"/>
      <x:c r="B299" s="10"/>
      <x:c r="C299" s="10"/>
      <x:c r="D299" s="10"/>
      <x:c r="E299" s="10"/>
      <x:c r="F299" s="10"/>
    </x:row>
    <x:row r="300" ht="40" customHeight="1">
      <x:c r="A300" s="10"/>
      <x:c r="B300" s="10"/>
      <x:c r="C300" s="10"/>
      <x:c r="D300" s="10"/>
      <x:c r="E300" s="10"/>
      <x:c r="F300" s="10"/>
    </x:row>
    <x:row r="301" ht="40" customHeight="1">
      <x:c r="A301" s="10"/>
      <x:c r="B301" s="10"/>
      <x:c r="C301" s="10"/>
      <x:c r="D301" s="10"/>
      <x:c r="E301" s="10"/>
      <x:c r="F301" s="10"/>
    </x:row>
    <x:row r="302" ht="40" customHeight="1">
      <x:c r="A302" s="10"/>
      <x:c r="B302" s="10"/>
      <x:c r="C302" s="10"/>
      <x:c r="D302" s="10"/>
      <x:c r="E302" s="10"/>
      <x:c r="F302" s="10"/>
    </x:row>
    <x:row r="303" ht="40" customHeight="1">
      <x:c r="A303" s="10"/>
      <x:c r="B303" s="10"/>
      <x:c r="C303" s="10"/>
      <x:c r="D303" s="10"/>
      <x:c r="E303" s="10"/>
      <x:c r="F303" s="10"/>
    </x:row>
    <x:row r="304" ht="40" customHeight="1">
      <x:c r="A304" s="10"/>
      <x:c r="B304" s="10"/>
      <x:c r="C304" s="10"/>
      <x:c r="D304" s="10"/>
      <x:c r="E304" s="10"/>
      <x:c r="F304" s="10"/>
    </x:row>
    <x:row r="305" ht="40" customHeight="1">
      <x:c r="A305" s="10"/>
      <x:c r="B305" s="10"/>
      <x:c r="C305" s="10"/>
      <x:c r="D305" s="10"/>
      <x:c r="E305" s="10"/>
      <x:c r="F305" s="10"/>
    </x:row>
    <x:row r="306" ht="40" customHeight="1">
      <x:c r="A306" s="10"/>
      <x:c r="B306" s="10"/>
      <x:c r="C306" s="10"/>
      <x:c r="D306" s="10"/>
      <x:c r="E306" s="10"/>
      <x:c r="F306" s="10"/>
    </x:row>
    <x:row r="307" ht="40" customHeight="1">
      <x:c r="A307" s="10"/>
      <x:c r="B307" s="10"/>
      <x:c r="C307" s="10"/>
      <x:c r="D307" s="10"/>
      <x:c r="E307" s="10"/>
      <x:c r="F307" s="10"/>
    </x:row>
    <x:row r="308" ht="40" customHeight="1">
      <x:c r="A308" s="10"/>
      <x:c r="B308" s="10"/>
      <x:c r="C308" s="10"/>
      <x:c r="D308" s="10"/>
      <x:c r="E308" s="10"/>
      <x:c r="F308" s="10"/>
    </x:row>
    <x:row r="309" ht="40" customHeight="1">
      <x:c r="A309" s="10"/>
      <x:c r="B309" s="10"/>
      <x:c r="C309" s="10"/>
      <x:c r="D309" s="10"/>
      <x:c r="E309" s="10"/>
      <x:c r="F309" s="10"/>
    </x:row>
    <x:row r="310" ht="40" customHeight="1">
      <x:c r="A310" s="10"/>
      <x:c r="B310" s="10"/>
      <x:c r="C310" s="10"/>
      <x:c r="D310" s="10"/>
      <x:c r="E310" s="10"/>
      <x:c r="F310" s="10"/>
    </x:row>
    <x:row r="311" ht="40" customHeight="1">
      <x:c r="A311" s="10"/>
      <x:c r="B311" s="10"/>
      <x:c r="C311" s="10"/>
      <x:c r="D311" s="10"/>
      <x:c r="E311" s="10"/>
      <x:c r="F311" s="10"/>
    </x:row>
    <x:row r="312" ht="40" customHeight="1">
      <x:c r="A312" s="10"/>
      <x:c r="B312" s="10"/>
      <x:c r="C312" s="10"/>
      <x:c r="D312" s="10"/>
      <x:c r="E312" s="10"/>
      <x:c r="F312" s="10"/>
    </x:row>
    <x:row r="313" ht="40" customHeight="1">
      <x:c r="A313" s="10"/>
      <x:c r="B313" s="10"/>
      <x:c r="C313" s="10"/>
      <x:c r="D313" s="10"/>
      <x:c r="E313" s="10"/>
      <x:c r="F313" s="10"/>
    </x:row>
    <x:row r="314" ht="40" customHeight="1">
      <x:c r="A314" s="10"/>
      <x:c r="B314" s="10"/>
      <x:c r="C314" s="10"/>
      <x:c r="D314" s="10"/>
      <x:c r="E314" s="10"/>
      <x:c r="F314" s="10"/>
    </x:row>
    <x:row r="315" ht="40" customHeight="1">
      <x:c r="A315" s="10"/>
      <x:c r="B315" s="10"/>
      <x:c r="C315" s="10"/>
      <x:c r="D315" s="10"/>
      <x:c r="E315" s="10"/>
      <x:c r="F315" s="10"/>
    </x:row>
    <x:row r="316" ht="40" customHeight="1">
      <x:c r="A316" s="10"/>
      <x:c r="B316" s="10"/>
      <x:c r="C316" s="10"/>
      <x:c r="D316" s="10"/>
      <x:c r="E316" s="10"/>
      <x:c r="F316" s="10"/>
    </x:row>
    <x:row r="317" ht="40" customHeight="1">
      <x:c r="A317" s="10"/>
      <x:c r="B317" s="10"/>
      <x:c r="C317" s="10"/>
      <x:c r="D317" s="10"/>
      <x:c r="E317" s="10"/>
      <x:c r="F317" s="10"/>
    </x:row>
    <x:row r="318" ht="40" customHeight="1">
      <x:c r="A318" s="10"/>
      <x:c r="B318" s="10"/>
      <x:c r="C318" s="10"/>
      <x:c r="D318" s="10"/>
      <x:c r="E318" s="10"/>
      <x:c r="F318" s="10"/>
    </x:row>
    <x:row r="319" ht="40" customHeight="1">
      <x:c r="A319" s="10"/>
      <x:c r="B319" s="10"/>
      <x:c r="C319" s="10"/>
      <x:c r="D319" s="10"/>
      <x:c r="E319" s="10"/>
      <x:c r="F319" s="10"/>
    </x:row>
    <x:row r="320" ht="40" customHeight="1">
      <x:c r="A320" s="10"/>
      <x:c r="B320" s="10"/>
      <x:c r="C320" s="10"/>
      <x:c r="D320" s="10"/>
      <x:c r="E320" s="10"/>
      <x:c r="F320" s="10"/>
    </x:row>
    <x:row r="321" ht="40" customHeight="1">
      <x:c r="A321" s="10"/>
      <x:c r="B321" s="10"/>
      <x:c r="C321" s="10"/>
      <x:c r="D321" s="10"/>
      <x:c r="E321" s="10"/>
      <x:c r="F321" s="10"/>
    </x:row>
    <x:row r="322" ht="40" customHeight="1">
      <x:c r="A322" s="10"/>
      <x:c r="B322" s="10"/>
      <x:c r="C322" s="10"/>
      <x:c r="D322" s="10"/>
      <x:c r="E322" s="10"/>
      <x:c r="F322" s="10"/>
    </x:row>
    <x:row r="323" ht="40" customHeight="1">
      <x:c r="A323" s="10"/>
      <x:c r="B323" s="10"/>
      <x:c r="C323" s="10"/>
      <x:c r="D323" s="10"/>
      <x:c r="E323" s="10"/>
      <x:c r="F323" s="10"/>
    </x:row>
    <x:row r="324" ht="40" customHeight="1">
      <x:c r="A324" s="10"/>
      <x:c r="B324" s="10"/>
      <x:c r="C324" s="10"/>
      <x:c r="D324" s="10"/>
      <x:c r="E324" s="10"/>
      <x:c r="F324" s="10"/>
    </x:row>
    <x:row r="325" ht="40" customHeight="1">
      <x:c r="A325" s="10"/>
      <x:c r="B325" s="10"/>
      <x:c r="C325" s="10"/>
      <x:c r="D325" s="10"/>
      <x:c r="E325" s="10"/>
      <x:c r="F325" s="10"/>
    </x:row>
    <x:row r="326" ht="40" customHeight="1">
      <x:c r="A326" s="10"/>
      <x:c r="B326" s="10"/>
      <x:c r="C326" s="10"/>
      <x:c r="D326" s="10"/>
      <x:c r="E326" s="10"/>
      <x:c r="F326" s="10"/>
    </x:row>
    <x:row r="327" ht="40" customHeight="1">
      <x:c r="A327" s="10"/>
      <x:c r="B327" s="10"/>
      <x:c r="C327" s="10"/>
      <x:c r="D327" s="10"/>
      <x:c r="E327" s="10"/>
      <x:c r="F327" s="10"/>
    </x:row>
    <x:row r="328" ht="40" customHeight="1">
      <x:c r="A328" s="10"/>
      <x:c r="B328" s="10"/>
      <x:c r="C328" s="10"/>
      <x:c r="D328" s="10"/>
      <x:c r="E328" s="10"/>
      <x:c r="F328" s="10"/>
    </x:row>
    <x:row r="329" ht="40" customHeight="1">
      <x:c r="A329" s="10"/>
      <x:c r="B329" s="10"/>
      <x:c r="C329" s="10"/>
      <x:c r="D329" s="10"/>
      <x:c r="E329" s="10"/>
      <x:c r="F329" s="10"/>
    </x:row>
    <x:row r="330" ht="40" customHeight="1">
      <x:c r="A330" s="10"/>
      <x:c r="B330" s="10"/>
      <x:c r="C330" s="10"/>
      <x:c r="D330" s="10"/>
      <x:c r="E330" s="10"/>
      <x:c r="F330" s="10"/>
    </x:row>
    <x:row r="331" ht="40" customHeight="1">
      <x:c r="A331" s="10"/>
      <x:c r="B331" s="10"/>
      <x:c r="C331" s="10"/>
      <x:c r="D331" s="10"/>
      <x:c r="E331" s="10"/>
      <x:c r="F331" s="10"/>
    </x:row>
    <x:row r="332" ht="40" customHeight="1">
      <x:c r="A332" s="10"/>
      <x:c r="B332" s="10"/>
      <x:c r="C332" s="10"/>
      <x:c r="D332" s="10"/>
      <x:c r="E332" s="10"/>
      <x:c r="F332" s="10"/>
    </x:row>
    <x:row r="333" ht="40" customHeight="1">
      <x:c r="A333" s="10"/>
      <x:c r="B333" s="10"/>
      <x:c r="C333" s="10"/>
      <x:c r="D333" s="10"/>
      <x:c r="E333" s="10"/>
      <x:c r="F333" s="10"/>
    </x:row>
    <x:row r="334" ht="40" customHeight="1">
      <x:c r="A334" s="10"/>
      <x:c r="B334" s="10"/>
      <x:c r="C334" s="10"/>
      <x:c r="D334" s="10"/>
      <x:c r="E334" s="10"/>
      <x:c r="F334" s="10"/>
    </x:row>
    <x:row r="335" ht="40" customHeight="1">
      <x:c r="A335" s="10"/>
      <x:c r="B335" s="10"/>
      <x:c r="C335" s="10"/>
      <x:c r="D335" s="10"/>
      <x:c r="E335" s="10"/>
      <x:c r="F335" s="10"/>
    </x:row>
    <x:row r="336" ht="40" customHeight="1">
      <x:c r="A336" s="10"/>
      <x:c r="B336" s="10"/>
      <x:c r="C336" s="10"/>
      <x:c r="D336" s="10"/>
      <x:c r="E336" s="10"/>
      <x:c r="F336" s="10"/>
    </x:row>
    <x:row r="337" ht="40" customHeight="1">
      <x:c r="A337" s="10"/>
      <x:c r="B337" s="10"/>
      <x:c r="C337" s="10"/>
      <x:c r="D337" s="10"/>
      <x:c r="E337" s="10"/>
      <x:c r="F337" s="10"/>
    </x:row>
    <x:row r="338" ht="40" customHeight="1">
      <x:c r="A338" s="10"/>
      <x:c r="B338" s="10"/>
      <x:c r="C338" s="10"/>
      <x:c r="D338" s="10"/>
      <x:c r="E338" s="10"/>
      <x:c r="F338" s="10"/>
    </x:row>
    <x:row r="339" ht="40" customHeight="1">
      <x:c r="A339" s="10"/>
      <x:c r="B339" s="10"/>
      <x:c r="C339" s="10"/>
      <x:c r="D339" s="10"/>
      <x:c r="E339" s="10"/>
      <x:c r="F339" s="10"/>
    </x:row>
    <x:row r="340" ht="40" customHeight="1">
      <x:c r="A340" s="10"/>
      <x:c r="B340" s="10"/>
      <x:c r="C340" s="10"/>
      <x:c r="D340" s="10"/>
      <x:c r="E340" s="10"/>
      <x:c r="F340" s="10"/>
    </x:row>
    <x:row r="341" ht="40" customHeight="1">
      <x:c r="A341" s="10"/>
      <x:c r="B341" s="10"/>
      <x:c r="C341" s="10"/>
      <x:c r="D341" s="10"/>
      <x:c r="E341" s="10"/>
      <x:c r="F341" s="10"/>
    </x:row>
    <x:row r="342" ht="40" customHeight="1">
      <x:c r="A342" s="10"/>
      <x:c r="B342" s="10"/>
      <x:c r="C342" s="10"/>
      <x:c r="D342" s="10"/>
      <x:c r="E342" s="10"/>
      <x:c r="F342" s="10"/>
    </x:row>
    <x:row r="343" ht="40" customHeight="1">
      <x:c r="A343" s="10"/>
      <x:c r="B343" s="10"/>
      <x:c r="C343" s="10"/>
      <x:c r="D343" s="10"/>
      <x:c r="E343" s="10"/>
      <x:c r="F343" s="10"/>
    </x:row>
    <x:row r="344" ht="40" customHeight="1">
      <x:c r="A344" s="10"/>
      <x:c r="B344" s="10"/>
      <x:c r="C344" s="10"/>
      <x:c r="D344" s="10"/>
      <x:c r="E344" s="10"/>
      <x:c r="F344" s="10"/>
    </x:row>
    <x:row r="345" ht="40" customHeight="1">
      <x:c r="A345" s="10"/>
      <x:c r="B345" s="10"/>
      <x:c r="C345" s="10"/>
      <x:c r="D345" s="10"/>
      <x:c r="E345" s="10"/>
      <x:c r="F345" s="10"/>
    </x:row>
  </x:sheetData>
  <x:mergeCells>
    <x:mergeCell ref="A1:F1"/>
    <x:mergeCell ref="A2:F2"/>
    <x:mergeCell ref="D5:F5"/>
    <x:mergeCell ref="D6:F6"/>
    <x:mergeCell ref="D7:F7"/>
    <x:mergeCell ref="D8:F8"/>
    <x:mergeCell ref="D9:F9"/>
    <x:mergeCell ref="D10:F10"/>
    <x:mergeCell ref="D11:F11"/>
    <x:mergeCell ref="D12:F12"/>
    <x:mergeCell ref="D13:F13"/>
    <x:mergeCell ref="D14:F14"/>
    <x:mergeCell ref="D15:F15"/>
    <x:mergeCell ref="A17:F17"/>
    <x:mergeCell ref="A18:F18"/>
    <x:mergeCell ref="A198:F198"/>
    <x:mergeCell ref="A200:F201"/>
    <x:mergeCell ref="A202:F203"/>
    <x:mergeCell ref="A204:F205"/>
    <x:mergeCell ref="A206:F207"/>
    <x:mergeCell ref="A208:F209"/>
    <x:mergeCell ref="A210:F211"/>
    <x:mergeCell ref="A212:F213"/>
    <x:mergeCell ref="A214:F215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.3799991607666" hidden="0" customWidth="1"/>
    <x:col min="2" max="2" width="23.75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20.6299991607666" hidden="0" customWidth="1"/>
  </x:cols>
  <x:sheetData>
    <x:row r="1" ht="48" customHeight="1">
      <x:c r="A1" s="20" t="str">
        <x:v>Переборка в ДП и бортовые платформы</x:v>
      </x:c>
      <x:c r="B1" s="10"/>
      <x:c r="C1" s="10"/>
      <x:c r="D1" s="10"/>
      <x:c r="E1" s="10"/>
      <x:c r="F1" s="10"/>
    </x:row>
    <x:row r="2" ht="48" customHeight="1">
      <x:c r="A2" s="20"/>
      <x:c r="B2" s="10"/>
      <x:c r="C2" s="10"/>
      <x:c r="D2" s="10"/>
      <x:c r="E2" s="10"/>
      <x:c r="F2" s="10"/>
    </x:row>
    <x:row r="3" ht="40" customHeight="1">
      <x:c r="A3" s="10"/>
      <x:c r="B3" s="10"/>
      <x:c r="C3" s="10"/>
      <x:c r="D3" s="10"/>
      <x:c r="E3" s="10"/>
      <x:c r="F3" s="10"/>
    </x:row>
    <x:row r="4" ht="70" customHeight="1">
      <x:c r="A4" s="22" t="str">
        <x:v>Параметр</x:v>
      </x:c>
      <x:c r="B4" s="22" t="str">
        <x:v>Значение</x:v>
      </x:c>
      <x:c r="C4" s="22" t="str">
        <x:v>Ед.</x:v>
      </x:c>
      <x:c r="D4" s="22"/>
      <x:c r="E4" s="22"/>
      <x:c r="F4" s="22"/>
    </x:row>
    <x:row r="5" ht="58" customHeight="1">
      <x:c r="A5" s="10" t="str">
        <x:v>Высота переборки</x:v>
      </x:c>
      <x:c r="B5" s="10" t="n">
        <x:f>'Балластные случаи'!B10-'Исходные данные'!B14</x:f>
        <x:v>12.777999999999999</x:v>
      </x:c>
      <x:c r="C5" s="10" t="str">
        <x:v>m</x:v>
      </x:c>
      <x:c r="D5" s="10"/>
      <x:c r="E5" s="10"/>
      <x:c r="F5" s="10"/>
    </x:row>
    <x:row r="6" ht="58" customHeight="1">
      <x:c r="A6" s="10" t="str">
        <x:v>Давление у низа</x:v>
      </x:c>
      <x:c r="B6" s="10" t="n">
        <x:f>MAX('Исходные данные'!B28*('Исходные данные'!B38+'Нагрузки'!B8)*('Балластные случаи'!B10-'Исходные данные'!B14),'Исходные данные'!B28*'Исходные данные'!B38*(('Балластные случаи'!B10-'Исходные данные'!B14)+('Балластные случаи'!B8)*'Нагрузки'!B9),'Исходные данные'!B28*'Исходные данные'!B38*(('Балластные случаи'!B10-'Исходные данные'!B14)+'Балластные случаи'!B12*'Нагрузки'!B10),0.75*'Исходные данные'!B28*'Исходные данные'!B38*(('Балластные случаи'!B10-'Исходные данные'!B14)+'Балластные случаи'!B13),'Исходные данные'!B28*'Исходные данные'!B38*('Балластные случаи'!B10-'Исходные данные'!B14)+'Балластные случаи'!B14)</x:f>
        <x:v>164.6485402228915</x:v>
      </x:c>
      <x:c r="C6" s="10" t="str">
        <x:v>kPa</x:v>
      </x:c>
      <x:c r="D6" s="10"/>
      <x:c r="E6" s="10"/>
      <x:c r="F6" s="10"/>
    </x:row>
    <x:row r="7" ht="58" customHeight="1">
      <x:c r="A7" s="10" t="str">
        <x:v>a</x:v>
      </x:c>
      <x:c r="B7" s="10" t="n">
        <x:f>'Исходные данные'!B18</x:f>
        <x:v>0.75</x:v>
      </x:c>
      <x:c r="C7" s="10" t="str">
        <x:v>m</x:v>
      </x:c>
      <x:c r="D7" s="10"/>
      <x:c r="E7" s="10"/>
      <x:c r="F7" s="10"/>
    </x:row>
    <x:row r="8" ht="58" customHeight="1">
      <x:c r="A8" s="10" t="str">
        <x:v>b</x:v>
      </x:c>
      <x:c r="B8" s="10" t="n">
        <x:f>MAX(B37:B40)</x:f>
        <x:v>3.5779999999999994</x:v>
      </x:c>
      <x:c r="C8" s="10" t="str">
        <x:v>m</x:v>
      </x:c>
      <x:c r="D8" s="10"/>
      <x:c r="E8" s="10"/>
      <x:c r="F8" s="10"/>
    </x:row>
    <x:row r="9" ht="58" customHeight="1">
      <x:c r="A9" s="10" t="str">
        <x:v>kσ</x:v>
      </x:c>
      <x:c r="B9" s="10" t="n">
        <x:v>0.55</x:v>
      </x:c>
      <x:c r="C9" s="10" t="str">
        <x:v>—</x:v>
      </x:c>
      <x:c r="D9" s="10"/>
      <x:c r="E9" s="10"/>
      <x:c r="F9" s="10"/>
    </x:row>
    <x:row r="10" ht="58" customHeight="1">
      <x:c r="A10" s="10" t="str">
        <x:v>Δs</x:v>
      </x:c>
      <x:c r="B10" s="10" t="n">
        <x:f>0.3*('Исходные данные'!B31-'Исходные данные'!B32)</x:f>
        <x:v>3.9</x:v>
      </x:c>
      <x:c r="C10" s="10" t="str">
        <x:v>mm</x:v>
      </x:c>
      <x:c r="D10" s="10"/>
      <x:c r="E10" s="10"/>
      <x:c r="F10" s="10"/>
    </x:row>
    <x:row r="11" ht="58" customHeight="1">
      <x:c r="A11" s="10" t="str">
        <x:v>smin</x:v>
      </x:c>
      <x:c r="B11" s="10" t="n">
        <x:f>6.7+0.02*'Исходные данные'!B8</x:f>
        <x:v>9.34</x:v>
      </x:c>
      <x:c r="C11" s="10" t="str">
        <x:v>mm</x:v>
      </x:c>
      <x:c r="D11" s="10"/>
      <x:c r="E11" s="10"/>
      <x:c r="F11" s="10"/>
    </x:row>
    <x:row r="12" ht="58" customHeight="1">
      <x:c r="A12" s="10" t="str">
        <x:v>sreq</x:v>
      </x:c>
      <x:c r="B12" s="10" t="n">
        <x:f>MAX(15.8*B7*MIN(1.2-0.5*B7/B8,1)*SQRT(B6/(B9*'Исходные данные'!B35))+B10,B11)</x:f>
        <x:v>17.27463740232631</x:v>
      </x:c>
      <x:c r="C12" s="10" t="str">
        <x:v>mm</x:v>
      </x:c>
      <x:c r="D12" s="10"/>
      <x:c r="E12" s="10"/>
      <x:c r="F12" s="10"/>
    </x:row>
    <x:row r="13" ht="58" customHeight="1">
      <x:c r="A13" s="10" t="str">
        <x:v>Толщина переборки</x:v>
      </x:c>
      <x:c r="B13" s="10" t="n">
        <x:f>CEILING(B12,1)</x:f>
        <x:v>18</x:v>
      </x:c>
      <x:c r="C13" s="10" t="str">
        <x:v>mm</x:v>
      </x:c>
      <x:c r="D13" s="10"/>
      <x:c r="E13" s="10"/>
      <x:c r="F13" s="10"/>
    </x:row>
    <x:row r="14" ht="40" customHeight="1">
      <x:c r="A14" s="10"/>
      <x:c r="B14" s="10"/>
      <x:c r="C14" s="10"/>
      <x:c r="D14" s="10"/>
      <x:c r="E14" s="10"/>
      <x:c r="F14" s="10"/>
    </x:row>
    <x:row r="15" ht="58" customHeight="1">
      <x:c r="A15" s="10" t="str">
        <x:v>Толщина платформы</x:v>
      </x:c>
      <x:c r="B15" s="10" t="n">
        <x:v>12</x:v>
      </x:c>
      <x:c r="C15" s="10" t="str">
        <x:v>mm</x:v>
      </x:c>
      <x:c r="D15" s="10"/>
      <x:c r="E15" s="10"/>
      <x:c r="F15" s="10"/>
    </x:row>
    <x:row r="16" ht="58" customHeight="1">
      <x:c r="A16" s="10" t="str">
        <x:v>Ширина выреза</x:v>
      </x:c>
      <x:c r="B16" s="10" t="n">
        <x:v>0.6</x:v>
      </x:c>
      <x:c r="C16" s="10" t="str">
        <x:v>m</x:v>
      </x:c>
      <x:c r="D16" s="10"/>
      <x:c r="E16" s="10"/>
      <x:c r="F16" s="10"/>
    </x:row>
    <x:row r="17" ht="58" customHeight="1">
      <x:c r="A17" s="10" t="str">
        <x:v>Нетто-ширина</x:v>
      </x:c>
      <x:c r="B17" s="10" t="n">
        <x:f>'Исходные данные'!B15-B16</x:f>
        <x:v>1.4</x:v>
      </x:c>
      <x:c r="C17" s="10" t="str">
        <x:v>m</x:v>
      </x:c>
      <x:c r="D17" s="10"/>
      <x:c r="E17" s="10"/>
      <x:c r="F17" s="10"/>
    </x:row>
    <x:row r="18" ht="40" customHeight="1">
      <x:c r="A18" s="10"/>
      <x:c r="B18" s="10"/>
      <x:c r="C18" s="10"/>
      <x:c r="D18" s="10"/>
      <x:c r="E18" s="10"/>
      <x:c r="F18" s="10"/>
    </x:row>
    <x:row r="19" ht="40" customHeight="1">
      <x:c r="A19" s="10"/>
      <x:c r="B19" s="10"/>
      <x:c r="C19" s="10"/>
      <x:c r="D19" s="10"/>
      <x:c r="E19" s="10"/>
      <x:c r="F19" s="10"/>
    </x:row>
    <x:row r="20" ht="48" customHeight="1">
      <x:c r="A20" s="20" t="str">
        <x:v>Характеристики добавленных продольных листов (см)</x:v>
      </x:c>
      <x:c r="B20" s="10"/>
      <x:c r="C20" s="10"/>
      <x:c r="D20" s="10"/>
      <x:c r="E20" s="10"/>
      <x:c r="F20" s="10"/>
    </x:row>
    <x:row r="21" ht="70" customHeight="1">
      <x:c r="A21" s="22" t="str">
        <x:v>Элемент</x:v>
      </x:c>
      <x:c r="B21" s="22" t="str">
        <x:v>Число</x:v>
      </x:c>
      <x:c r="C21" s="22" t="str">
        <x:v>Ширина/высота, см</x:v>
      </x:c>
      <x:c r="D21" s="22" t="str">
        <x:v>Толщина, см</x:v>
      </x:c>
      <x:c r="E21" s="22" t="str">
        <x:v>z, см</x:v>
      </x:c>
      <x:c r="F21" s="22" t="str">
        <x:v>Площадь, см²</x:v>
      </x:c>
    </x:row>
    <x:row r="22" ht="40" customHeight="1">
      <x:c r="A22" s="10" t="str">
        <x:v>CL</x:v>
      </x:c>
      <x:c r="B22" s="10" t="n">
        <x:v>1</x:v>
      </x:c>
      <x:c r="C22" s="10" t="n">
        <x:f>B5*100</x:f>
        <x:v>1277.8</x:v>
      </x:c>
      <x:c r="D22" s="10" t="n">
        <x:f>B13/10</x:f>
        <x:v>1.8</x:v>
      </x:c>
      <x:c r="E22" s="10" t="n">
        <x:f>('Балластные случаи'!B10+'Исходные данные'!B14)*50</x:f>
        <x:v>818.9</x:v>
      </x:c>
      <x:c r="F22" s="10" t="n">
        <x:f>B22*C22*D22</x:f>
        <x:v>2300.04</x:v>
      </x:c>
    </x:row>
    <x:row r="23" ht="40" customHeight="1">
      <x:c r="A23" s="10" t="str">
        <x:v>PL1</x:v>
      </x:c>
      <x:c r="B23" s="10" t="n">
        <x:v>2</x:v>
      </x:c>
      <x:c r="C23" s="10" t="n">
        <x:f>B17*100</x:f>
        <x:v>140</x:v>
      </x:c>
      <x:c r="D23" s="10" t="n">
        <x:f>B15/10</x:f>
        <x:v>1.2</x:v>
      </x:c>
      <x:c r="E23" s="10" t="n">
        <x:f>'Исходные данные'!B23*100</x:f>
        <x:v>480</x:v>
      </x:c>
      <x:c r="F23" s="10" t="n">
        <x:f>B23*C23*D23</x:f>
        <x:v>336</x:v>
      </x:c>
    </x:row>
    <x:row r="24" ht="40" customHeight="1">
      <x:c r="A24" s="10" t="str">
        <x:v>PL2</x:v>
      </x:c>
      <x:c r="B24" s="10" t="n">
        <x:v>2</x:v>
      </x:c>
      <x:c r="C24" s="10" t="n">
        <x:f>B17*100</x:f>
        <x:v>140</x:v>
      </x:c>
      <x:c r="D24" s="10" t="n">
        <x:f>B15/10</x:f>
        <x:v>1.2</x:v>
      </x:c>
      <x:c r="E24" s="10" t="n">
        <x:f>'Исходные данные'!B24*100</x:f>
        <x:v>790</x:v>
      </x:c>
      <x:c r="F24" s="10" t="n">
        <x:f>B24*C24*D24</x:f>
        <x:v>336</x:v>
      </x:c>
    </x:row>
    <x:row r="25" ht="40" customHeight="1">
      <x:c r="A25" s="10" t="str">
        <x:v>PL3</x:v>
      </x:c>
      <x:c r="B25" s="10" t="n">
        <x:v>2</x:v>
      </x:c>
      <x:c r="C25" s="10" t="n">
        <x:f>B17*100</x:f>
        <x:v>140</x:v>
      </x:c>
      <x:c r="D25" s="10" t="n">
        <x:f>B15/10</x:f>
        <x:v>1.2</x:v>
      </x:c>
      <x:c r="E25" s="10" t="n">
        <x:f>'Исходные данные'!B25*100</x:f>
        <x:v>1100</x:v>
      </x:c>
      <x:c r="F25" s="10" t="n">
        <x:f>B25*C25*D25</x:f>
        <x:v>336</x:v>
      </x:c>
    </x:row>
    <x:row r="26" ht="40" customHeight="1">
      <x:c r="A26" s="10"/>
      <x:c r="B26" s="10"/>
      <x:c r="C26" s="10"/>
      <x:c r="D26" s="10"/>
      <x:c r="E26" s="10"/>
      <x:c r="F26" s="10"/>
    </x:row>
    <x:row r="27" ht="40" customHeight="1">
      <x:c r="A27" s="10"/>
      <x:c r="B27" s="10"/>
      <x:c r="C27" s="10"/>
      <x:c r="D27" s="10"/>
      <x:c r="E27" s="10"/>
      <x:c r="F27" s="10"/>
    </x:row>
    <x:row r="28" ht="70" customHeight="1">
      <x:c r="A28" s="22" t="str">
        <x:v>Элемент</x:v>
      </x:c>
      <x:c r="B28" s="22" t="str">
        <x:v>S, см³</x:v>
      </x:c>
      <x:c r="C28" s="22" t="str">
        <x:v>Az², см⁴</x:v>
      </x:c>
      <x:c r="D28" s="22" t="str">
        <x:v>i, см⁴</x:v>
      </x:c>
      <x:c r="E28" s="22" t="str"/>
      <x:c r="F28" s="22" t="str"/>
    </x:row>
    <x:row r="29" ht="40" customHeight="1">
      <x:c r="A29" s="10" t="str">
        <x:f>A22</x:f>
        <x:v>CL</x:v>
      </x:c>
      <x:c r="B29" s="10" t="n">
        <x:f>F22*E22</x:f>
        <x:v>1883502.7559999998</x:v>
      </x:c>
      <x:c r="C29" s="10" t="n">
        <x:f>F22*E22^2</x:f>
        <x:v>1542400406.8883998</x:v>
      </x:c>
      <x:c r="D29" s="10" t="n">
        <x:f>B22*D22*C22^3/12</x:f>
        <x:v>312953570.24279994</x:v>
      </x:c>
      <x:c r="E29" s="10"/>
      <x:c r="F29" s="10"/>
    </x:row>
    <x:row r="30" ht="40" customHeight="1">
      <x:c r="A30" s="10" t="str">
        <x:f>A23</x:f>
        <x:v>PL1</x:v>
      </x:c>
      <x:c r="B30" s="10" t="n">
        <x:f>F23*E23</x:f>
        <x:v>161280</x:v>
      </x:c>
      <x:c r="C30" s="10" t="n">
        <x:f>F23*E23^2</x:f>
        <x:v>77414400</x:v>
      </x:c>
      <x:c r="D30" s="10" t="n">
        <x:f>B23*C23*D23^3/12</x:f>
        <x:v>40.31999999999999</x:v>
      </x:c>
      <x:c r="E30" s="10"/>
      <x:c r="F30" s="10"/>
    </x:row>
    <x:row r="31" ht="40" customHeight="1">
      <x:c r="A31" s="10" t="str">
        <x:f>A24</x:f>
        <x:v>PL2</x:v>
      </x:c>
      <x:c r="B31" s="10" t="n">
        <x:f>F24*E24</x:f>
        <x:v>265440</x:v>
      </x:c>
      <x:c r="C31" s="10" t="n">
        <x:f>F24*E24^2</x:f>
        <x:v>209697600</x:v>
      </x:c>
      <x:c r="D31" s="10" t="n">
        <x:f>B24*C24*D24^3/12</x:f>
        <x:v>40.31999999999999</x:v>
      </x:c>
      <x:c r="E31" s="10"/>
      <x:c r="F31" s="10"/>
    </x:row>
    <x:row r="32" ht="40" customHeight="1">
      <x:c r="A32" s="10" t="str">
        <x:f>A25</x:f>
        <x:v>PL3</x:v>
      </x:c>
      <x:c r="B32" s="10" t="n">
        <x:f>F25*E25</x:f>
        <x:v>369600</x:v>
      </x:c>
      <x:c r="C32" s="10" t="n">
        <x:f>F25*E25^2</x:f>
        <x:v>406560000</x:v>
      </x:c>
      <x:c r="D32" s="10" t="n">
        <x:f>B25*C25*D25^3/12</x:f>
        <x:v>40.31999999999999</x:v>
      </x:c>
      <x:c r="E32" s="10"/>
      <x:c r="F32" s="10"/>
    </x:row>
    <x:row r="33" ht="40" customHeight="1">
      <x:c r="A33" s="10"/>
      <x:c r="B33" s="10"/>
      <x:c r="C33" s="10"/>
      <x:c r="D33" s="10"/>
      <x:c r="E33" s="10"/>
      <x:c r="F33" s="10"/>
    </x:row>
    <x:row r="34" ht="40" customHeight="1">
      <x:c r="A34" s="10"/>
      <x:c r="B34" s="10"/>
      <x:c r="C34" s="10"/>
      <x:c r="D34" s="10"/>
      <x:c r="E34" s="10"/>
      <x:c r="F34" s="10"/>
    </x:row>
    <x:row r="35" ht="48" customHeight="1">
      <x:c r="A35" s="20" t="str">
        <x:v>Вертикальные стойки ДП: четыре пролёта, расчёт с m=12</x:v>
      </x:c>
      <x:c r="B35" s="10"/>
      <x:c r="C35" s="10"/>
      <x:c r="D35" s="10"/>
      <x:c r="E35" s="10"/>
      <x:c r="F35" s="10"/>
    </x:row>
    <x:row r="36" ht="70" customHeight="1">
      <x:c r="A36" s="22" t="str">
        <x:v>Марка</x:v>
      </x:c>
      <x:c r="B36" s="22" t="str">
        <x:v>Пролёт, м</x:v>
      </x:c>
      <x:c r="C36" s="22" t="str">
        <x:v>p, кПа</x:v>
      </x:c>
      <x:c r="D36" s="22" t="str">
        <x:v>W треб., см³</x:v>
      </x:c>
      <x:c r="E36" s="22" t="str">
        <x:v>Профиль HP</x:v>
      </x:c>
      <x:c r="F36" s="22" t="str">
        <x:v>W факт/W треб.</x:v>
      </x:c>
    </x:row>
    <x:row r="37" ht="40" customHeight="1">
      <x:c r="A37" s="10" t="str">
        <x:v>CL-F1</x:v>
      </x:c>
      <x:c r="B37" s="10" t="n">
        <x:f>'Исходные данные'!B23-'Исходные данные'!B14</x:f>
        <x:v>3</x:v>
      </x:c>
      <x:c r="C37" s="10" t="n">
        <x:f>MAX('Исходные данные'!B28*('Исходные данные'!B38+'Нагрузки'!B8)*('Балластные случаи'!B10-('Исходные данные'!B23+'Исходные данные'!B14)/2),'Исходные данные'!B28*'Исходные данные'!B38*(('Балластные случаи'!B10-('Исходные данные'!B23+'Исходные данные'!B14)/2)+('Балластные случаи'!B8)*'Нагрузки'!B9),'Исходные данные'!B28*'Исходные данные'!B38*(('Балластные случаи'!B10-('Исходные данные'!B23+'Исходные данные'!B14)/2)+'Балластные случаи'!B12*'Нагрузки'!B10),0.75*'Исходные данные'!B28*'Исходные данные'!B38*(('Балластные случаи'!B10-('Исходные данные'!B23+'Исходные данные'!B14)/2)+'Балластные случаи'!B13),'Исходные данные'!B28*'Исходные данные'!B38*('Балластные случаи'!B10-('Исходные данные'!B23+'Исходные данные'!B14)/2)+'Балластные случаи'!B14)</x:f>
        <x:v>149.56566522289154</x:v>
      </x:c>
      <x:c r="D37" s="10" t="n">
        <x:f>(1000*C37*$B$7*B37^2/12/0.75/'Исходные данные'!B35)*(1+IF((1000*C37*$B$7*B37^2/12/0.75/'Исходные данные'!B35)&lt;200,MIN(0.07+6/(1000*C37*$B$7*B37^2/12/0.75/'Исходные данные'!B35),0.25),(0.01+1/(1000*C37*$B$7*B37^2/12/0.75/'Исходные данные'!B35))/0.15)*$B$10)</x:f>
        <x:v>627.444909087798</x:v>
      </x:c>
      <x:c r="E37" s="10" t="str">
        <x:v>HP 300x11</x:v>
      </x:c>
      <x:c r="F37" s="10" t="n">
        <x:f>F48/D37</x:f>
        <x:v>1.0742285920094867</x:v>
      </x:c>
    </x:row>
    <x:row r="38" ht="40" customHeight="1">
      <x:c r="A38" s="10" t="str">
        <x:v>CL-F2</x:v>
      </x:c>
      <x:c r="B38" s="10" t="n">
        <x:f>'Исходные данные'!B24-'Исходные данные'!B23</x:f>
        <x:v>3.1000000000000005</x:v>
      </x:c>
      <x:c r="C38" s="10" t="n">
        <x:f>MAX('Исходные данные'!B28*('Исходные данные'!B38+'Нагрузки'!B8)*('Балластные случаи'!B10-('Исходные данные'!B24+'Исходные данные'!B23)/2),'Исходные данные'!B28*'Исходные данные'!B38*(('Балластные случаи'!B10-('Исходные данные'!B24+'Исходные данные'!B23)/2)+('Балластные случаи'!B8)*'Нагрузки'!B9),'Исходные данные'!B28*'Исходные данные'!B38*(('Балластные случаи'!B10-('Исходные данные'!B24+'Исходные данные'!B23)/2)+'Балластные случаи'!B12*'Нагрузки'!B10),0.75*'Исходные данные'!B28*'Исходные данные'!B38*(('Балластные случаи'!B10-('Исходные данные'!B24+'Исходные данные'!B23)/2)+'Балластные случаи'!B13),'Исходные данные'!B28*'Исходные данные'!B38*('Балластные случаи'!B10-('Исходные данные'!B24+'Исходные данные'!B23)/2)+'Балластные случаи'!B14)</x:f>
        <x:v>118.89715272289155</x:v>
      </x:c>
      <x:c r="D38" s="10" t="n">
        <x:f>(1000*C38*$B$7*B38^2/12/0.75/'Исходные данные'!B35)*(1+IF((1000*C38*$B$7*B38^2/12/0.75/'Исходные данные'!B35)&lt;200,MIN(0.07+6/(1000*C38*$B$7*B38^2/12/0.75/'Исходные данные'!B35),0.25),(0.01+1/(1000*C38*$B$7*B38^2/12/0.75/'Исходные данные'!B35))/0.15)*$B$10)</x:f>
        <x:v>536.5241359788671</x:v>
      </x:c>
      <x:c r="E38" s="10" t="str">
        <x:v>HP 280x11</x:v>
      </x:c>
      <x:c r="F38" s="10" t="n">
        <x:f>F49/D38</x:f>
        <x:v>1.0578471822956834</x:v>
      </x:c>
    </x:row>
    <x:row r="39" ht="40" customHeight="1">
      <x:c r="A39" s="10" t="str">
        <x:v>CL-F3</x:v>
      </x:c>
      <x:c r="B39" s="10" t="n">
        <x:f>'Исходные данные'!B25-'Исходные данные'!B24</x:f>
        <x:v>3.0999999999999996</x:v>
      </x:c>
      <x:c r="C39" s="10" t="n">
        <x:f>MAX('Исходные данные'!B28*('Исходные данные'!B38+'Нагрузки'!B8)*('Балластные случаи'!B10-('Исходные данные'!B25+'Исходные данные'!B24)/2),'Исходные данные'!B28*'Исходные данные'!B38*(('Балластные случаи'!B10-('Исходные данные'!B25+'Исходные данные'!B24)/2)+('Балластные случаи'!B8)*'Нагрузки'!B9),'Исходные данные'!B28*'Исходные данные'!B38*(('Балластные случаи'!B10-('Исходные данные'!B25+'Исходные данные'!B24)/2)+'Балластные случаи'!B12*'Нагрузки'!B10),0.75*'Исходные данные'!B28*'Исходные данные'!B38*(('Балластные случаи'!B10-('Исходные данные'!B25+'Исходные данные'!B24)/2)+'Балластные случаи'!B13),'Исходные данные'!B28*'Исходные данные'!B38*('Балластные случаи'!B10-('Исходные данные'!B25+'Исходные данные'!B24)/2)+'Балластные случаи'!B14)</x:f>
        <x:v>87.72587772289155</x:v>
      </x:c>
      <x:c r="D39" s="10" t="n">
        <x:f>(1000*C39*$B$7*B39^2/12/0.75/'Исходные данные'!B35)*(1+IF((1000*C39*$B$7*B39^2/12/0.75/'Исходные данные'!B35)&lt;200,MIN(0.07+6/(1000*C39*$B$7*B39^2/12/0.75/'Исходные данные'!B35),0.25),(0.01+1/(1000*C39*$B$7*B39^2/12/0.75/'Исходные данные'!B35))/0.15)*$B$10)</x:f>
        <x:v>402.679986877803</x:v>
      </x:c>
      <x:c r="E39" s="10" t="str">
        <x:v>HP 260x10</x:v>
      </x:c>
      <x:c r="F39" s="10" t="n">
        <x:f>F50/D39</x:f>
        <x:v>1.134701540085719</x:v>
      </x:c>
    </x:row>
    <x:row r="40" ht="40" customHeight="1">
      <x:c r="A40" s="10" t="str">
        <x:v>CL-F4</x:v>
      </x:c>
      <x:c r="B40" s="10" t="n">
        <x:f>'Балластные случаи'!B10-'Исходные данные'!B25</x:f>
        <x:v>3.5779999999999994</x:v>
      </x:c>
      <x:c r="C40" s="10" t="n">
        <x:f>MAX('Исходные данные'!B28*('Исходные данные'!B38+'Нагрузки'!B8)*('Балластные случаи'!B10-('Балластные случаи'!B10+'Исходные данные'!B25)/2),'Исходные данные'!B28*'Исходные данные'!B38*(('Балластные случаи'!B10-('Балластные случаи'!B10+'Исходные данные'!B25)/2)+('Балластные случаи'!B8)*'Нагрузки'!B9),'Исходные данные'!B28*'Исходные данные'!B38*(('Балластные случаи'!B10-('Балластные случаи'!B10+'Исходные данные'!B25)/2)+'Балластные случаи'!B12*'Нагрузки'!B10),0.75*'Исходные данные'!B28*'Исходные данные'!B38*(('Балластные случаи'!B10-('Балластные случаи'!B10+'Исходные данные'!B25)/2)+'Балластные случаи'!B13),'Исходные данные'!B28*'Исходные данные'!B38*('Балластные случаи'!B10-('Балластные случаи'!B10+'Исходные данные'!B25)/2)+'Балластные случаи'!B14)</x:f>
        <x:v>54.15139797289155</x:v>
      </x:c>
      <x:c r="D40" s="10" t="n">
        <x:f>(1000*C40*$B$7*B40^2/12/0.75/'Исходные данные'!B35)*(1+IF((1000*C40*$B$7*B40^2/12/0.75/'Исходные данные'!B35)&lt;200,MIN(0.07+6/(1000*C40*$B$7*B40^2/12/0.75/'Исходные данные'!B35),0.25),(0.01+1/(1000*C40*$B$7*B40^2/12/0.75/'Исходные данные'!B35))/0.15)*$B$10)</x:f>
        <x:v>335.750333125407</x:v>
      </x:c>
      <x:c r="E40" s="10" t="str">
        <x:v>HP 240x10</x:v>
      </x:c>
      <x:c r="F40" s="10" t="n">
        <x:f>F51/D40</x:f>
        <x:v>1.111939524673972</x:v>
      </x:c>
    </x:row>
    <x:row r="41" ht="40" customHeight="1">
      <x:c r="A41" s="10"/>
      <x:c r="B41" s="10"/>
      <x:c r="C41" s="10"/>
      <x:c r="D41" s="10"/>
      <x:c r="E41" s="10"/>
      <x:c r="F41" s="10"/>
    </x:row>
    <x:row r="42" ht="40" customHeight="1">
      <x:c r="A42" s="10"/>
      <x:c r="B42" s="10"/>
      <x:c r="C42" s="10"/>
      <x:c r="D42" s="10"/>
      <x:c r="E42" s="10"/>
      <x:c r="F42" s="10"/>
    </x:row>
    <x:row r="43" ht="48" customHeight="1">
      <x:c r="A43" s="20" t="str">
        <x:v>Платформы 12 мм; отверстия 600×1200 мм между рамными шпангоутами</x:v>
      </x:c>
      <x:c r="B43" s="10"/>
      <x:c r="C43" s="10"/>
      <x:c r="D43" s="10"/>
      <x:c r="E43" s="10"/>
      <x:c r="F43" s="10"/>
    </x:row>
    <x:row r="44" ht="48" customHeight="1">
      <x:c r="A44" s="20"/>
      <x:c r="B44" s="10"/>
      <x:c r="C44" s="10"/>
      <x:c r="D44" s="10"/>
      <x:c r="E44" s="10"/>
      <x:c r="F44" s="10"/>
    </x:row>
    <x:row r="45" ht="40" customHeight="1">
      <x:c r="A45" s="10"/>
      <x:c r="B45" s="10"/>
      <x:c r="C45" s="10"/>
      <x:c r="D45" s="10"/>
      <x:c r="E45" s="10"/>
      <x:c r="F45" s="10"/>
    </x:row>
    <x:row r="46" ht="48" customHeight="1">
      <x:c r="A46" s="20" t="str">
        <x:v>Составные сечения стоек ДП (см, проверка формулами)</x:v>
      </x:c>
      <x:c r="B46" s="10"/>
      <x:c r="C46" s="10"/>
      <x:c r="D46" s="10"/>
      <x:c r="E46" s="10"/>
      <x:c r="F46" s="10"/>
    </x:row>
    <x:row r="47" ht="70" customHeight="1">
      <x:c r="A47" s="22" t="str">
        <x:v>Марка</x:v>
      </x:c>
      <x:c r="B47" s="22" t="str">
        <x:v>Ширина пояска</x:v>
      </x:c>
      <x:c r="C47" s="22" t="str">
        <x:v>Площадь пояска</x:v>
      </x:c>
      <x:c r="D47" s="22" t="str">
        <x:v>Смещение оси</x:v>
      </x:c>
      <x:c r="E47" s="22" t="str">
        <x:v>I сечения</x:v>
      </x:c>
      <x:c r="F47" s="22" t="str">
        <x:v>W min</x:v>
      </x:c>
    </x:row>
    <x:row r="48" ht="40" customHeight="1">
      <x:c r="A48" s="10" t="str">
        <x:v>CL-F1</x:v>
      </x:c>
      <x:c r="B48" s="10" t="n">
        <x:f>MIN(B37/6,$B$7)*100</x:f>
        <x:v>50</x:v>
      </x:c>
      <x:c r="C48" s="10" t="n">
        <x:f>B48*$B$13/10</x:f>
        <x:v>90</x:v>
      </x:c>
      <x:c r="D48" s="10" t="n">
        <x:f>'HP DIN1019'!F24*('HP DIN1019'!C55+$B$13/20)/('HP DIN1019'!F24+C48)</x:f>
        <x:v>6.764155084125823</x:v>
      </x:c>
      <x:c r="E48" s="10" t="n">
        <x:f>'HP DIN1019'!D55+B48*($B$13/10)^3/12+'HP DIN1019'!F24*('HP DIN1019'!C55+$B$13/20)^2-('HP DIN1019'!F24+C48)*D48^2</x:f>
        <x:v>16268.024359912211</x:v>
      </x:c>
      <x:c r="F48" s="10" t="n">
        <x:f>MIN(E48/('HP DIN1019'!B24/10+$B$13/20-D48),E48/(D48+$B$13/20))</x:f>
        <x:v>674.0192612529057</x:v>
      </x:c>
    </x:row>
    <x:row r="49" ht="40" customHeight="1">
      <x:c r="A49" s="10" t="str">
        <x:v>CL-F2</x:v>
      </x:c>
      <x:c r="B49" s="10" t="n">
        <x:f>MIN(B38/6,$B$7)*100</x:f>
        <x:v>51.66666666666667</x:v>
      </x:c>
      <x:c r="C49" s="10" t="n">
        <x:f>B49*$B$13/10</x:f>
        <x:v>93.00000000000001</x:v>
      </x:c>
      <x:c r="D49" s="10" t="n">
        <x:f>'HP DIN1019'!F22*('HP DIN1019'!C53+$B$13/20)/('HP DIN1019'!F22+C49)</x:f>
        <x:v>5.7491150442477865</x:v>
      </x:c>
      <x:c r="E49" s="10" t="n">
        <x:f>'HP DIN1019'!D53+B49*($B$13/10)^3/12+'HP DIN1019'!F22*('HP DIN1019'!C53+$B$13/20)^2-('HP DIN1019'!F22+C49)*D49^2</x:f>
        <x:v>13139.528893805305</x:v>
      </x:c>
      <x:c r="F49" s="10" t="n">
        <x:f>MIN(E49/('HP DIN1019'!B22/10+$B$13/20-D49),E49/(D49+$B$13/20))</x:f>
        <x:v>567.5605454788706</x:v>
      </x:c>
    </x:row>
    <x:row r="50" ht="40" customHeight="1">
      <x:c r="A50" s="10" t="str">
        <x:v>CL-F3</x:v>
      </x:c>
      <x:c r="B50" s="10" t="n">
        <x:f>MIN(B39/6,$B$7)*100</x:f>
        <x:v>51.66666666666666</x:v>
      </x:c>
      <x:c r="C50" s="10" t="n">
        <x:f>B50*$B$13/10</x:f>
        <x:v>92.99999999999997</x:v>
      </x:c>
      <x:c r="D50" s="10" t="n">
        <x:f>'HP DIN1019'!F19*('HP DIN1019'!C50+$B$13/20)/('HP DIN1019'!F19+C50)</x:f>
        <x:v>4.781642137877615</x:v>
      </x:c>
      <x:c r="E50" s="10" t="n">
        <x:f>'HP DIN1019'!D50+B50*($B$13/10)^3/12+'HP DIN1019'!F19*('HP DIN1019'!C50+$B$13/20)^2-('HP DIN1019'!F19+C50)*D50^2</x:f>
        <x:v>10106.355491866767</x:v>
      </x:c>
      <x:c r="F50" s="10" t="n">
        <x:f>MIN(E50/('HP DIN1019'!B19/10+$B$13/20-D50),E50/(D50+$B$13/20))</x:f>
        <x:v>456.9216012719402</x:v>
      </x:c>
    </x:row>
    <x:row r="51" ht="40" customHeight="1">
      <x:c r="A51" s="10" t="str">
        <x:v>CL-F4</x:v>
      </x:c>
      <x:c r="B51" s="10" t="n">
        <x:f>MIN(B40/6,$B$7)*100</x:f>
        <x:v>59.633333333333326</x:v>
      </x:c>
      <x:c r="C51" s="10" t="n">
        <x:f>B51*$B$13/10</x:f>
        <x:v>107.33999999999999</x:v>
      </x:c>
      <x:c r="D51" s="10" t="n">
        <x:f>'HP DIN1019'!F16*('HP DIN1019'!C47+$B$13/20)/('HP DIN1019'!F16+C51)</x:f>
        <x:v>3.617003005581795</x:v>
      </x:c>
      <x:c r="E51" s="10" t="n">
        <x:f>'HP DIN1019'!D47+B51*($B$13/10)^3/12+'HP DIN1019'!F16*('HP DIN1019'!C47+$B$13/20)^2-('HP DIN1019'!F16+C51)*D51^2</x:f>
        <x:v>7945.667800858737</x:v>
      </x:c>
      <x:c r="F51" s="10" t="n">
        <x:f>MIN(E51/('HP DIN1019'!B16/10+$B$13/20-D51),E51/(D51+$B$13/20))</x:f>
        <x:v>373.3340658245928</x:v>
      </x:c>
    </x:row>
    <x:row r="52" ht="40" customHeight="1">
      <x:c r="A52" s="10"/>
      <x:c r="B52" s="10"/>
      <x:c r="C52" s="10"/>
      <x:c r="D52" s="10"/>
      <x:c r="E52" s="10"/>
      <x:c r="F52" s="10"/>
    </x:row>
    <x:row r="53" ht="40" customHeight="1">
      <x:c r="A53" s="10"/>
      <x:c r="B53" s="10"/>
      <x:c r="C53" s="10"/>
      <x:c r="D53" s="10"/>
      <x:c r="E53" s="10"/>
      <x:c r="F53" s="10"/>
    </x:row>
    <x:row r="54" ht="40" customHeight="1">
      <x:c r="A54" s="10"/>
      <x:c r="B54" s="10"/>
      <x:c r="C54" s="10"/>
      <x:c r="D54" s="10"/>
      <x:c r="E54" s="10"/>
      <x:c r="F54" s="10"/>
    </x:row>
    <x:row r="55" ht="40" customHeight="1">
      <x:c r="A55" s="10"/>
      <x:c r="B55" s="10"/>
      <x:c r="C55" s="10"/>
      <x:c r="D55" s="10"/>
      <x:c r="E55" s="10"/>
      <x:c r="F55" s="10"/>
    </x:row>
    <x:row r="56" ht="40" customHeight="1">
      <x:c r="A56" s="10"/>
      <x:c r="B56" s="10"/>
      <x:c r="C56" s="10"/>
      <x:c r="D56" s="10"/>
      <x:c r="E56" s="10"/>
      <x:c r="F56" s="10"/>
    </x:row>
    <x:row r="57" ht="40" customHeight="1">
      <x:c r="A57" s="10"/>
      <x:c r="B57" s="10"/>
      <x:c r="C57" s="10"/>
      <x:c r="D57" s="10"/>
      <x:c r="E57" s="10"/>
      <x:c r="F57" s="10"/>
    </x:row>
    <x:row r="58" ht="40" customHeight="1">
      <x:c r="A58" s="10"/>
      <x:c r="B58" s="10"/>
      <x:c r="C58" s="10"/>
      <x:c r="D58" s="10"/>
      <x:c r="E58" s="10"/>
      <x:c r="F58" s="10"/>
    </x:row>
    <x:row r="59" ht="40" customHeight="1">
      <x:c r="A59" s="10"/>
      <x:c r="B59" s="10"/>
      <x:c r="C59" s="10"/>
      <x:c r="D59" s="10"/>
      <x:c r="E59" s="10"/>
      <x:c r="F59" s="10"/>
    </x:row>
    <x:row r="60" ht="40" customHeight="1">
      <x:c r="A60" s="10"/>
      <x:c r="B60" s="10"/>
      <x:c r="C60" s="10"/>
      <x:c r="D60" s="10"/>
      <x:c r="E60" s="10"/>
      <x:c r="F60" s="10"/>
    </x:row>
    <x:row r="61" ht="40" customHeight="1">
      <x:c r="A61" s="10"/>
      <x:c r="B61" s="10"/>
      <x:c r="C61" s="10"/>
      <x:c r="D61" s="10"/>
      <x:c r="E61" s="10"/>
      <x:c r="F61" s="10"/>
    </x:row>
    <x:row r="62" ht="40" customHeight="1">
      <x:c r="A62" s="10"/>
      <x:c r="B62" s="10"/>
      <x:c r="C62" s="10"/>
      <x:c r="D62" s="10"/>
      <x:c r="E62" s="10"/>
      <x:c r="F62" s="10"/>
    </x:row>
    <x:row r="63" ht="40" customHeight="1">
      <x:c r="A63" s="10"/>
      <x:c r="B63" s="10"/>
      <x:c r="C63" s="10"/>
      <x:c r="D63" s="10"/>
      <x:c r="E63" s="10"/>
      <x:c r="F63" s="10"/>
    </x:row>
    <x:row r="64" ht="40" customHeight="1">
      <x:c r="A64" s="10"/>
      <x:c r="B64" s="10"/>
      <x:c r="C64" s="10"/>
      <x:c r="D64" s="10"/>
      <x:c r="E64" s="10"/>
      <x:c r="F64" s="10"/>
    </x:row>
    <x:row r="65" ht="40" customHeight="1">
      <x:c r="A65" s="10"/>
      <x:c r="B65" s="10"/>
      <x:c r="C65" s="10"/>
      <x:c r="D65" s="10"/>
      <x:c r="E65" s="10"/>
      <x:c r="F65" s="10"/>
    </x:row>
    <x:row r="66" ht="40" customHeight="1">
      <x:c r="A66" s="10"/>
      <x:c r="B66" s="10"/>
      <x:c r="C66" s="10"/>
      <x:c r="D66" s="10"/>
      <x:c r="E66" s="10"/>
      <x:c r="F66" s="10"/>
    </x:row>
    <x:row r="67" ht="40" customHeight="1">
      <x:c r="A67" s="10"/>
      <x:c r="B67" s="10"/>
      <x:c r="C67" s="10"/>
      <x:c r="D67" s="10"/>
      <x:c r="E67" s="10"/>
      <x:c r="F67" s="10"/>
    </x:row>
    <x:row r="68" ht="40" customHeight="1">
      <x:c r="A68" s="10"/>
      <x:c r="B68" s="10"/>
      <x:c r="C68" s="10"/>
      <x:c r="D68" s="10"/>
      <x:c r="E68" s="10"/>
      <x:c r="F68" s="10"/>
    </x:row>
    <x:row r="69" ht="40" customHeight="1">
      <x:c r="A69" s="10"/>
      <x:c r="B69" s="10"/>
      <x:c r="C69" s="10"/>
      <x:c r="D69" s="10"/>
      <x:c r="E69" s="10"/>
      <x:c r="F69" s="10"/>
    </x:row>
    <x:row r="70" ht="40" customHeight="1">
      <x:c r="A70" s="10"/>
      <x:c r="B70" s="10"/>
      <x:c r="C70" s="10"/>
      <x:c r="D70" s="10"/>
      <x:c r="E70" s="10"/>
      <x:c r="F70" s="10"/>
    </x:row>
    <x:row r="71" ht="40" customHeight="1">
      <x:c r="A71" s="10"/>
      <x:c r="B71" s="10"/>
      <x:c r="C71" s="10"/>
      <x:c r="D71" s="10"/>
      <x:c r="E71" s="10"/>
      <x:c r="F71" s="10"/>
    </x:row>
    <x:row r="72" ht="40" customHeight="1">
      <x:c r="A72" s="10"/>
      <x:c r="B72" s="10"/>
      <x:c r="C72" s="10"/>
      <x:c r="D72" s="10"/>
      <x:c r="E72" s="10"/>
      <x:c r="F72" s="10"/>
    </x:row>
    <x:row r="73" ht="40" customHeight="1">
      <x:c r="A73" s="10"/>
      <x:c r="B73" s="10"/>
      <x:c r="C73" s="10"/>
      <x:c r="D73" s="10"/>
      <x:c r="E73" s="10"/>
      <x:c r="F73" s="10"/>
    </x:row>
    <x:row r="74" ht="40" customHeight="1">
      <x:c r="A74" s="10"/>
      <x:c r="B74" s="10"/>
      <x:c r="C74" s="10"/>
      <x:c r="D74" s="10"/>
      <x:c r="E74" s="10"/>
      <x:c r="F74" s="10"/>
    </x:row>
    <x:row r="75" ht="40" customHeight="1">
      <x:c r="A75" s="10"/>
      <x:c r="B75" s="10"/>
      <x:c r="C75" s="10"/>
      <x:c r="D75" s="10"/>
      <x:c r="E75" s="10"/>
      <x:c r="F75" s="10"/>
    </x:row>
    <x:row r="76" ht="40" customHeight="1">
      <x:c r="A76" s="10"/>
      <x:c r="B76" s="10"/>
      <x:c r="C76" s="10"/>
      <x:c r="D76" s="10"/>
      <x:c r="E76" s="10"/>
      <x:c r="F76" s="10"/>
    </x:row>
    <x:row r="77" ht="40" customHeight="1">
      <x:c r="A77" s="10"/>
      <x:c r="B77" s="10"/>
      <x:c r="C77" s="10"/>
      <x:c r="D77" s="10"/>
      <x:c r="E77" s="10"/>
      <x:c r="F77" s="10"/>
    </x:row>
    <x:row r="78" ht="40" customHeight="1">
      <x:c r="A78" s="10"/>
      <x:c r="B78" s="10"/>
      <x:c r="C78" s="10"/>
      <x:c r="D78" s="10"/>
      <x:c r="E78" s="10"/>
      <x:c r="F78" s="10"/>
    </x:row>
    <x:row r="79" ht="40" customHeight="1">
      <x:c r="A79" s="10"/>
      <x:c r="B79" s="10"/>
      <x:c r="C79" s="10"/>
      <x:c r="D79" s="10"/>
      <x:c r="E79" s="10"/>
      <x:c r="F79" s="10"/>
    </x:row>
    <x:row r="80" ht="40" customHeight="1">
      <x:c r="A80" s="10"/>
      <x:c r="B80" s="10"/>
      <x:c r="C80" s="10"/>
      <x:c r="D80" s="10"/>
      <x:c r="E80" s="10"/>
      <x:c r="F80" s="10"/>
    </x:row>
    <x:row r="81" ht="40" customHeight="1">
      <x:c r="A81" s="10"/>
      <x:c r="B81" s="10"/>
      <x:c r="C81" s="10"/>
      <x:c r="D81" s="10"/>
      <x:c r="E81" s="10"/>
      <x:c r="F81" s="10"/>
    </x:row>
    <x:row r="82" ht="40" customHeight="1">
      <x:c r="A82" s="10"/>
      <x:c r="B82" s="10"/>
      <x:c r="C82" s="10"/>
      <x:c r="D82" s="10"/>
      <x:c r="E82" s="10"/>
      <x:c r="F82" s="10"/>
    </x:row>
    <x:row r="83" ht="40" customHeight="1">
      <x:c r="A83" s="10"/>
      <x:c r="B83" s="10"/>
      <x:c r="C83" s="10"/>
      <x:c r="D83" s="10"/>
      <x:c r="E83" s="10"/>
      <x:c r="F83" s="10"/>
    </x:row>
    <x:row r="84" ht="40" customHeight="1">
      <x:c r="A84" s="10"/>
      <x:c r="B84" s="10"/>
      <x:c r="C84" s="10"/>
      <x:c r="D84" s="10"/>
      <x:c r="E84" s="10"/>
      <x:c r="F84" s="10"/>
    </x:row>
    <x:row r="85" ht="40" customHeight="1">
      <x:c r="A85" s="10"/>
      <x:c r="B85" s="10"/>
      <x:c r="C85" s="10"/>
      <x:c r="D85" s="10"/>
      <x:c r="E85" s="10"/>
      <x:c r="F85" s="10"/>
    </x:row>
    <x:row r="86" ht="40" customHeight="1">
      <x:c r="A86" s="10"/>
      <x:c r="B86" s="10"/>
      <x:c r="C86" s="10"/>
      <x:c r="D86" s="10"/>
      <x:c r="E86" s="10"/>
      <x:c r="F86" s="10"/>
    </x:row>
    <x:row r="87" ht="40" customHeight="1">
      <x:c r="A87" s="10"/>
      <x:c r="B87" s="10"/>
      <x:c r="C87" s="10"/>
      <x:c r="D87" s="10"/>
      <x:c r="E87" s="10"/>
      <x:c r="F87" s="10"/>
    </x:row>
    <x:row r="88" ht="40" customHeight="1">
      <x:c r="A88" s="10"/>
      <x:c r="B88" s="10"/>
      <x:c r="C88" s="10"/>
      <x:c r="D88" s="10"/>
      <x:c r="E88" s="10"/>
      <x:c r="F88" s="10"/>
    </x:row>
    <x:row r="89" ht="40" customHeight="1">
      <x:c r="A89" s="10"/>
      <x:c r="B89" s="10"/>
      <x:c r="C89" s="10"/>
      <x:c r="D89" s="10"/>
      <x:c r="E89" s="10"/>
      <x:c r="F89" s="10"/>
    </x:row>
    <x:row r="90" ht="40" customHeight="1">
      <x:c r="A90" s="10"/>
      <x:c r="B90" s="10"/>
      <x:c r="C90" s="10"/>
      <x:c r="D90" s="10"/>
      <x:c r="E90" s="10"/>
      <x:c r="F90" s="10"/>
    </x:row>
    <x:row r="91" ht="40" customHeight="1">
      <x:c r="A91" s="10"/>
      <x:c r="B91" s="10"/>
      <x:c r="C91" s="10"/>
      <x:c r="D91" s="10"/>
      <x:c r="E91" s="10"/>
      <x:c r="F91" s="10"/>
    </x:row>
    <x:row r="92" ht="40" customHeight="1">
      <x:c r="A92" s="10"/>
      <x:c r="B92" s="10"/>
      <x:c r="C92" s="10"/>
      <x:c r="D92" s="10"/>
      <x:c r="E92" s="10"/>
      <x:c r="F92" s="10"/>
    </x:row>
    <x:row r="93" ht="40" customHeight="1">
      <x:c r="A93" s="10"/>
      <x:c r="B93" s="10"/>
      <x:c r="C93" s="10"/>
      <x:c r="D93" s="10"/>
      <x:c r="E93" s="10"/>
      <x:c r="F93" s="10"/>
    </x:row>
    <x:row r="94" ht="40" customHeight="1">
      <x:c r="A94" s="10"/>
      <x:c r="B94" s="10"/>
      <x:c r="C94" s="10"/>
      <x:c r="D94" s="10"/>
      <x:c r="E94" s="10"/>
      <x:c r="F94" s="10"/>
    </x:row>
    <x:row r="95" ht="40" customHeight="1">
      <x:c r="A95" s="10"/>
      <x:c r="B95" s="10"/>
      <x:c r="C95" s="10"/>
      <x:c r="D95" s="10"/>
      <x:c r="E95" s="10"/>
      <x:c r="F95" s="10"/>
    </x:row>
    <x:row r="96" ht="40" customHeight="1">
      <x:c r="A96" s="10"/>
      <x:c r="B96" s="10"/>
      <x:c r="C96" s="10"/>
      <x:c r="D96" s="10"/>
      <x:c r="E96" s="10"/>
      <x:c r="F96" s="10"/>
    </x:row>
    <x:row r="97" ht="40" customHeight="1">
      <x:c r="A97" s="10"/>
      <x:c r="B97" s="10"/>
      <x:c r="C97" s="10"/>
      <x:c r="D97" s="10"/>
      <x:c r="E97" s="10"/>
      <x:c r="F97" s="10"/>
    </x:row>
    <x:row r="98" ht="40" customHeight="1">
      <x:c r="A98" s="10"/>
      <x:c r="B98" s="10"/>
      <x:c r="C98" s="10"/>
      <x:c r="D98" s="10"/>
      <x:c r="E98" s="10"/>
      <x:c r="F98" s="10"/>
    </x:row>
    <x:row r="99" ht="40" customHeight="1">
      <x:c r="A99" s="10"/>
      <x:c r="B99" s="10"/>
      <x:c r="C99" s="10"/>
      <x:c r="D99" s="10"/>
      <x:c r="E99" s="10"/>
      <x:c r="F99" s="10"/>
    </x:row>
    <x:row r="100" ht="40" customHeight="1">
      <x:c r="A100" s="10"/>
      <x:c r="B100" s="10"/>
      <x:c r="C100" s="10"/>
      <x:c r="D100" s="10"/>
      <x:c r="E100" s="10"/>
      <x:c r="F100" s="10"/>
    </x:row>
    <x:row r="101" ht="40" customHeight="1">
      <x:c r="A101" s="10"/>
      <x:c r="B101" s="10"/>
      <x:c r="C101" s="10"/>
      <x:c r="D101" s="10"/>
      <x:c r="E101" s="10"/>
      <x:c r="F101" s="10"/>
    </x:row>
    <x:row r="102" ht="40" customHeight="1">
      <x:c r="A102" s="10"/>
      <x:c r="B102" s="10"/>
      <x:c r="C102" s="10"/>
      <x:c r="D102" s="10"/>
      <x:c r="E102" s="10"/>
      <x:c r="F102" s="10"/>
    </x:row>
    <x:row r="103" ht="40" customHeight="1">
      <x:c r="A103" s="10"/>
      <x:c r="B103" s="10"/>
      <x:c r="C103" s="10"/>
      <x:c r="D103" s="10"/>
      <x:c r="E103" s="10"/>
      <x:c r="F103" s="10"/>
    </x:row>
    <x:row r="104" ht="40" customHeight="1">
      <x:c r="A104" s="10"/>
      <x:c r="B104" s="10"/>
      <x:c r="C104" s="10"/>
      <x:c r="D104" s="10"/>
      <x:c r="E104" s="10"/>
      <x:c r="F104" s="10"/>
    </x:row>
    <x:row r="105" ht="40" customHeight="1">
      <x:c r="A105" s="10"/>
      <x:c r="B105" s="10"/>
      <x:c r="C105" s="10"/>
      <x:c r="D105" s="10"/>
      <x:c r="E105" s="10"/>
      <x:c r="F105" s="10"/>
    </x:row>
    <x:row r="106" ht="40" customHeight="1">
      <x:c r="A106" s="10"/>
      <x:c r="B106" s="10"/>
      <x:c r="C106" s="10"/>
      <x:c r="D106" s="10"/>
      <x:c r="E106" s="10"/>
      <x:c r="F106" s="10"/>
    </x:row>
    <x:row r="107" ht="40" customHeight="1">
      <x:c r="A107" s="10"/>
      <x:c r="B107" s="10"/>
      <x:c r="C107" s="10"/>
      <x:c r="D107" s="10"/>
      <x:c r="E107" s="10"/>
      <x:c r="F107" s="10"/>
    </x:row>
    <x:row r="108" ht="40" customHeight="1">
      <x:c r="A108" s="10"/>
      <x:c r="B108" s="10"/>
      <x:c r="C108" s="10"/>
      <x:c r="D108" s="10"/>
      <x:c r="E108" s="10"/>
      <x:c r="F108" s="10"/>
    </x:row>
    <x:row r="109" ht="40" customHeight="1">
      <x:c r="A109" s="10"/>
      <x:c r="B109" s="10"/>
      <x:c r="C109" s="10"/>
      <x:c r="D109" s="10"/>
      <x:c r="E109" s="10"/>
      <x:c r="F109" s="10"/>
    </x:row>
    <x:row r="110" ht="40" customHeight="1">
      <x:c r="A110" s="10"/>
      <x:c r="B110" s="10"/>
      <x:c r="C110" s="10"/>
      <x:c r="D110" s="10"/>
      <x:c r="E110" s="10"/>
      <x:c r="F110" s="10"/>
    </x:row>
    <x:row r="111" ht="40" customHeight="1">
      <x:c r="A111" s="10"/>
      <x:c r="B111" s="10"/>
      <x:c r="C111" s="10"/>
      <x:c r="D111" s="10"/>
      <x:c r="E111" s="10"/>
      <x:c r="F111" s="10"/>
    </x:row>
    <x:row r="112" ht="40" customHeight="1">
      <x:c r="A112" s="10"/>
      <x:c r="B112" s="10"/>
      <x:c r="C112" s="10"/>
      <x:c r="D112" s="10"/>
      <x:c r="E112" s="10"/>
      <x:c r="F112" s="10"/>
    </x:row>
    <x:row r="113" ht="40" customHeight="1">
      <x:c r="A113" s="10"/>
      <x:c r="B113" s="10"/>
      <x:c r="C113" s="10"/>
      <x:c r="D113" s="10"/>
      <x:c r="E113" s="10"/>
      <x:c r="F113" s="10"/>
    </x:row>
    <x:row r="114" ht="40" customHeight="1">
      <x:c r="A114" s="10"/>
      <x:c r="B114" s="10"/>
      <x:c r="C114" s="10"/>
      <x:c r="D114" s="10"/>
      <x:c r="E114" s="10"/>
      <x:c r="F114" s="10"/>
    </x:row>
    <x:row r="115" ht="40" customHeight="1">
      <x:c r="A115" s="10"/>
      <x:c r="B115" s="10"/>
      <x:c r="C115" s="10"/>
      <x:c r="D115" s="10"/>
      <x:c r="E115" s="10"/>
      <x:c r="F115" s="10"/>
    </x:row>
  </x:sheetData>
  <x:mergeCells>
    <x:mergeCell ref="A1:F1"/>
    <x:mergeCell ref="A2:F2"/>
    <x:mergeCell ref="D5:F5"/>
    <x:mergeCell ref="D6:F6"/>
    <x:mergeCell ref="D7:F7"/>
    <x:mergeCell ref="D8:F8"/>
    <x:mergeCell ref="D9:F9"/>
    <x:mergeCell ref="D10:F10"/>
    <x:mergeCell ref="D11:F11"/>
    <x:mergeCell ref="D12:F12"/>
    <x:mergeCell ref="D13:F13"/>
    <x:mergeCell ref="D15:F15"/>
    <x:mergeCell ref="D16:F16"/>
    <x:mergeCell ref="D17:F17"/>
    <x:mergeCell ref="A20:F20"/>
    <x:mergeCell ref="A35:F35"/>
    <x:mergeCell ref="A43:F43"/>
    <x:mergeCell ref="A44:F44"/>
    <x:mergeCell ref="A46:F46"/>
  </x:mergeCells>
  <x:pageMargins left="0.7" right="0.7" top="0.75" bottom="0.75" header="0.3" footer="0.3"/>
</x:worksheet>
</file>