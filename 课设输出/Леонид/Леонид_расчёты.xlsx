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7c43c7d69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03fa6fc5dfb54361"/>
    <x:sheet xmlns:r="http://schemas.openxmlformats.org/officeDocument/2006/relationships" name="Расчёт листа A" sheetId="2" r:id="R9b71e3e510644b86"/>
    <x:sheet xmlns:r="http://schemas.openxmlformats.org/officeDocument/2006/relationships" name="Исходные данные" sheetId="3" r:id="Rc7e904390e604d9f"/>
    <x:sheet xmlns:r="http://schemas.openxmlformats.org/officeDocument/2006/relationships" name="Нагрузки" sheetId="4" r:id="R302a4dbf20344f61"/>
    <x:sheet xmlns:r="http://schemas.openxmlformats.org/officeDocument/2006/relationships" name="Листы" sheetId="5" r:id="R048b09b33a0146f6"/>
    <x:sheet xmlns:r="http://schemas.openxmlformats.org/officeDocument/2006/relationships" name="Флоры и киль" sheetId="6" r:id="Rd55f452bac2749b8"/>
    <x:sheet xmlns:r="http://schemas.openxmlformats.org/officeDocument/2006/relationships" name="HP DIN1019" sheetId="7" r:id="R2e0c91c10c43487f"/>
    <x:sheet xmlns:r="http://schemas.openxmlformats.org/officeDocument/2006/relationships" name="Балки" sheetId="8" r:id="R3e46fe288c754b17"/>
    <x:sheet xmlns:r="http://schemas.openxmlformats.org/officeDocument/2006/relationships" name="Сечения" sheetId="9" r:id="Rd1f3f709b4804250"/>
    <x:sheet xmlns:r="http://schemas.openxmlformats.org/officeDocument/2006/relationships" name="Изгиб корпуса" sheetId="10" r:id="R44ac7f2ab5564a38"/>
    <x:sheet xmlns:r="http://schemas.openxmlformats.org/officeDocument/2006/relationships" name="Эквивалентный брус" sheetId="12" r:id="R3d85bdeb80764705"/>
    <x:sheet xmlns:r="http://schemas.openxmlformats.org/officeDocument/2006/relationships" name="Балластные случаи" sheetId="13" r:id="R9e6285ef423a48b8"/>
    <x:sheet xmlns:r="http://schemas.openxmlformats.org/officeDocument/2006/relationships" name="Дополнительные связи" sheetId="14" r:id="Rcd6424cfdab6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  <x:numFmt numFmtId="207" formatCode="0.00"/>
    <x:numFmt numFmtId="208" formatCode="0.0"/>
  </x:numFmts>
  <x:fonts count="7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  <x:font>
      <x:sz val="14"/>
      <x:name val="Carlito"/>
    </x:font>
    <x:font>
      <x:b/>
      <x:sz val="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  <x:fill>
      <x:patternFill patternType="solid">
        <x:fgColor rgb="FFE7EDF3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202" fontId="5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 wrapText="1"/>
    </x:xf>
    <x:xf numFmtId="208" fontId="4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05bf88f7d433c" /><Relationship Type="http://schemas.openxmlformats.org/officeDocument/2006/relationships/theme" Target="/xl/theme/theme1.xml" Id="Re469afcd370d4714" /><Relationship Type="http://schemas.openxmlformats.org/officeDocument/2006/relationships/sharedStrings" Target="/xl/sharedStrings.xml" Id="R785a5daf77e04db7" /><Relationship Type="http://schemas.openxmlformats.org/officeDocument/2006/relationships/worksheet" Target="/xl/worksheets/sheet1.xml" Id="R03fa6fc5dfb54361" /><Relationship Type="http://schemas.openxmlformats.org/officeDocument/2006/relationships/worksheet" Target="/xl/worksheets/sheet2.xml" Id="R9b71e3e510644b86" /><Relationship Type="http://schemas.openxmlformats.org/officeDocument/2006/relationships/worksheet" Target="/xl/worksheets/sheet3.xml" Id="Rc7e904390e604d9f" /><Relationship Type="http://schemas.openxmlformats.org/officeDocument/2006/relationships/worksheet" Target="/xl/worksheets/sheet4.xml" Id="R302a4dbf20344f61" /><Relationship Type="http://schemas.openxmlformats.org/officeDocument/2006/relationships/worksheet" Target="/xl/worksheets/sheet5.xml" Id="R048b09b33a0146f6" /><Relationship Type="http://schemas.openxmlformats.org/officeDocument/2006/relationships/worksheet" Target="/xl/worksheets/sheet6.xml" Id="Rd55f452bac2749b8" /><Relationship Type="http://schemas.openxmlformats.org/officeDocument/2006/relationships/worksheet" Target="/xl/worksheets/sheet7.xml" Id="R2e0c91c10c43487f" /><Relationship Type="http://schemas.openxmlformats.org/officeDocument/2006/relationships/worksheet" Target="/xl/worksheets/sheet8.xml" Id="R3e46fe288c754b17" /><Relationship Type="http://schemas.openxmlformats.org/officeDocument/2006/relationships/worksheet" Target="/xl/worksheets/sheet9.xml" Id="Rd1f3f709b4804250" /><Relationship Type="http://schemas.openxmlformats.org/officeDocument/2006/relationships/worksheet" Target="/xl/worksheets/sheet10.xml" Id="R44ac7f2ab5564a38" /><Relationship Type="http://schemas.openxmlformats.org/officeDocument/2006/relationships/worksheet" Target="/xl/worksheets/sheet11.xml" Id="R3d85bdeb80764705" /><Relationship Type="http://schemas.openxmlformats.org/officeDocument/2006/relationships/worksheet" Target="/xl/worksheets/sheet12.xml" Id="R9e6285ef423a48b8" /><Relationship Type="http://schemas.openxmlformats.org/officeDocument/2006/relationships/worksheet" Target="/xl/worksheets/sheet13.xml" Id="Rcd6424cfdab6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Леонид: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139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25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14.6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8.8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0.81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15.5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5.28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1.7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1.5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15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1.998083501612872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1.242330906252171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0.75</x:v>
      </x:c>
      <x:c r="C5" s="3" t="str">
        <x:v>m</x:v>
      </x:c>
      <x:c r="D5" s="3" t="str">
        <x:v>MAX(700;750)/1000</x:v>
      </x:c>
    </x:row>
    <x:row r="6" ht="50" customHeight="1">
      <x:c r="A6" s="3" t="str">
        <x:v>Пролёт b</x:v>
      </x:c>
      <x:c r="B6" s="10" t="n">
        <x:f>'Листы'!D13</x:f>
        <x:v>2.0999999999999996</x:v>
      </x:c>
      <x:c r="C6" s="3" t="str">
        <x:v>m</x:v>
      </x:c>
      <x:c r="D6" s="3" t="str">
        <x:v>3 × 0.70</x:v>
      </x:c>
    </x:row>
    <x:row r="7" ht="50" customHeight="1">
      <x:c r="A7" s="7" t="str">
        <x:v>Расчётное давление p</x:v>
      </x:c>
      <x:c r="B7" s="14" t="n">
        <x:f>'Листы'!E13</x:f>
        <x:v>152.16293016114957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12.310146613640283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14.910146613640283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11.06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15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139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25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14.6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8.8</x:v>
      </x:c>
      <x:c r="C11" s="3" t="str">
        <x:v>м</x:v>
      </x:c>
      <x:c r="D11" s="29"/>
    </x:row>
    <x:row r="12" ht="32" customHeight="1">
      <x:c r="A12" s="3" t="str">
        <x:v>Cb</x:v>
      </x:c>
      <x:c r="B12" s="38" t="n">
        <x:v>0.81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15.5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1.7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1.5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1.45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0.5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2.0999999999999996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Максимальный шаг a</x:v>
      </x:c>
      <x:c r="B22" s="10" t="n">
        <x:v>0.75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5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8.25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11.5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9.1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12.5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1.4324529730500761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1.3952669443392656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1.6666666666666667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25389.045000000006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0.23300519632909567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19473.26558516676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1.473663279258338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1.495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15.1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  <x:row r="54" ht="28" customHeight="1">
      <x:c r="A54" s="34" t="str">
        <x:v>Расстановка продольных балок</x:v>
      </x:c>
      <x:c r="B54" s="34"/>
      <x:c r="C54" s="34"/>
      <x:c r="D54" s="34"/>
    </x:row>
    <x:row r="55" ht="28" customHeight="1">
      <x:c r="A55" s="34"/>
      <x:c r="B55" s="34"/>
      <x:c r="C55" s="34"/>
      <x:c r="D55" s="34"/>
    </x:row>
    <x:row r="56" ht="28" customHeight="1">
      <x:c r="A56" s="36" t="str">
        <x:v>Пролёт</x:v>
      </x:c>
      <x:c r="B56" s="36" t="str">
        <x:v>a, мм</x:v>
      </x:c>
      <x:c r="C56" s="36" t="str">
        <x:v>Начало, мм</x:v>
      </x:c>
      <x:c r="D56" s="36" t="str">
        <x:v>Конец, мм</x:v>
      </x:c>
    </x:row>
    <x:row r="57" ht="28" customHeight="1">
      <x:c r="A57" s="37" t="n">
        <x:v>1</x:v>
      </x:c>
      <x:c r="B57" s="37" t="n">
        <x:v>700</x:v>
      </x:c>
      <x:c r="C57" s="37" t="n">
        <x:v>0</x:v>
      </x:c>
      <x:c r="D57" s="37" t="n">
        <x:f>C57+B57</x:f>
        <x:v>700</x:v>
      </x:c>
    </x:row>
    <x:row r="58" ht="28" customHeight="1">
      <x:c r="A58" s="37" t="n">
        <x:v>2</x:v>
      </x:c>
      <x:c r="B58" s="37" t="n">
        <x:v>700</x:v>
      </x:c>
      <x:c r="C58" s="37" t="n">
        <x:f>D57</x:f>
        <x:v>700</x:v>
      </x:c>
      <x:c r="D58" s="37" t="n">
        <x:f>C58+B58</x:f>
        <x:v>1400</x:v>
      </x:c>
    </x:row>
    <x:row r="59" ht="28" customHeight="1">
      <x:c r="A59" s="37" t="n">
        <x:v>3</x:v>
      </x:c>
      <x:c r="B59" s="37" t="n">
        <x:v>750</x:v>
      </x:c>
      <x:c r="C59" s="37" t="n">
        <x:f>D58</x:f>
        <x:v>1400</x:v>
      </x:c>
      <x:c r="D59" s="37" t="n">
        <x:f>C59+B59</x:f>
        <x:v>2150</x:v>
      </x:c>
    </x:row>
    <x:row r="60" ht="28" customHeight="1">
      <x:c r="A60" s="37" t="n">
        <x:v>4</x:v>
      </x:c>
      <x:c r="B60" s="37" t="n">
        <x:v>750</x:v>
      </x:c>
      <x:c r="C60" s="37" t="n">
        <x:f>D59</x:f>
        <x:v>2150</x:v>
      </x:c>
      <x:c r="D60" s="37" t="n">
        <x:f>C60+B60</x:f>
        <x:v>2900</x:v>
      </x:c>
    </x:row>
    <x:row r="61" ht="28" customHeight="1">
      <x:c r="A61" s="37" t="n">
        <x:v>5</x:v>
      </x:c>
      <x:c r="B61" s="37" t="n">
        <x:v>750</x:v>
      </x:c>
      <x:c r="C61" s="37" t="n">
        <x:f>D60</x:f>
        <x:v>2900</x:v>
      </x:c>
      <x:c r="D61" s="37" t="n">
        <x:f>C61+B61</x:f>
        <x:v>3650</x:v>
      </x:c>
    </x:row>
    <x:row r="62" ht="28" customHeight="1">
      <x:c r="A62" s="37" t="n">
        <x:v>6</x:v>
      </x:c>
      <x:c r="B62" s="37" t="n">
        <x:v>750</x:v>
      </x:c>
      <x:c r="C62" s="37" t="n">
        <x:f>D61</x:f>
        <x:v>3650</x:v>
      </x:c>
      <x:c r="D62" s="37" t="n">
        <x:f>C62+B62</x:f>
        <x:v>4400</x:v>
      </x:c>
    </x:row>
    <x:row r="63" ht="28" customHeight="1">
      <x:c r="A63" s="37" t="n">
        <x:v>7</x:v>
      </x:c>
      <x:c r="B63" s="37" t="n">
        <x:v>750</x:v>
      </x:c>
      <x:c r="C63" s="37" t="n">
        <x:f>D62</x:f>
        <x:v>4400</x:v>
      </x:c>
      <x:c r="D63" s="37" t="n">
        <x:f>C63+B63</x:f>
        <x:v>5150</x:v>
      </x:c>
    </x:row>
    <x:row r="64" ht="28" customHeight="1">
      <x:c r="A64" s="37" t="n">
        <x:v>8</x:v>
      </x:c>
      <x:c r="B64" s="37" t="n">
        <x:v>700</x:v>
      </x:c>
      <x:c r="C64" s="37" t="n">
        <x:f>D63</x:f>
        <x:v>5150</x:v>
      </x:c>
      <x:c r="D64" s="37" t="n">
        <x:f>C64+B64</x:f>
        <x:v>5850</x:v>
      </x:c>
    </x:row>
    <x:row r="65" ht="28" customHeight="1">
      <x:c r="A65" s="37" t="n">
        <x:v>9</x:v>
      </x:c>
      <x:c r="B65" s="37" t="n">
        <x:v>750</x:v>
      </x:c>
      <x:c r="C65" s="37" t="n">
        <x:f>D64</x:f>
        <x:v>5850</x:v>
      </x:c>
      <x:c r="D65" s="37" t="n">
        <x:f>C65+B65</x:f>
        <x:v>6600</x:v>
      </x:c>
    </x:row>
    <x:row r="66" ht="28" customHeight="1">
      <x:c r="A66" s="37" t="n">
        <x:v>10</x:v>
      </x:c>
      <x:c r="B66" s="37" t="n">
        <x:v>750</x:v>
      </x:c>
      <x:c r="C66" s="37" t="n">
        <x:f>D65</x:f>
        <x:v>6600</x:v>
      </x:c>
      <x:c r="D66" s="37" t="n">
        <x:f>C66+B66</x:f>
        <x:v>7350</x:v>
      </x:c>
    </x:row>
    <x:row r="67" ht="28" customHeight="1">
      <x:c r="A67" s="37" t="n">
        <x:v>11</x:v>
      </x:c>
      <x:c r="B67" s="37" t="n">
        <x:v>750</x:v>
      </x:c>
      <x:c r="C67" s="37" t="n">
        <x:f>D66</x:f>
        <x:v>7350</x:v>
      </x:c>
      <x:c r="D67" s="37" t="n">
        <x:f>C67+B67</x:f>
        <x:v>8100</x:v>
      </x:c>
    </x:row>
    <x:row r="68" ht="28" customHeight="1">
      <x:c r="A68" s="37" t="n">
        <x:v>12</x:v>
      </x:c>
      <x:c r="B68" s="37" t="n">
        <x:v>750</x:v>
      </x:c>
      <x:c r="C68" s="37" t="n">
        <x:f>D67</x:f>
        <x:v>8100</x:v>
      </x:c>
      <x:c r="D68" s="37" t="n">
        <x:f>C68+B68</x:f>
        <x:v>8850</x:v>
      </x:c>
    </x:row>
    <x:row r="69" ht="28" customHeight="1">
      <x:c r="A69" s="37" t="n">
        <x:v>13</x:v>
      </x:c>
      <x:c r="B69" s="37" t="n">
        <x:v>750</x:v>
      </x:c>
      <x:c r="C69" s="37" t="n">
        <x:f>D68</x:f>
        <x:v>8850</x:v>
      </x:c>
      <x:c r="D69" s="37" t="n">
        <x:f>C69+B69</x:f>
        <x:v>9600</x:v>
      </x:c>
    </x:row>
    <x:row r="70" ht="28" customHeight="1">
      <x:c r="A70" s="37" t="n">
        <x:v>14</x:v>
      </x:c>
      <x:c r="B70" s="37" t="n">
        <x:v>700</x:v>
      </x:c>
      <x:c r="C70" s="37" t="n">
        <x:f>D69</x:f>
        <x:v>9600</x:v>
      </x:c>
      <x:c r="D70" s="37" t="n">
        <x:f>C70+B70</x:f>
        <x:v>10300</x:v>
      </x:c>
    </x:row>
    <x:row r="71" ht="28" customHeight="1">
      <x:c r="A71" s="37" t="n">
        <x:v>15</x:v>
      </x:c>
      <x:c r="B71" s="37" t="n">
        <x:v>700</x:v>
      </x:c>
      <x:c r="C71" s="37" t="n">
        <x:f>D70</x:f>
        <x:v>10300</x:v>
      </x:c>
      <x:c r="D71" s="37" t="n">
        <x:f>C71+B71</x:f>
        <x:v>11000</x:v>
      </x:c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8.707139015987627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26.121417047962883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1.7072125251262957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0.35398230088495575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0.09623430962343096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88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13.060708523981443</x:v>
      </x:c>
      <x:c r="E17" s="10" t="n">
        <x:f>'Нагрузки'!$C$17+'Нагрузки'!$D$17</x:f>
        <x:v>101.06070852398145</x:v>
      </x:c>
      <x:c r="F17" s="10" t="n">
        <x:f>MAX('Балластные случаи'!B9-'Нагрузки'!B17,0)</x:f>
        <x:v>14.66</x:v>
      </x:c>
    </x:row>
    <x:row r="18" ht="32" customHeight="1">
      <x:c r="A18" s="3" t="str">
        <x:v>Второе дно</x:v>
      </x:c>
      <x:c r="B18" s="10" t="n">
        <x:f>'Исходные данные'!B14</x:f>
        <x:v>1.7</x:v>
      </x:c>
      <x:c r="C18" s="10" t="n">
        <x:f>10*MAX('Исходные данные'!$B$11-'Нагрузки'!$B$18,0)</x:f>
        <x:v>71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15.583799943386948</x:v>
      </x:c>
      <x:c r="E18" s="10" t="n">
        <x:f>'Нагрузки'!$C$18+'Нагрузки'!$D$18</x:f>
        <x:v>86.58379994338695</x:v>
      </x:c>
      <x:c r="F18" s="10" t="n">
        <x:f>MAX('Балластные случаи'!B9-'Нагрузки'!B18,0)</x:f>
        <x:v>12.96</x:v>
      </x:c>
    </x:row>
    <x:row r="19" ht="32" customHeight="1">
      <x:c r="A19" s="3" t="str">
        <x:v>Верхняя палуба</x:v>
      </x:c>
      <x:c r="B19" s="10" t="n">
        <x:f>'Исходные данные'!B10</x:f>
        <x:v>14.6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14.506917047962885</x:v>
      </x:c>
      <x:c r="E19" s="10" t="n">
        <x:f>'Нагрузки'!$C$19+'Нагрузки'!$D$19</x:f>
        <x:v>14.506917047962885</x:v>
      </x:c>
      <x:c r="F19" s="10" t="n">
        <x:f>MAX('Балластные случаи'!B9-'Нагрузки'!B19,0)</x:f>
        <x:v>0.0600000000000005</x:v>
      </x:c>
    </x:row>
    <x:row r="20" ht="32" customHeight="1">
      <x:c r="A20" s="3" t="str">
        <x:v>Обшивка F</x:v>
      </x:c>
      <x:c r="B20" s="9" t="n">
        <x:f>'Эквивалентный брус'!F19/100</x:f>
        <x:v>0.05527683055570794</x:v>
      </x:c>
      <x:c r="C20" s="10" t="n">
        <x:f>10*MAX('Исходные данные'!$B$11-'Нагрузки'!$B$20,0)</x:f>
        <x:v>87.44723169444292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13.142748816256173</x:v>
      </x:c>
      <x:c r="E20" s="10" t="n">
        <x:f>'Нагрузки'!$C$20+'Нагрузки'!$D$20</x:f>
        <x:v>100.58998051069909</x:v>
      </x:c>
      <x:c r="F20" s="10" t="n">
        <x:f>MAX('Балластные случаи'!B9-'Нагрузки'!B20,0)</x:f>
        <x:v>14.604723169444291</x:v>
      </x:c>
    </x:row>
    <x:row r="21" ht="32" customHeight="1">
      <x:c r="A21" s="3" t="str">
        <x:v>Обшивка G</x:v>
      </x:c>
      <x:c r="B21" s="9" t="n">
        <x:f>'Эквивалентный брус'!F20/100</x:f>
        <x:v>0.7350822720042247</x:v>
      </x:c>
      <x:c r="C21" s="10" t="n">
        <x:f>10*MAX('Исходные данные'!$B$11-'Нагрузки'!$B$21,0)</x:f>
        <x:v>80.64917727995777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14.151696625776125</x:v>
      </x:c>
      <x:c r="E21" s="10" t="n">
        <x:f>'Нагрузки'!$C$21+'Нагрузки'!$D$21</x:f>
        <x:v>94.8008739057339</x:v>
      </x:c>
      <x:c r="F21" s="10" t="n">
        <x:f>MAX('Балластные случаи'!B9-'Нагрузки'!B21,0)</x:f>
        <x:v>13.924917727995776</x:v>
      </x:c>
    </x:row>
    <x:row r="22" ht="32" customHeight="1">
      <x:c r="A22" s="3" t="str">
        <x:v>Обшивка H</x:v>
      </x:c>
      <x:c r="B22" s="9" t="n">
        <x:f>'Эквивалентный брус'!F22/100</x:f>
        <x:v>2.6698453261474</x:v>
      </x:c>
      <x:c r="C22" s="10" t="n">
        <x:f>10*MAX('Исходные данные'!$B$11-'Нагрузки'!$B$22,0)</x:f>
        <x:v>61.30154673852601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17.023216661359324</x:v>
      </x:c>
      <x:c r="E22" s="10" t="n">
        <x:f>'Нагрузки'!$C$22+'Нагрузки'!$D$22</x:f>
        <x:v>78.32476339988533</x:v>
      </x:c>
      <x:c r="F22" s="10" t="n">
        <x:f>MAX('Балластные случаи'!B9-'Нагрузки'!B22,0)</x:f>
        <x:v>11.9901546738526</x:v>
      </x:c>
    </x:row>
    <x:row r="23" ht="32" customHeight="1">
      <x:c r="A23" s="3" t="str">
        <x:v>Обшивка I</x:v>
      </x:c>
      <x:c r="B23" s="9" t="n">
        <x:f>'Эквивалентный брус'!F23/100</x:f>
        <x:v>4.269845326147401</x:v>
      </x:c>
      <x:c r="C23" s="10" t="n">
        <x:f>10*MAX('Исходные данные'!$B$11-'Нагрузки'!$B$23,0)</x:f>
        <x:v>45.301546738526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19.39789093844686</x:v>
      </x:c>
      <x:c r="E23" s="10" t="n">
        <x:f>'Нагрузки'!$C$23+'Нагрузки'!$D$23</x:f>
        <x:v>64.69943767697286</x:v>
      </x:c>
      <x:c r="F23" s="10" t="n">
        <x:f>MAX('Балластные случаи'!B9-'Нагрузки'!B23,0)</x:f>
        <x:v>10.3901546738526</x:v>
      </x:c>
    </x:row>
    <x:row r="24" ht="32" customHeight="1">
      <x:c r="A24" s="3" t="str">
        <x:v>Обшивка J</x:v>
      </x:c>
      <x:c r="B24" s="9" t="n">
        <x:f>'Эквивалентный брус'!F24/100</x:f>
        <x:v>5.8698453261474</x:v>
      </x:c>
      <x:c r="C24" s="10" t="n">
        <x:f>10*MAX('Исходные данные'!$B$11-'Нагрузки'!$B$24,0)</x:f>
        <x:v>29.301546738526003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21.772565215534392</x:v>
      </x:c>
      <x:c r="E24" s="10" t="n">
        <x:f>'Нагрузки'!$C$24+'Нагрузки'!$D$24</x:f>
        <x:v>51.0741119540604</x:v>
      </x:c>
      <x:c r="F24" s="10" t="n">
        <x:f>MAX('Балластные случаи'!B9-'Нагрузки'!B24,0)</x:f>
        <x:v>8.7901546738526</x:v>
      </x:c>
    </x:row>
    <x:row r="25" ht="32" customHeight="1">
      <x:c r="A25" s="3" t="str">
        <x:v>Обшивка K</x:v>
      </x:c>
      <x:c r="B25" s="9" t="n">
        <x:f>'Эквивалентный брус'!F25/100</x:f>
        <x:v>7.4698453261474</x:v>
      </x:c>
      <x:c r="C25" s="10" t="n">
        <x:f>10*MAX('Исходные данные'!$B$11-'Нагрузки'!$B$25,0)</x:f>
        <x:v>13.301546738526007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24.147239492621928</x:v>
      </x:c>
      <x:c r="E25" s="10" t="n">
        <x:f>'Нагрузки'!$C$25+'Нагрузки'!$D$25</x:f>
        <x:v>37.448786231147935</x:v>
      </x:c>
      <x:c r="F25" s="10" t="n">
        <x:f>MAX('Балластные случаи'!B9-'Нагрузки'!B25,0)</x:f>
        <x:v>7.1901546738526</x:v>
      </x:c>
    </x:row>
    <x:row r="26" ht="32" customHeight="1">
      <x:c r="A26" s="3" t="str">
        <x:v>Обшивка L</x:v>
      </x:c>
      <x:c r="B26" s="9" t="n">
        <x:f>'Эквивалентный брус'!F26/100</x:f>
        <x:v>9.0698453261474</x:v>
      </x:c>
      <x:c r="C26" s="10" t="n">
        <x:f>10*MAX('Исходные данные'!$B$11-'Нагрузки'!$B$26,0)</x:f>
        <x:v>0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25.581051782352716</x:v>
      </x:c>
      <x:c r="E26" s="10" t="n">
        <x:f>'Нагрузки'!$C$26+'Нагрузки'!$D$26</x:f>
        <x:v>25.581051782352716</x:v>
      </x:c>
      <x:c r="F26" s="10" t="n">
        <x:f>MAX('Балластные случаи'!B9-'Нагрузки'!B26,0)</x:f>
        <x:v>5.5901546738526005</x:v>
      </x:c>
    </x:row>
    <x:row r="27" ht="32" customHeight="1">
      <x:c r="A27" s="3" t="str">
        <x:v>Обшивка M</x:v>
      </x:c>
      <x:c r="B27" s="9" t="n">
        <x:f>'Эквивалентный брус'!F27/100</x:f>
        <x:v>10.67863399461055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22.35945247375526</x:v>
      </x:c>
      <x:c r="E27" s="10" t="n">
        <x:f>'Нагрузки'!$C$27+'Нагрузки'!$D$27</x:f>
        <x:v>22.35945247375526</x:v>
      </x:c>
      <x:c r="F27" s="10" t="n">
        <x:f>MAX('Балластные случаи'!B9-'Нагрузки'!B27,0)</x:f>
        <x:v>3.98136600538945</x:v>
      </x:c>
    </x:row>
    <x:row r="28" ht="32" customHeight="1">
      <x:c r="A28" s="3" t="str">
        <x:v>Обшивка N</x:v>
      </x:c>
      <x:c r="B28" s="9" t="n">
        <x:f>'Эквивалентный брус'!F28/100</x:f>
        <x:v>12.296211331536849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19.120253856560346</x:v>
      </x:c>
      <x:c r="E28" s="10" t="n">
        <x:f>'Нагрузки'!$C$28+'Нагрузки'!$D$28</x:f>
        <x:v>19.120253856560346</x:v>
      </x:c>
      <x:c r="F28" s="10" t="n">
        <x:f>MAX('Балластные случаи'!B9-'Нагрузки'!B28,0)</x:f>
        <x:v>2.363788668463151</x:v>
      </x:c>
    </x:row>
    <x:row r="29" ht="32" customHeight="1">
      <x:c r="A29" s="3" t="str">
        <x:v>Обшивка SH</x:v>
      </x:c>
      <x:c r="B29" s="9" t="n">
        <x:f>'Эквивалентный брус'!F29/100</x:f>
        <x:v>13.8525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16.003785797962884</x:v>
      </x:c>
      <x:c r="E29" s="10" t="n">
        <x:f>'Нагрузки'!$C$29+'Нагрузки'!$D$29</x:f>
        <x:v>16.003785797962884</x:v>
      </x:c>
      <x:c r="F29" s="10" t="n">
        <x:f>MAX('Балластные случаи'!B9-'Нагрузки'!B29,0)</x:f>
        <x:v>0.807500000000001</x:v>
      </x:c>
    </x:row>
    <x:row r="30" ht="32" customHeight="1">
      <x:c r="A30" s="3" t="str">
        <x:v>ISG</x:v>
      </x:c>
      <x:c r="B30" s="9" t="n">
        <x:f>'Эквивалентный брус'!F33/100</x:f>
        <x:v>2.55</x:v>
      </x:c>
      <x:c r="C30" s="10" t="n">
        <x:f>10*MAX('Исходные данные'!$B$11-'Нагрузки'!$B$30,0)</x:f>
        <x:v>62.50000000000001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16.8453456530897</x:v>
      </x:c>
      <x:c r="E30" s="10" t="n">
        <x:f>'Нагрузки'!$C$30+'Нагрузки'!$D$30</x:f>
        <x:v>79.34534565308971</x:v>
      </x:c>
      <x:c r="F30" s="10" t="n">
        <x:f>MAX('Балластные случаи'!B9-'Нагрузки'!B30,0)</x:f>
        <x:v>12.11</x:v>
      </x:c>
    </x:row>
    <x:row r="31" ht="32" customHeight="1">
      <x:c r="A31" s="3" t="str">
        <x:v>ISF</x:v>
      </x:c>
      <x:c r="B31" s="9" t="n">
        <x:f>'Эквивалентный брус'!F34/100</x:f>
        <x:v>4.25</x:v>
      </x:c>
      <x:c r="C31" s="10" t="n">
        <x:f>10*MAX('Исходные данные'!$B$11-'Нагрузки'!$B$31,0)</x:f>
        <x:v>45.50000000000001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19.368437072495205</x:v>
      </x:c>
      <x:c r="E31" s="10" t="n">
        <x:f>'Нагрузки'!$C$31+'Нагрузки'!$D$31</x:f>
        <x:v>64.86843707249521</x:v>
      </x:c>
      <x:c r="F31" s="10" t="n">
        <x:f>MAX('Балластные случаи'!B9-'Нагрузки'!B31,0)</x:f>
        <x:v>10.41</x:v>
      </x:c>
    </x:row>
    <x:row r="32" ht="32" customHeight="1">
      <x:c r="A32" s="3" t="str">
        <x:v>ISE</x:v>
      </x:c>
      <x:c r="B32" s="9" t="n">
        <x:f>'Эквивалентный брус'!F35/100</x:f>
        <x:v>5.95</x:v>
      </x:c>
      <x:c r="C32" s="10" t="n">
        <x:f>10*MAX('Исходные данные'!$B$11-'Нагрузки'!$B$32,0)</x:f>
        <x:v>28.500000000000007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21.89152849190071</x:v>
      </x:c>
      <x:c r="E32" s="10" t="n">
        <x:f>'Нагрузки'!$C$32+'Нагрузки'!$D$32</x:f>
        <x:v>50.391528491900715</x:v>
      </x:c>
      <x:c r="F32" s="10" t="n">
        <x:f>MAX('Балластные случаи'!B9-'Нагрузки'!B32,0)</x:f>
        <x:v>8.71</x:v>
      </x:c>
    </x:row>
    <x:row r="33" ht="32" customHeight="1">
      <x:c r="A33" s="3" t="str">
        <x:v>ISD</x:v>
      </x:c>
      <x:c r="B33" s="9" t="n">
        <x:f>'Эквивалентный брус'!F36/100</x:f>
        <x:v>7.65</x:v>
      </x:c>
      <x:c r="C33" s="10" t="n">
        <x:f>10*MAX('Исходные данные'!$B$11-'Нагрузки'!$B$33,0)</x:f>
        <x:v>11.500000000000004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24.414619911306218</x:v>
      </x:c>
      <x:c r="E33" s="10" t="n">
        <x:f>'Нагрузки'!$C$33+'Нагрузки'!$D$33</x:f>
        <x:v>35.91461991130622</x:v>
      </x:c>
      <x:c r="F33" s="10" t="n">
        <x:f>MAX('Балластные случаи'!B9-'Нагрузки'!B33,0)</x:f>
        <x:v>7.01</x:v>
      </x:c>
    </x:row>
    <x:row r="34" ht="32" customHeight="1">
      <x:c r="A34" s="3" t="str">
        <x:v>ISC</x:v>
      </x:c>
      <x:c r="B34" s="9" t="n">
        <x:f>'Эквивалентный брус'!F37/100</x:f>
        <x:v>9.35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25.020042047962885</x:v>
      </x:c>
      <x:c r="E34" s="10" t="n">
        <x:f>'Нагрузки'!$C$34+'Нагрузки'!$D$34</x:f>
        <x:v>25.020042047962885</x:v>
      </x:c>
      <x:c r="F34" s="10" t="n">
        <x:f>MAX('Балластные случаи'!B9-'Нагрузки'!B34,0)</x:f>
        <x:v>5.3100000000000005</x:v>
      </x:c>
    </x:row>
    <x:row r="35" ht="32" customHeight="1">
      <x:c r="A35" s="3" t="str">
        <x:v>ISB</x:v>
      </x:c>
      <x:c r="B35" s="9" t="n">
        <x:f>'Эквивалентный брус'!F38/100</x:f>
        <x:v>11.05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21.615792047962884</x:v>
      </x:c>
      <x:c r="E35" s="10" t="n">
        <x:f>'Нагрузки'!$C$35+'Нагрузки'!$D$35</x:f>
        <x:v>21.615792047962884</x:v>
      </x:c>
      <x:c r="F35" s="10" t="n">
        <x:f>MAX('Балластные случаи'!B9-'Нагрузки'!B35,0)</x:f>
        <x:v>3.6099999999999994</x:v>
      </x:c>
    </x:row>
    <x:row r="36" ht="32" customHeight="1">
      <x:c r="A36" s="3" t="str">
        <x:v>ISA</x:v>
      </x:c>
      <x:c r="B36" s="9" t="n">
        <x:f>'Эквивалентный брус'!F39/100</x:f>
        <x:v>13.28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17.150217047962883</x:v>
      </x:c>
      <x:c r="E36" s="10" t="n">
        <x:f>'Нагрузки'!$C$36+'Нагрузки'!$D$36</x:f>
        <x:v>17.150217047962883</x:v>
      </x:c>
      <x:c r="F36" s="10" t="n">
        <x:f>MAX('Балластные случаи'!B9-'Нагрузки'!B36,0)</x:f>
        <x:v>1.3800000000000008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3.35</x:v>
      </x:c>
      <x:c r="C37" s="10" t="n">
        <x:f>10*MAX('Исходные данные'!$B$11-'Нагрузки'!$B$37,0)</x:f>
        <x:v>54.500000000000014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18.03268279163347</x:v>
      </x:c>
      <x:c r="E37" s="10" t="n">
        <x:f>'Нагрузки'!$C$37+'Нагрузки'!$D$37</x:f>
        <x:v>72.53268279163348</x:v>
      </x:c>
      <x:c r="F37" s="10" t="n">
        <x:f>MAX('Балластные случаи'!B9-'Нагрузки'!B37,0)</x:f>
        <x:v>11.31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6.625</x:v>
      </x:c>
      <x:c r="C38" s="10" t="n">
        <x:f>10*MAX('Исходные данные'!$B$11-'Нагрузки'!$B$38,0)</x:f>
        <x:v>21.750000000000007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22.893344202547016</x:v>
      </x:c>
      <x:c r="E38" s="10" t="n">
        <x:f>'Нагрузки'!$C$38+'Нагрузки'!$D$38</x:f>
        <x:v>44.64334420254703</x:v>
      </x:c>
      <x:c r="F38" s="10" t="n">
        <x:f>MAX('Балластные случаи'!B9-'Нагрузки'!B38,0)</x:f>
        <x:v>8.035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9.875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23.968729547962884</x:v>
      </x:c>
      <x:c r="E39" s="10" t="n">
        <x:f>'Нагрузки'!$C$39+'Нагрузки'!$D$39</x:f>
        <x:v>23.968729547962884</x:v>
      </x:c>
      <x:c r="F39" s="10" t="n">
        <x:f>MAX('Балластные случаи'!B9-'Нагрузки'!B39,0)</x:f>
        <x:v>4.785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13.05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17.61079204796288</x:v>
      </x:c>
      <x:c r="E40" s="10" t="n">
        <x:f>'Нагрузки'!$C$40+'Нагрузки'!$D$40</x:f>
        <x:v>17.61079204796288</x:v>
      </x:c>
      <x:c r="F40" s="10" t="n">
        <x:f>MAX('Балластные случаи'!B9-'Нагрузки'!B40,0)</x:f>
        <x:v>1.6099999999999994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3.35</x:v>
      </x:c>
      <x:c r="C41" s="10" t="n">
        <x:f>10*MAX('Исходные данные'!$B$11-'Нагрузки'!$B$41,0)</x:f>
        <x:v>54.500000000000014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18.03268279163347</x:v>
      </x:c>
      <x:c r="E41" s="10" t="n">
        <x:f>'Нагрузки'!$C$41+'Нагрузки'!$D$41</x:f>
        <x:v>72.53268279163348</x:v>
      </x:c>
      <x:c r="F41" s="10" t="n">
        <x:f>MAX('Балластные случаи'!B9-'Нагрузки'!B41,0)</x:f>
        <x:v>11.31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6.625</x:v>
      </x:c>
      <x:c r="C42" s="10" t="n">
        <x:f>10*MAX('Исходные данные'!$B$11-'Нагрузки'!$B$42,0)</x:f>
        <x:v>21.750000000000007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22.893344202547016</x:v>
      </x:c>
      <x:c r="E42" s="10" t="n">
        <x:f>'Нагрузки'!$C$42+'Нагрузки'!$D$42</x:f>
        <x:v>44.64334420254703</x:v>
      </x:c>
      <x:c r="F42" s="10" t="n">
        <x:f>MAX('Балластные случаи'!B9-'Нагрузки'!B42,0)</x:f>
        <x:v>8.035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9.875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23.968729547962884</x:v>
      </x:c>
      <x:c r="E43" s="10" t="n">
        <x:f>'Нагрузки'!$C$43+'Нагрузки'!$D$43</x:f>
        <x:v>23.968729547962884</x:v>
      </x:c>
      <x:c r="F43" s="10" t="n">
        <x:f>MAX('Балластные случаи'!B9-'Нагрузки'!B43,0)</x:f>
        <x:v>4.785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13.08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17.550717047962884</x:v>
      </x:c>
      <x:c r="E44" s="10" t="n">
        <x:f>'Нагрузки'!$C$44+'Нагрузки'!$D$44</x:f>
        <x:v>17.550717047962884</x:v>
      </x:c>
      <x:c r="F44" s="10" t="n">
        <x:f>MAX('Балластные случаи'!B9-'Нагрузки'!B44,0)</x:f>
        <x:v>1.58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173.06339400881026</x:v>
      </x:c>
      <x:c r="C50" s="10" t="n">
        <x:f>'Исходные данные'!$B$28*'Исходные данные'!$B$38*('Нагрузки'!$F$17+'Исходные данные'!$B$27*'Нагрузки'!$B$9)</x:f>
        <x:v>191.90222163716814</x:v>
      </x:c>
      <x:c r="D50" s="10" t="n">
        <x:f>'Исходные данные'!$B$28*'Исходные данные'!$B$38*('Нагрузки'!$F$17+'Исходные данные'!$B$26*'Нагрузки'!$B$10)</x:f>
        <x:v>156.21567138075312</x:v>
      </x:c>
      <x:c r="E50" s="10" t="n">
        <x:f>0.75*'Исходные данные'!$B$28*'Исходные данные'!$B$38*('Нагрузки'!$F$17+'Исходные данные'!$B$29)</x:f>
        <x:v>129.4110675</x:v>
      </x:c>
      <x:c r="F50" s="10" t="n">
        <x:f>'Исходные данные'!$B$28*'Исходные данные'!$B$38*'Нагрузки'!$F$17+'Исходные данные'!$B$30</x:f>
        <x:v>172.409965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152.9946511837777</x:v>
      </x:c>
      <x:c r="C51" s="10" t="n">
        <x:f>'Исходные данные'!$B$28*'Исходные данные'!$B$38*('Нагрузки'!$F$18+'Исходные данные'!$B$27*'Нагрузки'!$B$9)</x:f>
        <x:v>174.80829663716816</x:v>
      </x:c>
      <x:c r="D51" s="10" t="n">
        <x:f>'Исходные данные'!$B$28*'Исходные данные'!$B$38*('Нагрузки'!$F$18+'Исходные данные'!$B$26*'Нагрузки'!$B$10)</x:f>
        <x:v>139.12174638075314</x:v>
      </x:c>
      <x:c r="E51" s="10" t="n">
        <x:f>0.75*'Исходные данные'!$B$28*'Исходные данные'!$B$38*('Нагрузки'!$F$18+'Исходные данные'!$B$29)</x:f>
        <x:v>116.59062375</x:v>
      </x:c>
      <x:c r="F51" s="10" t="n">
        <x:f>'Исходные данные'!$B$28*'Исходные данные'!$B$38*'Нагрузки'!$F$18+'Исходные данные'!$B$30</x:f>
        <x:v>155.31604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0.708308570295273</x:v>
      </x:c>
      <x:c r="C52" s="10" t="n">
        <x:f>'Исходные данные'!$B$28*'Исходные данные'!$B$38*('Нагрузки'!$F$19+'Исходные данные'!$B$27*'Нагрузки'!$B$9)</x:f>
        <x:v>45.09557163716814</x:v>
      </x:c>
      <x:c r="D52" s="10" t="n">
        <x:f>'Исходные данные'!$B$28*'Исходные данные'!$B$38*('Нагрузки'!$F$19+'Исходные данные'!$B$26*'Нагрузки'!$B$10)</x:f>
        <x:v>9.409021380753142</x:v>
      </x:c>
      <x:c r="E52" s="10" t="n">
        <x:f>0.75*'Исходные данные'!$B$28*'Исходные данные'!$B$38*('Нагрузки'!$F$19+'Исходные данные'!$B$29)</x:f>
        <x:v>19.30608</x:v>
      </x:c>
      <x:c r="F52" s="10" t="n">
        <x:f>'Исходные данные'!$B$28*'Исходные данные'!$B$38*'Нагрузки'!$F$19+'Исходные данные'!$B$30</x:f>
        <x:v>25.603315000000006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172.41084312845413</x:v>
      </x:c>
      <x:c r="C53" s="10" t="n">
        <x:f>'Исходные данные'!$B$28*'Исходные данные'!$B$38*('Нагрузки'!$F$20+'Исходные данные'!$B$27*'Нагрузки'!$B$9)</x:f>
        <x:v>191.34639928672283</x:v>
      </x:c>
      <x:c r="D53" s="10" t="n">
        <x:f>'Исходные данные'!$B$28*'Исходные данные'!$B$38*('Нагрузки'!$F$20+'Исходные данные'!$B$26*'Нагрузки'!$B$10)</x:f>
        <x:v>155.65984903030784</x:v>
      </x:c>
      <x:c r="E53" s="10" t="n">
        <x:f>0.75*'Исходные данные'!$B$28*'Исходные данные'!$B$38*('Нагрузки'!$F$20+'Исходные данные'!$B$29)</x:f>
        <x:v>128.99420073716604</x:v>
      </x:c>
      <x:c r="F53" s="10" t="n">
        <x:f>'Исходные данные'!$B$28*'Исходные данные'!$B$38*'Нагрузки'!$F$20+'Исходные данные'!$B$30</x:f>
        <x:v>171.8541426495547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164.3856427899318</x:v>
      </x:c>
      <x:c r="C54" s="10" t="n">
        <x:f>'Исходные данные'!$B$28*'Исходные данные'!$B$38*('Нагрузки'!$F$21+'Исходные данные'!$B$27*'Нагрузки'!$B$9)</x:f>
        <x:v>184.51078562159765</x:v>
      </x:c>
      <x:c r="D54" s="10" t="n">
        <x:f>'Исходные данные'!$B$28*'Исходные данные'!$B$38*('Нагрузки'!$F$21+'Исходные данные'!$B$26*'Нагрузки'!$B$10)</x:f>
        <x:v>148.82423536518266</x:v>
      </x:c>
      <x:c r="E54" s="10" t="n">
        <x:f>0.75*'Исходные данные'!$B$28*'Исходные данные'!$B$38*('Нагрузки'!$F$21+'Исходные данные'!$B$29)</x:f>
        <x:v>123.86749048832215</x:v>
      </x:c>
      <x:c r="F54" s="10" t="n">
        <x:f>'Исходные данные'!$B$28*'Исходные данные'!$B$38*'Нагрузки'!$F$21+'Исходные данные'!$B$30</x:f>
        <x:v>165.0185289844295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141.54548857759417</x:v>
      </x:c>
      <x:c r="C55" s="10" t="n">
        <x:f>'Исходные данные'!$B$28*'Исходные данные'!$B$38*('Нагрузки'!$F$22+'Исходные данные'!$B$27*'Нагрузки'!$B$9)</x:f>
        <x:v>165.0562594214245</x:v>
      </x:c>
      <x:c r="D55" s="10" t="n">
        <x:f>'Исходные данные'!$B$28*'Исходные данные'!$B$38*('Нагрузки'!$F$22+'Исходные данные'!$B$26*'Нагрузки'!$B$10)</x:f>
        <x:v>129.36970916500948</x:v>
      </x:c>
      <x:c r="E55" s="10" t="n">
        <x:f>0.75*'Исходные данные'!$B$28*'Исходные данные'!$B$38*('Нагрузки'!$F$22+'Исходные данные'!$B$29)</x:f>
        <x:v>109.27659583819226</x:v>
      </x:c>
      <x:c r="F55" s="10" t="n">
        <x:f>'Исходные данные'!$B$28*'Исходные данные'!$B$38*'Нагрузки'!$F$22+'Исходные данные'!$B$30</x:f>
        <x:v>145.56400278425636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122.65726003638704</x:v>
      </x:c>
      <x:c r="C56" s="10" t="n">
        <x:f>'Исходные данные'!$B$28*'Исходные данные'!$B$38*('Нагрузки'!$F$23+'Исходные данные'!$B$27*'Нагрузки'!$B$9)</x:f>
        <x:v>148.9678594214245</x:v>
      </x:c>
      <x:c r="D56" s="10" t="n">
        <x:f>'Исходные данные'!$B$28*'Исходные данные'!$B$38*('Нагрузки'!$F$23+'Исходные данные'!$B$26*'Нагрузки'!$B$10)</x:f>
        <x:v>113.28130916500947</x:v>
      </x:c>
      <x:c r="E56" s="10" t="n">
        <x:f>0.75*'Исходные данные'!$B$28*'Исходные данные'!$B$38*('Нагрузки'!$F$23+'Исходные данные'!$B$29)</x:f>
        <x:v>97.21029583819227</x:v>
      </x:c>
      <x:c r="F56" s="10" t="n">
        <x:f>'Исходные данные'!$B$28*'Исходные данные'!$B$38*'Нагрузки'!$F$23+'Исходные данные'!$B$30</x:f>
        <x:v>129.47560278425635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103.76903149517992</x:v>
      </x:c>
      <x:c r="C57" s="10" t="n">
        <x:f>'Исходные данные'!$B$28*'Исходные данные'!$B$38*('Нагрузки'!$F$24+'Исходные данные'!$B$27*'Нагрузки'!$B$9)</x:f>
        <x:v>132.87945942142449</x:v>
      </x:c>
      <x:c r="D57" s="10" t="n">
        <x:f>'Исходные данные'!$B$28*'Исходные данные'!$B$38*('Нагрузки'!$F$24+'Исходные данные'!$B$26*'Нагрузки'!$B$10)</x:f>
        <x:v>97.19290916500948</x:v>
      </x:c>
      <x:c r="E57" s="10" t="n">
        <x:f>0.75*'Исходные данные'!$B$28*'Исходные данные'!$B$38*('Нагрузки'!$F$24+'Исходные данные'!$B$29)</x:f>
        <x:v>85.14399583819227</x:v>
      </x:c>
      <x:c r="F57" s="10" t="n">
        <x:f>'Исходные данные'!$B$28*'Исходные данные'!$B$38*'Нагрузки'!$F$24+'Исходные данные'!$B$30</x:f>
        <x:v>113.38720278425635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84.8808029539728</x:v>
      </x:c>
      <x:c r="C58" s="10" t="n">
        <x:f>'Исходные данные'!$B$28*'Исходные данные'!$B$38*('Нагрузки'!$F$25+'Исходные данные'!$B$27*'Нагрузки'!$B$9)</x:f>
        <x:v>116.79105942142449</x:v>
      </x:c>
      <x:c r="D58" s="10" t="n">
        <x:f>'Исходные данные'!$B$28*'Исходные данные'!$B$38*('Нагрузки'!$F$25+'Исходные данные'!$B$26*'Нагрузки'!$B$10)</x:f>
        <x:v>81.10450916500947</x:v>
      </x:c>
      <x:c r="E58" s="10" t="n">
        <x:f>0.75*'Исходные данные'!$B$28*'Исходные данные'!$B$38*('Нагрузки'!$F$25+'Исходные данные'!$B$29)</x:f>
        <x:v>73.07769583819227</x:v>
      </x:c>
      <x:c r="F58" s="10" t="n">
        <x:f>'Исходные данные'!$B$28*'Исходные данные'!$B$38*'Нагрузки'!$F$25+'Исходные данные'!$B$30</x:f>
        <x:v>97.29880278425635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65.99257441276568</x:v>
      </x:c>
      <x:c r="C59" s="10" t="n">
        <x:f>'Исходные данные'!$B$28*'Исходные данные'!$B$38*('Нагрузки'!$F$26+'Исходные данные'!$B$27*'Нагрузки'!$B$9)</x:f>
        <x:v>100.70265942142449</x:v>
      </x:c>
      <x:c r="D59" s="10" t="n">
        <x:f>'Исходные данные'!$B$28*'Исходные данные'!$B$38*('Нагрузки'!$F$26+'Исходные данные'!$B$26*'Нагрузки'!$B$10)</x:f>
        <x:v>65.0161091650095</x:v>
      </x:c>
      <x:c r="E59" s="10" t="n">
        <x:f>0.75*'Исходные данные'!$B$28*'Исходные данные'!$B$38*('Нагрузки'!$F$26+'Исходные данные'!$B$29)</x:f>
        <x:v>61.01139583819227</x:v>
      </x:c>
      <x:c r="F59" s="10" t="n">
        <x:f>'Исходные данные'!$B$28*'Исходные данные'!$B$38*'Нагрузки'!$F$26+'Исходные данные'!$B$30</x:f>
        <x:v>81.21040278425636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47.00059438499301</x:v>
      </x:c>
      <x:c r="C60" s="10" t="n">
        <x:f>'Исходные данные'!$B$28*'Исходные данные'!$B$38*('Нагрузки'!$F$27+'Исходные данные'!$B$27*'Нагрузки'!$B$9)</x:f>
        <x:v>84.52588716286041</x:v>
      </x:c>
      <x:c r="D60" s="10" t="n">
        <x:f>'Исходные данные'!$B$28*'Исходные данные'!$B$38*('Нагрузки'!$F$27+'Исходные данные'!$B$26*'Нагрузки'!$B$10)</x:f>
        <x:v>48.8393369064454</x:v>
      </x:c>
      <x:c r="E60" s="10" t="n">
        <x:f>0.75*'Исходные данные'!$B$28*'Исходные данные'!$B$38*('Нагрузки'!$F$27+'Исходные данные'!$B$29)</x:f>
        <x:v>48.8788166442692</x:v>
      </x:c>
      <x:c r="F60" s="10" t="n">
        <x:f>'Исходные данные'!$B$28*'Исходные данные'!$B$38*'Нагрузки'!$F$27+'Исходные данные'!$B$30</x:f>
        <x:v>65.03363052569227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27.904862870654796</x:v>
      </x:c>
      <x:c r="C61" s="10" t="n">
        <x:f>'Исходные данные'!$B$28*'Исходные данные'!$B$38*('Нагрузки'!$F$28+'Исходные данные'!$B$27*'Нагрузки'!$B$9)</x:f>
        <x:v>68.26074264573224</x:v>
      </x:c>
      <x:c r="D61" s="10" t="n">
        <x:f>'Исходные данные'!$B$28*'Исходные данные'!$B$38*('Нагрузки'!$F$28+'Исходные данные'!$B$26*'Нагрузки'!$B$10)</x:f>
        <x:v>32.57419238931723</x:v>
      </x:c>
      <x:c r="E61" s="10" t="n">
        <x:f>0.75*'Исходные данные'!$B$28*'Исходные данные'!$B$38*('Нагрузки'!$F$28+'Исходные данные'!$B$29)</x:f>
        <x:v>36.67995825642307</x:v>
      </x:c>
      <x:c r="F61" s="10" t="n">
        <x:f>'Исходные данные'!$B$28*'Исходные данные'!$B$38*'Нагрузки'!$F$28+'Исходные данные'!$B$30</x:f>
        <x:v>48.768486008564096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9.532652841890481</x:v>
      </x:c>
      <x:c r="C62" s="10" t="n">
        <x:f>'Исходные данные'!$B$28*'Исходные данные'!$B$38*('Нагрузки'!$F$29+'Исходные данные'!$B$27*'Нагрузки'!$B$9)</x:f>
        <x:v>52.611871012168145</x:v>
      </x:c>
      <x:c r="D62" s="10" t="n">
        <x:f>'Исходные данные'!$B$28*'Исходные данные'!$B$38*('Нагрузки'!$F$29+'Исходные данные'!$B$26*'Нагрузки'!$B$10)</x:f>
        <x:v>16.925320755753148</x:v>
      </x:c>
      <x:c r="E62" s="10" t="n">
        <x:f>0.75*'Исходные данные'!$B$28*'Исходные данные'!$B$38*('Нагрузки'!$F$29+'Исходные данные'!$B$29)</x:f>
        <x:v>24.943304531250007</x:v>
      </x:c>
      <x:c r="F62" s="10" t="n">
        <x:f>'Исходные данные'!$B$28*'Исходные данные'!$B$38*'Нагрузки'!$F$29+'Исходные данные'!$B$30</x:f>
        <x:v>33.11961437500001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142.9602797712614</x:v>
      </x:c>
      <x:c r="C63" s="10" t="n">
        <x:f>'Исходные данные'!$B$28*'Исходные данные'!$B$38*('Нагрузки'!$F$30+'Исходные данные'!$B$27*'Нагрузки'!$B$9)</x:f>
        <x:v>166.26133413716812</x:v>
      </x:c>
      <x:c r="D63" s="10" t="n">
        <x:f>'Исходные данные'!$B$28*'Исходные данные'!$B$38*('Нагрузки'!$F$30+'Исходные данные'!$B$26*'Нагрузки'!$B$10)</x:f>
        <x:v>130.5747838807531</x:v>
      </x:c>
      <x:c r="E63" s="10" t="n">
        <x:f>0.75*'Исходные данные'!$B$28*'Исходные данные'!$B$38*('Нагрузки'!$F$30+'Исходные данные'!$B$29)</x:f>
        <x:v>110.18040187499999</x:v>
      </x:c>
      <x:c r="F63" s="10" t="n">
        <x:f>'Исходные данные'!$B$28*'Исходные данные'!$B$38*'Нагрузки'!$F$30+'Исходные данные'!$B$30</x:f>
        <x:v>146.76907749999998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122.89153694622885</x:v>
      </x:c>
      <x:c r="C64" s="10" t="n">
        <x:f>'Исходные данные'!$B$28*'Исходные данные'!$B$38*('Нагрузки'!$F$31+'Исходные данные'!$B$27*'Нагрузки'!$B$9)</x:f>
        <x:v>149.16740913716814</x:v>
      </x:c>
      <x:c r="D64" s="10" t="n">
        <x:f>'Исходные данные'!$B$28*'Исходные данные'!$B$38*('Нагрузки'!$F$31+'Исходные данные'!$B$26*'Нагрузки'!$B$10)</x:f>
        <x:v>113.48085888075312</x:v>
      </x:c>
      <x:c r="E64" s="10" t="n">
        <x:f>0.75*'Исходные данные'!$B$28*'Исходные данные'!$B$38*('Нагрузки'!$F$31+'Исходные данные'!$B$29)</x:f>
        <x:v>97.35995812499999</x:v>
      </x:c>
      <x:c r="F64" s="10" t="n">
        <x:f>'Исходные данные'!$B$28*'Исходные данные'!$B$38*'Нагрузки'!$F$31+'Исходные данные'!$B$30</x:f>
        <x:v>129.6751525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102.8227941211963</x:v>
      </x:c>
      <x:c r="C65" s="10" t="n">
        <x:f>'Исходные данные'!$B$28*'Исходные данные'!$B$38*('Нагрузки'!$F$32+'Исходные данные'!$B$27*'Нагрузки'!$B$9)</x:f>
        <x:v>132.07348413716815</x:v>
      </x:c>
      <x:c r="D65" s="10" t="n">
        <x:f>'Исходные данные'!$B$28*'Исходные данные'!$B$38*('Нагрузки'!$F$32+'Исходные данные'!$B$26*'Нагрузки'!$B$10)</x:f>
        <x:v>96.38693388075313</x:v>
      </x:c>
      <x:c r="E65" s="10" t="n">
        <x:f>0.75*'Исходные данные'!$B$28*'Исходные данные'!$B$38*('Нагрузки'!$F$32+'Исходные данные'!$B$29)</x:f>
        <x:v>84.53951437500001</x:v>
      </x:c>
      <x:c r="F65" s="10" t="n">
        <x:f>'Исходные данные'!$B$28*'Исходные данные'!$B$38*'Нагрузки'!$F$32+'Исходные данные'!$B$30</x:f>
        <x:v>112.5812275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82.75405129616371</x:v>
      </x:c>
      <x:c r="C66" s="10" t="n">
        <x:f>'Исходные данные'!$B$28*'Исходные данные'!$B$38*('Нагрузки'!$F$33+'Исходные данные'!$B$27*'Нагрузки'!$B$9)</x:f>
        <x:v>114.97955913716812</x:v>
      </x:c>
      <x:c r="D66" s="10" t="n">
        <x:f>'Исходные данные'!$B$28*'Исходные данные'!$B$38*('Нагрузки'!$F$33+'Исходные данные'!$B$26*'Нагрузки'!$B$10)</x:f>
        <x:v>79.29300888075313</x:v>
      </x:c>
      <x:c r="E66" s="10" t="n">
        <x:f>0.75*'Исходные данные'!$B$28*'Исходные данные'!$B$38*('Нагрузки'!$F$33+'Исходные данные'!$B$29)</x:f>
        <x:v>71.719070625</x:v>
      </x:c>
      <x:c r="F66" s="10" t="n">
        <x:f>'Исходные данные'!$B$28*'Исходные данные'!$B$38*'Нагрузки'!$F$33+'Исходные данные'!$B$30</x:f>
        <x:v>95.4873025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62.68530847113115</x:v>
      </x:c>
      <x:c r="C67" s="10" t="n">
        <x:f>'Исходные данные'!$B$28*'Исходные данные'!$B$38*('Нагрузки'!$F$34+'Исходные данные'!$B$27*'Нагрузки'!$B$9)</x:f>
        <x:v>97.88563413716813</x:v>
      </x:c>
      <x:c r="D67" s="10" t="n">
        <x:f>'Исходные данные'!$B$28*'Исходные данные'!$B$38*('Нагрузки'!$F$34+'Исходные данные'!$B$26*'Нагрузки'!$B$10)</x:f>
        <x:v>62.199083880753136</x:v>
      </x:c>
      <x:c r="E67" s="10" t="n">
        <x:f>0.75*'Исходные данные'!$B$28*'Исходные данные'!$B$38*('Нагрузки'!$F$34+'Исходные данные'!$B$29)</x:f>
        <x:v>58.898626875000005</x:v>
      </x:c>
      <x:c r="F67" s="10" t="n">
        <x:f>'Исходные данные'!$B$28*'Исходные данные'!$B$38*'Нагрузки'!$F$34+'Исходные данные'!$B$30</x:f>
        <x:v>78.3933775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42.616565646098564</x:v>
      </x:c>
      <x:c r="C68" s="10" t="n">
        <x:f>'Исходные данные'!$B$28*'Исходные данные'!$B$38*('Нагрузки'!$F$35+'Исходные данные'!$B$27*'Нагрузки'!$B$9)</x:f>
        <x:v>80.79170913716814</x:v>
      </x:c>
      <x:c r="D68" s="10" t="n">
        <x:f>'Исходные данные'!$B$28*'Исходные данные'!$B$38*('Нагрузки'!$F$35+'Исходные данные'!$B$26*'Нагрузки'!$B$10)</x:f>
        <x:v>45.10515888075313</x:v>
      </x:c>
      <x:c r="E68" s="10" t="n">
        <x:f>0.75*'Исходные данные'!$B$28*'Исходные данные'!$B$38*('Нагрузки'!$F$35+'Исходные данные'!$B$29)</x:f>
        <x:v>46.078183124999995</x:v>
      </x:c>
      <x:c r="F68" s="10" t="n">
        <x:f>'Исходные данные'!$B$28*'Исходные данные'!$B$38*'Нагрузки'!$F$35+'Исходные данные'!$B$30</x:f>
        <x:v>61.299452499999994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16.291097116791153</x:v>
      </x:c>
      <x:c r="C69" s="10" t="n">
        <x:f>'Исходные данные'!$B$28*'Исходные данные'!$B$38*('Нагрузки'!$F$36+'Исходные данные'!$B$27*'Нагрузки'!$B$9)</x:f>
        <x:v>58.368501637168144</x:v>
      </x:c>
      <x:c r="D69" s="10" t="n">
        <x:f>'Исходные данные'!$B$28*'Исходные данные'!$B$38*('Нагрузки'!$F$36+'Исходные данные'!$B$26*'Нагрузки'!$B$10)</x:f>
        <x:v>22.681951380753144</x:v>
      </x:c>
      <x:c r="E69" s="10" t="n">
        <x:f>0.75*'Исходные данные'!$B$28*'Исходные данные'!$B$38*('Нагрузки'!$F$36+'Исходные данные'!$B$29)</x:f>
        <x:v>29.260777500000007</x:v>
      </x:c>
      <x:c r="F69" s="10" t="n">
        <x:f>'Исходные данные'!$B$28*'Исходные данные'!$B$38*'Нагрузки'!$F$36+'Исходные данные'!$B$30</x:f>
        <x:v>38.876245000000004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133.51616550065788</x:v>
      </x:c>
      <x:c r="C70" s="10" t="n">
        <x:f>'Исходные данные'!$B$28*'Исходные данные'!$B$38*('Нагрузки'!$F$37+'Исходные данные'!$B$27*'Нагрузки'!$B$9)</x:f>
        <x:v>158.21713413716813</x:v>
      </x:c>
      <x:c r="D70" s="10" t="n">
        <x:f>'Исходные данные'!$B$28*'Исходные данные'!$B$38*('Нагрузки'!$F$37+'Исходные данные'!$B$26*'Нагрузки'!$B$10)</x:f>
        <x:v>122.53058388075313</x:v>
      </x:c>
      <x:c r="E70" s="10" t="n">
        <x:f>0.75*'Исходные данные'!$B$28*'Исходные данные'!$B$38*('Нагрузки'!$F$37+'Исходные данные'!$B$29)</x:f>
        <x:v>104.147251875</x:v>
      </x:c>
      <x:c r="F70" s="10" t="n">
        <x:f>'Исходные данные'!$B$28*'Исходные данные'!$B$38*'Нагрузки'!$F$37+'Исходные данные'!$B$30</x:f>
        <x:v>138.7248775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94.85432270537453</x:v>
      </x:c>
      <x:c r="C71" s="10" t="n">
        <x:f>'Исходные данные'!$B$28*'Исходные данные'!$B$38*('Нагрузки'!$F$38+'Исходные данные'!$B$27*'Нагрузки'!$B$9)</x:f>
        <x:v>125.28619038716813</x:v>
      </x:c>
      <x:c r="D71" s="10" t="n">
        <x:f>'Исходные данные'!$B$28*'Исходные данные'!$B$38*('Нагрузки'!$F$38+'Исходные данные'!$B$26*'Нагрузки'!$B$10)</x:f>
        <x:v>89.59964013075313</x:v>
      </x:c>
      <x:c r="E71" s="10" t="n">
        <x:f>0.75*'Исходные данные'!$B$28*'Исходные данные'!$B$38*('Нагрузки'!$F$38+'Исходные данные'!$B$29)</x:f>
        <x:v>79.4490440625</x:v>
      </x:c>
      <x:c r="F71" s="10" t="n">
        <x:f>'Исходные данные'!$B$28*'Исходные данные'!$B$38*'Нагрузки'!$F$38+'Исходные данные'!$B$30</x:f>
        <x:v>105.79393375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56.48760848104756</x:v>
      </x:c>
      <x:c r="C72" s="10" t="n">
        <x:f>'Исходные данные'!$B$28*'Исходные данные'!$B$38*('Нагрузки'!$F$39+'Исходные данные'!$B$27*'Нагрузки'!$B$9)</x:f>
        <x:v>92.60662788716814</x:v>
      </x:c>
      <x:c r="D72" s="10" t="n">
        <x:f>'Исходные данные'!$B$28*'Исходные данные'!$B$38*('Нагрузки'!$F$39+'Исходные данные'!$B$26*'Нагрузки'!$B$10)</x:f>
        <x:v>56.920077630753134</x:v>
      </x:c>
      <x:c r="E72" s="10" t="n">
        <x:f>0.75*'Исходные данные'!$B$28*'Исходные данные'!$B$38*('Нагрузки'!$F$39+'Исходные данные'!$B$29)</x:f>
        <x:v>54.9393721875</x:v>
      </x:c>
      <x:c r="F72" s="10" t="n">
        <x:f>'Исходные данные'!$B$28*'Исходные данные'!$B$38*'Нагрузки'!$F$39+'Исходные данные'!$B$30</x:f>
        <x:v>73.11437125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19.006279969589663</x:v>
      </x:c>
      <x:c r="C73" s="10" t="n">
        <x:f>'Исходные данные'!$B$28*'Исходные данные'!$B$38*('Нагрузки'!$F$40+'Исходные данные'!$B$27*'Нагрузки'!$B$9)</x:f>
        <x:v>60.681209137168125</x:v>
      </x:c>
      <x:c r="D73" s="10" t="n">
        <x:f>'Исходные данные'!$B$28*'Исходные данные'!$B$38*('Нагрузки'!$F$40+'Исходные данные'!$B$26*'Нагрузки'!$B$10)</x:f>
        <x:v>24.994658880753132</x:v>
      </x:c>
      <x:c r="E73" s="10" t="n">
        <x:f>0.75*'Исходные данные'!$B$28*'Исходные данные'!$B$38*('Нагрузки'!$F$40+'Исходные данные'!$B$29)</x:f>
        <x:v>30.995308124999994</x:v>
      </x:c>
      <x:c r="F73" s="10" t="n">
        <x:f>'Исходные данные'!$B$28*'Исходные данные'!$B$38*'Нагрузки'!$F$40+'Исходные данные'!$B$30</x:f>
        <x:v>41.18895249999999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133.51616550065788</x:v>
      </x:c>
      <x:c r="C74" s="10" t="n">
        <x:f>'Исходные данные'!$B$28*'Исходные данные'!$B$38*('Нагрузки'!$F$41+'Исходные данные'!$B$27*'Нагрузки'!$B$9)</x:f>
        <x:v>158.21713413716813</x:v>
      </x:c>
      <x:c r="D74" s="10" t="n">
        <x:f>'Исходные данные'!$B$28*'Исходные данные'!$B$38*('Нагрузки'!$F$41+'Исходные данные'!$B$26*'Нагрузки'!$B$10)</x:f>
        <x:v>122.53058388075313</x:v>
      </x:c>
      <x:c r="E74" s="10" t="n">
        <x:f>0.75*'Исходные данные'!$B$28*'Исходные данные'!$B$38*('Нагрузки'!$F$41+'Исходные данные'!$B$29)</x:f>
        <x:v>104.147251875</x:v>
      </x:c>
      <x:c r="F74" s="10" t="n">
        <x:f>'Исходные данные'!$B$28*'Исходные данные'!$B$38*'Нагрузки'!$F$41+'Исходные данные'!$B$30</x:f>
        <x:v>138.7248775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94.85432270537453</x:v>
      </x:c>
      <x:c r="C75" s="10" t="n">
        <x:f>'Исходные данные'!$B$28*'Исходные данные'!$B$38*('Нагрузки'!$F$42+'Исходные данные'!$B$27*'Нагрузки'!$B$9)</x:f>
        <x:v>125.28619038716813</x:v>
      </x:c>
      <x:c r="D75" s="10" t="n">
        <x:f>'Исходные данные'!$B$28*'Исходные данные'!$B$38*('Нагрузки'!$F$42+'Исходные данные'!$B$26*'Нагрузки'!$B$10)</x:f>
        <x:v>89.59964013075313</x:v>
      </x:c>
      <x:c r="E75" s="10" t="n">
        <x:f>0.75*'Исходные данные'!$B$28*'Исходные данные'!$B$38*('Нагрузки'!$F$42+'Исходные данные'!$B$29)</x:f>
        <x:v>79.4490440625</x:v>
      </x:c>
      <x:c r="F75" s="10" t="n">
        <x:f>'Исходные данные'!$B$28*'Исходные данные'!$B$38*'Нагрузки'!$F$42+'Исходные данные'!$B$30</x:f>
        <x:v>105.79393375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56.48760848104756</x:v>
      </x:c>
      <x:c r="C76" s="10" t="n">
        <x:f>'Исходные данные'!$B$28*'Исходные данные'!$B$38*('Нагрузки'!$F$43+'Исходные данные'!$B$27*'Нагрузки'!$B$9)</x:f>
        <x:v>92.60662788716814</x:v>
      </x:c>
      <x:c r="D76" s="10" t="n">
        <x:f>'Исходные данные'!$B$28*'Исходные данные'!$B$38*('Нагрузки'!$F$43+'Исходные данные'!$B$26*'Нагрузки'!$B$10)</x:f>
        <x:v>56.920077630753134</x:v>
      </x:c>
      <x:c r="E76" s="10" t="n">
        <x:f>0.75*'Исходные данные'!$B$28*'Исходные данные'!$B$38*('Нагрузки'!$F$43+'Исходные данные'!$B$29)</x:f>
        <x:v>54.9393721875</x:v>
      </x:c>
      <x:c r="F76" s="10" t="n">
        <x:f>'Исходные данные'!$B$28*'Исходные данные'!$B$38*'Нагрузки'!$F$43+'Исходные данные'!$B$30</x:f>
        <x:v>73.11437125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18.652125684442037</x:v>
      </x:c>
      <x:c r="C77" s="10" t="n">
        <x:f>'Исходные данные'!$B$28*'Исходные данные'!$B$38*('Нагрузки'!$F$44+'Исходные данные'!$B$27*'Нагрузки'!$B$9)</x:f>
        <x:v>60.379551637168134</x:v>
      </x:c>
      <x:c r="D77" s="10" t="n">
        <x:f>'Исходные данные'!$B$28*'Исходные данные'!$B$38*('Нагрузки'!$F$44+'Исходные данные'!$B$26*'Нагрузки'!$B$10)</x:f>
        <x:v>24.693001380753138</x:v>
      </x:c>
      <x:c r="E77" s="10" t="n">
        <x:f>0.75*'Исходные данные'!$B$28*'Исходные данные'!$B$38*('Нагрузки'!$F$44+'Исходные данные'!$B$29)</x:f>
        <x:v>30.769065</x:v>
      </x:c>
      <x:c r="F77" s="10" t="n">
        <x:f>'Исходные данные'!$B$28*'Исходные данные'!$B$38*'Нагрузки'!$F$44+'Исходные данные'!$B$30</x:f>
        <x:v>40.887295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191.90222163716814</x:v>
      </x:c>
      <x:c r="C83" s="14" t="n">
        <x:f>MAX('Балластные случаи'!D109,'Балластные случаи'!D110,'Балластные случаи'!D111)</x:f>
        <x:v>152.16293016114957</x:v>
      </x:c>
      <x:c r="D83" s="10" t="n">
        <x:f>MAX(0,10*('Исходные данные'!$B$11-'Нагрузки'!$B$17)+0.15*'Исходные данные'!$B$8+10)</x:f>
        <x:v>118.85</x:v>
      </x:c>
      <x:c r="E83" s="14" t="n">
        <x:f>MAX('Нагрузки'!C83,'Нагрузки'!D83)</x:f>
        <x:v>152.16293016114957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174.80829663716816</x:v>
      </x:c>
      <x:c r="C84" s="14" t="n">
        <x:f>MAX('Балластные случаи'!D112,'Балластные случаи'!D113,'Балластные случаи'!D114)</x:f>
        <x:v>156.27415752682543</x:v>
      </x:c>
      <x:c r="D84" s="10" t="n">
        <x:f>MAX(0,10*('Исходные данные'!$B$11-'Нагрузки'!$B$18)+0.15*'Исходные данные'!$B$8+10)</x:f>
        <x:v>101.85</x:v>
      </x:c>
      <x:c r="E84" s="14" t="n">
        <x:f>MAX('Нагрузки'!C84,'Нагрузки'!D84)</x:f>
        <x:v>156.27415752682543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45.09557163716814</x:v>
      </x:c>
      <x:c r="C85" s="14" t="n">
        <x:f>MAX('Балластные случаи'!D115,'Балластные случаи'!D116,'Балластные случаи'!D117)</x:f>
        <x:v>45.09557163716814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45.09557163716814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191.90222163716814</x:v>
      </x:c>
      <x:c r="C86" s="14" t="n">
        <x:f>MAX('Балластные случаи'!D118,'Балластные случаи'!D119,'Балластные случаи'!D120)</x:f>
        <x:v>152.5608745247693</x:v>
      </x:c>
      <x:c r="D86" s="10" t="n">
        <x:f>MAX(0,10*('Исходные данные'!$B$11-'Нагрузки'!$B$20)+0.15*'Исходные данные'!$B$8+10)</x:f>
        <x:v>118.29723169444291</x:v>
      </x:c>
      <x:c r="E86" s="14" t="n">
        <x:f>MAX('Нагрузки'!C86,'Нагрузки'!D86)</x:f>
        <x:v>152.5608745247693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190.24762302200008</x:v>
      </x:c>
      <x:c r="C87" s="14" t="n">
        <x:f>MAX('Балластные случаи'!D121,'Балластные случаи'!D122,'Балластные случаи'!D123)</x:f>
        <x:v>156.68490620493677</x:v>
      </x:c>
      <x:c r="D87" s="10" t="n">
        <x:f>MAX(0,10*('Исходные данные'!$B$11-'Нагрузки'!$B$21)+0.15*'Исходные данные'!$B$8+10)</x:f>
        <x:v>111.49917727995776</x:v>
      </x:c>
      <x:c r="E87" s="14" t="n">
        <x:f>MAX('Нагрузки'!C87,'Нагрузки'!D87)</x:f>
        <x:v>156.68490620493677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173.10045942142446</x:v>
      </x:c>
      <x:c r="C88" s="14" t="n">
        <x:f>MAX('Балластные случаи'!D124,'Балластные случаи'!D125,'Балластные случаи'!D126)</x:f>
        <x:v>159.86753231591786</x:v>
      </x:c>
      <x:c r="D88" s="10" t="n">
        <x:f>MAX(0,10*('Исходные данные'!$B$11-'Нагрузки'!$B$22)+0.15*'Исходные данные'!$B$8+10)</x:f>
        <x:v>92.15154673852601</x:v>
      </x:c>
      <x:c r="E88" s="14" t="n">
        <x:f>MAX('Нагрузки'!C88,'Нагрузки'!D88)</x:f>
        <x:v>159.86753231591786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157.01205942142448</x:v>
      </x:c>
      <x:c r="C89" s="14" t="n">
        <x:f>MAX('Балластные случаи'!D127,'Балластные случаи'!D128,'Балластные случаи'!D129)</x:f>
        <x:v>157.01205942142448</x:v>
      </x:c>
      <x:c r="D89" s="10" t="n">
        <x:f>MAX(0,10*('Исходные данные'!$B$11-'Нагрузки'!$B$23)+0.15*'Исходные данные'!$B$8+10)</x:f>
        <x:v>76.151546738526</x:v>
      </x:c>
      <x:c r="E89" s="14" t="n">
        <x:f>MAX('Нагрузки'!C89,'Нагрузки'!D89)</x:f>
        <x:v>157.01205942142448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140.92365942142447</x:v>
      </x:c>
      <x:c r="C90" s="14" t="n">
        <x:f>MAX('Балластные случаи'!D130,'Балластные случаи'!D131,'Балластные случаи'!D132)</x:f>
        <x:v>140.92365942142447</x:v>
      </x:c>
      <x:c r="D90" s="10" t="n">
        <x:f>MAX(0,10*('Исходные данные'!$B$11-'Нагрузки'!$B$24)+0.15*'Исходные данные'!$B$8+10)</x:f>
        <x:v>60.151546738526</x:v>
      </x:c>
      <x:c r="E90" s="14" t="n">
        <x:f>MAX('Нагрузки'!C90,'Нагрузки'!D90)</x:f>
        <x:v>140.92365942142447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124.83525942142448</x:v>
      </x:c>
      <x:c r="C91" s="14" t="n">
        <x:f>MAX('Балластные случаи'!D133,'Балластные случаи'!D134,'Балластные случаи'!D135)</x:f>
        <x:v>124.83525942142448</x:v>
      </x:c>
      <x:c r="D91" s="10" t="n">
        <x:f>MAX(0,10*('Исходные данные'!$B$11-'Нагрузки'!$B$25)+0.15*'Исходные данные'!$B$8+10)</x:f>
        <x:v>44.15154673852601</x:v>
      </x:c>
      <x:c r="E91" s="14" t="n">
        <x:f>MAX('Нагрузки'!C91,'Нагрузки'!D91)</x:f>
        <x:v>124.83525942142448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108.74685942142449</x:v>
      </x:c>
      <x:c r="C92" s="14" t="n">
        <x:f>MAX('Балластные случаи'!D136,'Балластные случаи'!D137,'Балластные случаи'!D138)</x:f>
        <x:v>108.74685942142449</x:v>
      </x:c>
      <x:c r="D92" s="10" t="n">
        <x:f>MAX(0,10*('Исходные данные'!$B$11-'Нагрузки'!$B$26)+0.15*'Исходные данные'!$B$8+10)</x:f>
        <x:v>28.151546738526008</x:v>
      </x:c>
      <x:c r="E92" s="14" t="n">
        <x:f>MAX('Нагрузки'!C92,'Нагрузки'!D92)</x:f>
        <x:v>108.74685942142449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92.65845942142448</x:v>
      </x:c>
      <x:c r="C93" s="14" t="n">
        <x:f>MAX('Балластные случаи'!D139,'Балластные случаи'!D140,'Балластные случаи'!D141)</x:f>
        <x:v>92.65845942142448</x:v>
      </x:c>
      <x:c r="D93" s="10" t="n">
        <x:f>MAX(0,10*('Исходные данные'!$B$11-'Нагрузки'!$B$27)+0.15*'Исходные данные'!$B$8+10)</x:f>
        <x:v>12.063660053894505</x:v>
      </x:c>
      <x:c r="E93" s="14" t="n">
        <x:f>MAX('Нагрузки'!C93,'Нагрузки'!D93)</x:f>
        <x:v>92.65845942142448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76.39331490429633</x:v>
      </x:c>
      <x:c r="C94" s="14" t="n">
        <x:f>MAX('Балластные случаи'!D142,'Балластные случаи'!D143,'Балластные случаи'!D144)</x:f>
        <x:v>76.39331490429633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76.39331490429633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60.12817038716813</x:v>
      </x:c>
      <x:c r="C95" s="14" t="n">
        <x:f>MAX('Балластные случаи'!D145,'Балластные случаи'!D146,'Балластные случаи'!D147)</x:f>
        <x:v>60.12817038716813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60.12817038716813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174.80829663716816</x:v>
      </x:c>
      <x:c r="C96" s="14" t="n">
        <x:f>MAX('Балластные случаи'!D148,'Балластные случаи'!D149,'Балластные случаи'!D150)</x:f>
        <x:v>159.86753231591786</x:v>
      </x:c>
      <x:c r="D96" s="10" t="n">
        <x:f>MAX(0,10*('Исходные данные'!$B$11-'Нагрузки'!$B$30)+0.15*'Исходные данные'!$B$8+10)</x:f>
        <x:v>93.35000000000001</x:v>
      </x:c>
      <x:c r="E96" s="14" t="n">
        <x:f>MAX('Нагрузки'!C96,'Нагрузки'!D96)</x:f>
        <x:v>159.86753231591786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157.7143716371681</x:v>
      </x:c>
      <x:c r="C97" s="14" t="n">
        <x:f>MAX('Балластные случаи'!D151,'Балластные случаи'!D152,'Балластные случаи'!D153)</x:f>
        <x:v>157.7143716371681</x:v>
      </x:c>
      <x:c r="D97" s="10" t="n">
        <x:f>MAX(0,10*('Исходные данные'!$B$11-'Нагрузки'!$B$31)+0.15*'Исходные данные'!$B$8+10)</x:f>
        <x:v>76.35000000000001</x:v>
      </x:c>
      <x:c r="E97" s="14" t="n">
        <x:f>MAX('Нагрузки'!C97,'Нагрузки'!D97)</x:f>
        <x:v>157.7143716371681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140.62044663716813</x:v>
      </x:c>
      <x:c r="C98" s="14" t="n">
        <x:f>MAX('Балластные случаи'!D154,'Балластные случаи'!D155,'Балластные случаи'!D156)</x:f>
        <x:v>140.62044663716813</x:v>
      </x:c>
      <x:c r="D98" s="10" t="n">
        <x:f>MAX(0,10*('Исходные данные'!$B$11-'Нагрузки'!$B$32)+0.15*'Исходные данные'!$B$8+10)</x:f>
        <x:v>59.35000000000001</x:v>
      </x:c>
      <x:c r="E98" s="14" t="n">
        <x:f>MAX('Нагрузки'!C98,'Нагрузки'!D98)</x:f>
        <x:v>140.62044663716813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123.52652163716813</x:v>
      </x:c>
      <x:c r="C99" s="14" t="n">
        <x:f>MAX('Балластные случаи'!D157,'Балластные случаи'!D158,'Балластные случаи'!D159)</x:f>
        <x:v>123.52652163716813</x:v>
      </x:c>
      <x:c r="D99" s="10" t="n">
        <x:f>MAX(0,10*('Исходные данные'!$B$11-'Нагрузки'!$B$33)+0.15*'Исходные данные'!$B$8+10)</x:f>
        <x:v>42.35</x:v>
      </x:c>
      <x:c r="E99" s="14" t="n">
        <x:f>MAX('Нагрузки'!C99,'Нагрузки'!D99)</x:f>
        <x:v>123.52652163716813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106.43259663716815</x:v>
      </x:c>
      <x:c r="C100" s="14" t="n">
        <x:f>MAX('Балластные случаи'!D160,'Балластные случаи'!D161,'Балластные случаи'!D162)</x:f>
        <x:v>106.43259663716815</x:v>
      </x:c>
      <x:c r="D100" s="10" t="n">
        <x:f>MAX(0,10*('Исходные данные'!$B$11-'Нагрузки'!$B$34)+0.15*'Исходные данные'!$B$8+10)</x:f>
        <x:v>25.35000000000001</x:v>
      </x:c>
      <x:c r="E100" s="14" t="n">
        <x:f>MAX('Нагрузки'!C100,'Нагрузки'!D100)</x:f>
        <x:v>106.43259663716815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89.33867163716815</x:v>
      </x:c>
      <x:c r="C101" s="14" t="n">
        <x:f>MAX('Балластные случаи'!D163,'Балластные случаи'!D164,'Балластные случаи'!D165)</x:f>
        <x:v>89.33867163716815</x:v>
      </x:c>
      <x:c r="D101" s="10" t="n">
        <x:f>MAX(0,10*('Исходные данные'!$B$11-'Нагрузки'!$B$35)+0.15*'Исходные данные'!$B$8+10)</x:f>
        <x:v>8.349999999999998</x:v>
      </x:c>
      <x:c r="E101" s="14" t="n">
        <x:f>MAX('Нагрузки'!C101,'Нагрузки'!D101)</x:f>
        <x:v>89.33867163716815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72.24474663716813</x:v>
      </x:c>
      <x:c r="C102" s="14" t="n">
        <x:f>MAX('Балластные случаи'!D166,'Балластные случаи'!D167,'Балластные случаи'!D168)</x:f>
        <x:v>72.24474663716813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72.24474663716813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158.21713413716813</x:v>
      </x:c>
      <x:c r="C103" s="14" t="n">
        <x:f>MAX('Балластные случаи'!D169,'Балластные случаи'!D170,'Балластные случаи'!D171)</x:f>
        <x:v>158.21713413716813</x:v>
      </x:c>
      <x:c r="D103" s="10" t="n">
        <x:f>MAX(0,10*('Исходные данные'!$B$11-'Нагрузки'!$B$37)+0.15*'Исходные данные'!$B$8+10)</x:f>
        <x:v>85.35000000000001</x:v>
      </x:c>
      <x:c r="E103" s="14" t="n">
        <x:f>MAX('Нагрузки'!C103,'Нагрузки'!D103)</x:f>
        <x:v>158.21713413716813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125.28619038716813</x:v>
      </x:c>
      <x:c r="C104" s="14" t="n">
        <x:f>MAX('Балластные случаи'!D172,'Балластные случаи'!D173,'Балластные случаи'!D174)</x:f>
        <x:v>125.28619038716813</x:v>
      </x:c>
      <x:c r="D104" s="10" t="n">
        <x:f>MAX(0,10*('Исходные данные'!$B$11-'Нагрузки'!$B$38)+0.15*'Исходные данные'!$B$8+10)</x:f>
        <x:v>52.60000000000001</x:v>
      </x:c>
      <x:c r="E104" s="14" t="n">
        <x:f>MAX('Нагрузки'!C104,'Нагрузки'!D104)</x:f>
        <x:v>125.28619038716813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92.60662788716814</x:v>
      </x:c>
      <x:c r="C105" s="14" t="n">
        <x:f>MAX('Балластные случаи'!D175,'Балластные случаи'!D176,'Балластные случаи'!D177)</x:f>
        <x:v>92.60662788716814</x:v>
      </x:c>
      <x:c r="D105" s="10" t="n">
        <x:f>MAX(0,10*('Исходные данные'!$B$11-'Нагрузки'!$B$39)+0.15*'Исходные данные'!$B$8+10)</x:f>
        <x:v>20.100000000000005</x:v>
      </x:c>
      <x:c r="E105" s="14" t="n">
        <x:f>MAX('Нагрузки'!C105,'Нагрузки'!D105)</x:f>
        <x:v>92.60662788716814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60.681209137168125</x:v>
      </x:c>
      <x:c r="C106" s="14" t="n">
        <x:f>MAX('Балластные случаи'!D178,'Балластные случаи'!D179,'Балластные случаи'!D180)</x:f>
        <x:v>60.681209137168125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60.681209137168125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158.21713413716813</x:v>
      </x:c>
      <x:c r="C107" s="14" t="n">
        <x:f>MAX('Балластные случаи'!D181,'Балластные случаи'!D182,'Балластные случаи'!D183)</x:f>
        <x:v>158.21713413716813</x:v>
      </x:c>
      <x:c r="D107" s="10" t="n">
        <x:f>MAX(0,10*('Исходные данные'!$B$11-'Нагрузки'!$B$41)+0.15*'Исходные данные'!$B$8+10)</x:f>
        <x:v>85.35000000000001</x:v>
      </x:c>
      <x:c r="E107" s="14" t="n">
        <x:f>MAX('Нагрузки'!C107,'Нагрузки'!D107)</x:f>
        <x:v>158.21713413716813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125.28619038716813</x:v>
      </x:c>
      <x:c r="C108" s="14" t="n">
        <x:f>MAX('Балластные случаи'!D184,'Балластные случаи'!D185,'Балластные случаи'!D186)</x:f>
        <x:v>125.28619038716813</x:v>
      </x:c>
      <x:c r="D108" s="10" t="n">
        <x:f>MAX(0,10*('Исходные данные'!$B$11-'Нагрузки'!$B$42)+0.15*'Исходные данные'!$B$8+10)</x:f>
        <x:v>52.60000000000001</x:v>
      </x:c>
      <x:c r="E108" s="14" t="n">
        <x:f>MAX('Нагрузки'!C108,'Нагрузки'!D108)</x:f>
        <x:v>125.28619038716813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92.60662788716814</x:v>
      </x:c>
      <x:c r="C109" s="14" t="n">
        <x:f>MAX('Балластные случаи'!D187,'Балластные случаи'!D188,'Балластные случаи'!D189)</x:f>
        <x:v>92.60662788716814</x:v>
      </x:c>
      <x:c r="D109" s="10" t="n">
        <x:f>MAX(0,10*('Исходные данные'!$B$11-'Нагрузки'!$B$43)+0.15*'Исходные данные'!$B$8+10)</x:f>
        <x:v>20.100000000000005</x:v>
      </x:c>
      <x:c r="E109" s="14" t="n">
        <x:f>MAX('Нагрузки'!C109,'Нагрузки'!D109)</x:f>
        <x:v>92.60662788716814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60.379551637168134</x:v>
      </x:c>
      <x:c r="C110" s="14" t="n">
        <x:f>MAX('Балластные случаи'!D190,'Балластные случаи'!D191,'Балластные случаи'!D192)</x:f>
        <x:v>60.379551637168134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60.379551637168134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0.75</x:v>
      </x:c>
      <x:c r="D12" s="10" t="n">
        <x:f>'Исходные данные'!$B$20</x:f>
        <x:v>2.0999999999999996</x:v>
      </x:c>
      <x:c r="E12" s="10" t="n">
        <x:f>'Нагрузки'!$C$83</x:f>
        <x:v>152.16293016114957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0.75</x:v>
      </x:c>
      <x:c r="D13" s="10" t="n">
        <x:f>'Исходные данные'!$B$20</x:f>
        <x:v>2.0999999999999996</x:v>
      </x:c>
      <x:c r="E13" s="10" t="n">
        <x:f>'Нагрузки'!$C$83</x:f>
        <x:v>152.16293016114957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0.75</x:v>
      </x:c>
      <x:c r="D14" s="10" t="n">
        <x:f>'Исходные данные'!$B$20</x:f>
        <x:v>2.0999999999999996</x:v>
      </x:c>
      <x:c r="E14" s="10" t="n">
        <x:f>'Нагрузки'!$C$83</x:f>
        <x:v>152.16293016114957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0.75</x:v>
      </x:c>
      <x:c r="D15" s="10" t="n">
        <x:f>'Исходные данные'!$B$20</x:f>
        <x:v>2.0999999999999996</x:v>
      </x:c>
      <x:c r="E15" s="10" t="n">
        <x:f>'Нагрузки'!$C$83</x:f>
        <x:v>152.16293016114957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0.75</x:v>
      </x:c>
      <x:c r="D16" s="10" t="n">
        <x:f>'Исходные данные'!$B$20</x:f>
        <x:v>2.0999999999999996</x:v>
      </x:c>
      <x:c r="E16" s="10" t="n">
        <x:f>'Нагрузки'!$C$83</x:f>
        <x:v>152.16293016114957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0.75</x:v>
      </x:c>
      <x:c r="D17" s="10" t="n">
        <x:f>'Исходные данные'!$B$20</x:f>
        <x:v>2.0999999999999996</x:v>
      </x:c>
      <x:c r="E17" s="10" t="n">
        <x:f>'Нагрузки'!$C$83</x:f>
        <x:v>152.16293016114957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18" s="10" t="n">
        <x:f>'Нагрузки'!$C$86</x:f>
        <x:v>152.5608745247693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19" s="10" t="n">
        <x:f>'Нагрузки'!$C$87</x:f>
        <x:v>156.68490620493677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0" s="10" t="n">
        <x:f>'Нагрузки'!$C$88</x:f>
        <x:v>159.86753231591786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1" s="10" t="n">
        <x:f>'Нагрузки'!$C$89</x:f>
        <x:v>157.01205942142448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2" s="10" t="n">
        <x:f>'Нагрузки'!$C$90</x:f>
        <x:v>140.92365942142447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3" s="10" t="n">
        <x:f>'Нагрузки'!$C$91</x:f>
        <x:v>124.83525942142448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4" s="10" t="n">
        <x:f>'Нагрузки'!$C$92</x:f>
        <x:v>108.74685942142449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5" s="10" t="n">
        <x:f>'Нагрузки'!$C$93</x:f>
        <x:v>92.65845942142448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6" s="10" t="n">
        <x:f>'Нагрузки'!$C$94</x:f>
        <x:v>76.39331490429633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</x:v>
      </x:c>
      <x:c r="E27" s="10" t="n">
        <x:f>'Нагрузки'!$C$95</x:f>
        <x:v>60.12817038716813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0.75</x:v>
      </x:c>
      <x:c r="D28" s="10" t="n">
        <x:f>'Исходные данные'!$B$20</x:f>
        <x:v>2.0999999999999996</x:v>
      </x:c>
      <x:c r="E28" s="10" t="n">
        <x:f>'Нагрузки'!$B$84</x:f>
        <x:v>174.80829663716816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0.75</x:v>
      </x:c>
      <x:c r="D29" s="10" t="n">
        <x:f>'Исходные данные'!$B$20</x:f>
        <x:v>2.0999999999999996</x:v>
      </x:c>
      <x:c r="E29" s="10" t="n">
        <x:f>'Нагрузки'!$B$84</x:f>
        <x:v>174.80829663716816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0.75</x:v>
      </x:c>
      <x:c r="D30" s="10" t="n">
        <x:f>'Исходные данные'!$B$20</x:f>
        <x:v>2.0999999999999996</x:v>
      </x:c>
      <x:c r="E30" s="10" t="n">
        <x:f>'Нагрузки'!$B$85</x:f>
        <x:v>45.09557163716814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1" s="10" t="n">
        <x:f>'Нагрузки'!$B$96</x:f>
        <x:v>174.80829663716816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2" s="10" t="n">
        <x:f>'Нагрузки'!$B$97</x:f>
        <x:v>157.7143716371681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3" s="10" t="n">
        <x:f>'Нагрузки'!$B$98</x:f>
        <x:v>140.62044663716813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4" s="10" t="n">
        <x:f>'Нагрузки'!$B$99</x:f>
        <x:v>123.52652163716813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5" s="10" t="n">
        <x:f>'Нагрузки'!$B$100</x:f>
        <x:v>106.43259663716815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6" s="10" t="n">
        <x:f>'Нагрузки'!$B$101</x:f>
        <x:v>89.33867163716815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</x:v>
      </x:c>
      <x:c r="E37" s="10" t="n">
        <x:f>'Нагрузки'!$B$102</x:f>
        <x:v>72.24474663716813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12.310146613640283</x:v>
      </x:c>
      <x:c r="F43" s="10" t="n">
        <x:f>'Листы'!$E$43+'Листы'!$D$43</x:f>
        <x:v>14.910146613640283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12.310146613640283</x:v>
      </x:c>
      <x:c r="F44" s="10" t="n">
        <x:f>'Листы'!$E$44+'Листы'!$D$44</x:f>
        <x:v>14.910146613640283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12.310146613640283</x:v>
      </x:c>
      <x:c r="F45" s="10" t="n">
        <x:f>'Листы'!$E$45+'Листы'!$D$45</x:f>
        <x:v>14.910146613640283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12.310146613640283</x:v>
      </x:c>
      <x:c r="F46" s="10" t="n">
        <x:f>'Листы'!$E$46+'Листы'!$D$46</x:f>
        <x:v>14.910146613640283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12.310146613640283</x:v>
      </x:c>
      <x:c r="F47" s="10" t="n">
        <x:f>'Листы'!$E$47+'Листы'!$D$47</x:f>
        <x:v>14.910146613640283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12.310146613640283</x:v>
      </x:c>
      <x:c r="F48" s="10" t="n">
        <x:f>'Листы'!$E$48+'Листы'!$D$48</x:f>
        <x:v>14.910146613640283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11.50448429098613</x:v>
      </x:c>
      <x:c r="F49" s="10" t="n">
        <x:f>'Листы'!$E$49+'Листы'!$D$49</x:f>
        <x:v>13.844484290986129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11.658942263329331</x:v>
      </x:c>
      <x:c r="F50" s="10" t="n">
        <x:f>'Листы'!$E$50+'Листы'!$D$50</x:f>
        <x:v>13.998942263329331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11.776756792046054</x:v>
      </x:c>
      <x:c r="F51" s="10" t="n">
        <x:f>'Листы'!$E$51+'Листы'!$D$51</x:f>
        <x:v>14.506756792046055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11.671107671013363</x:v>
      </x:c>
      <x:c r="F52" s="10" t="n">
        <x:f>'Листы'!$E$52+'Листы'!$D$52</x:f>
        <x:v>14.401107671013364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11.057005527963176</x:v>
      </x:c>
      <x:c r="F53" s="10" t="n">
        <x:f>'Листы'!$E$53+'Листы'!$D$53</x:f>
        <x:v>13.787005527963176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10.406728026734893</x:v>
      </x:c>
      <x:c r="F54" s="10" t="n">
        <x:f>'Листы'!$E$54+'Листы'!$D$54</x:f>
        <x:v>13.136728026734893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9.713012158926333</x:v>
      </x:c>
      <x:c r="F55" s="10" t="n">
        <x:f>'Листы'!$E$55+'Листы'!$D$55</x:f>
        <x:v>12.443012158926333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8.965780622816514</x:v>
      </x:c>
      <x:c r="F56" s="10" t="n">
        <x:f>'Листы'!$E$56+'Листы'!$D$56</x:f>
        <x:v>11.695780622816514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8.140915528273872</x:v>
      </x:c>
      <x:c r="F57" s="10" t="n">
        <x:f>'Листы'!$E$57+'Листы'!$D$57</x:f>
        <x:v>10.870915528273873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7.222450352927961</x:v>
      </x:c>
      <x:c r="F58" s="10" t="n">
        <x:f>'Листы'!$E$58+'Листы'!$D$58</x:f>
        <x:v>9.952450352927961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11.426690022247733</x:v>
      </x:c>
      <x:c r="F59" s="10" t="n">
        <x:f>'Листы'!$E$59+'Листы'!$D$59</x:f>
        <x:v>14.026690022247733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11.426690022247733</x:v>
      </x:c>
      <x:c r="F60" s="10" t="n">
        <x:f>'Листы'!$E$60+'Листы'!$D$60</x:f>
        <x:v>14.286690022247733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6.701557407760175</x:v>
      </x:c>
      <x:c r="F61" s="10" t="n">
        <x:f>'Листы'!$E$61+'Листы'!$D$61</x:f>
        <x:v>9.301557407760175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11.653726325886847</x:v>
      </x:c>
      <x:c r="F62" s="10" t="n">
        <x:f>'Листы'!$E$62+'Листы'!$D$62</x:f>
        <x:v>14.253726325886847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10.130055793254467</x:v>
      </x:c>
      <x:c r="F63" s="10" t="n">
        <x:f>'Листы'!$E$63+'Листы'!$D$63</x:f>
        <x:v>13.380055793254467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9.56534059916385</x:v>
      </x:c>
      <x:c r="F64" s="10" t="n">
        <x:f>'Листы'!$E$64+'Листы'!$D$64</x:f>
        <x:v>12.81534059916385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8.96512415873735</x:v>
      </x:c>
      <x:c r="F65" s="10" t="n">
        <x:f>'Листы'!$E$65+'Листы'!$D$65</x:f>
        <x:v>12.21512415873735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8.321728281140878</x:v>
      </x:c>
      <x:c r="F66" s="10" t="n">
        <x:f>'Листы'!$E$66+'Листы'!$D$66</x:f>
        <x:v>11.571728281140878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8.150643935206503</x:v>
      </x:c>
      <x:c r="F67" s="10" t="n">
        <x:f>'Листы'!$E$67+'Листы'!$D$67</x:f>
        <x:v>11.400643935206503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7.6653915744947065</x:v>
      </x:c>
      <x:c r="F68" s="10" t="n">
        <x:f>'Листы'!$E$68+'Листы'!$D$68</x:f>
        <x:v>11.565391574494706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11.06</x:v>
      </x:c>
      <x:c r="C74" s="10" t="n">
        <x:f>CEILING(MAX('Листы'!$F$43,'Листы'!$B$74),0.5)</x:f>
        <x:v>15</x:v>
      </x:c>
      <x:c r="D74" s="16" t="n">
        <x:f>CEILING('Листы'!$C$74,1)+2</x:f>
        <x:v>17</x:v>
      </x:c>
      <x:c r="E74" s="10" t="n">
        <x:f>'Листы'!$D$74/'Листы'!$C$74</x:f>
        <x:v>1.1333333333333333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11.06</x:v>
      </x:c>
      <x:c r="C75" s="10" t="n">
        <x:f>CEILING(MAX('Листы'!$F$44,'Листы'!$B$75),0.5)</x:f>
        <x:v>15</x:v>
      </x:c>
      <x:c r="D75" s="16" t="n">
        <x:f>CEILING('Листы'!$C$75,1)</x:f>
        <x:v>15</x:v>
      </x:c>
      <x:c r="E75" s="10" t="n">
        <x:f>'Листы'!$D$75/'Листы'!$C$75</x:f>
        <x:v>1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11.06</x:v>
      </x:c>
      <x:c r="C76" s="10" t="n">
        <x:f>CEILING(MAX('Листы'!$F$45,'Листы'!$B$76),0.5)</x:f>
        <x:v>15</x:v>
      </x:c>
      <x:c r="D76" s="16" t="n">
        <x:f>CEILING('Листы'!$C$76,1)</x:f>
        <x:v>15</x:v>
      </x:c>
      <x:c r="E76" s="10" t="n">
        <x:f>'Листы'!$D$76/'Листы'!$C$76</x:f>
        <x:v>1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11.06</x:v>
      </x:c>
      <x:c r="C77" s="10" t="n">
        <x:f>CEILING(MAX('Листы'!$F$46,'Листы'!$B$77),0.5)</x:f>
        <x:v>15</x:v>
      </x:c>
      <x:c r="D77" s="16" t="n">
        <x:f>CEILING('Листы'!$C$77,1)</x:f>
        <x:v>15</x:v>
      </x:c>
      <x:c r="E77" s="10" t="n">
        <x:f>'Листы'!$D$77/'Листы'!$C$77</x:f>
        <x:v>1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11.06</x:v>
      </x:c>
      <x:c r="C78" s="10" t="n">
        <x:f>CEILING(MAX('Листы'!$F$47,'Листы'!$B$78),0.5)</x:f>
        <x:v>15</x:v>
      </x:c>
      <x:c r="D78" s="16" t="n">
        <x:f>CEILING('Листы'!$C$78,1)</x:f>
        <x:v>15</x:v>
      </x:c>
      <x:c r="E78" s="10" t="n">
        <x:f>'Листы'!$D$78/'Листы'!$C$78</x:f>
        <x:v>1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11.06</x:v>
      </x:c>
      <x:c r="C79" s="10" t="n">
        <x:f>CEILING(MAX('Листы'!$F$48,'Листы'!$B$79),0.5)</x:f>
        <x:v>15</x:v>
      </x:c>
      <x:c r="D79" s="16" t="n">
        <x:f>CEILING('Листы'!$C$79,1)</x:f>
        <x:v>15</x:v>
      </x:c>
      <x:c r="E79" s="10" t="n">
        <x:f>'Листы'!$D$79/'Листы'!$C$79</x:f>
        <x:v>1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11.06</x:v>
      </x:c>
      <x:c r="C80" s="10" t="n">
        <x:f>MAX(MAX(CEILING(MAX('Листы'!$F$49,'Листы'!$B$80),0.5),'Листы'!C75,'Листы'!C82),'Листы'!C75,'Листы'!C82)</x:f>
        <x:v>15</x:v>
      </x:c>
      <x:c r="D80" s="16" t="n">
        <x:f>CEILING('Листы'!$C$80,1)</x:f>
        <x:v>15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0.019277794656303145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11.06</x:v>
      </x:c>
      <x:c r="C81" s="10" t="n">
        <x:f>MAX(MAX(CEILING(MAX('Листы'!$F$50,'Листы'!$B$81),0.5),'Листы'!C75,'Листы'!C82),'Листы'!C75,'Листы'!C82)</x:f>
        <x:v>15</x:v>
      </x:c>
      <x:c r="D81" s="16" t="n">
        <x:f>CEILING('Листы'!$C$81,1)</x:f>
        <x:v>15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0.9292272298156512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11.06</x:v>
      </x:c>
      <x:c r="C82" s="10" t="n">
        <x:f>CEILING(MAX('Листы'!$F$51,'Листы'!$B$82),0.5)</x:f>
        <x:v>15</x:v>
      </x:c>
      <x:c r="D82" s="16" t="n">
        <x:f>CEILING('Листы'!$C$82,1)</x:f>
        <x:v>15</x:v>
      </x:c>
      <x:c r="E82" s="10" t="n">
        <x:f>'Листы'!$D$82/'Листы'!$C$82</x:f>
        <x:v>1</x:v>
      </x:c>
      <x:c r="F82" s="9" t="n">
        <x:f>'Эквивалентный брус'!F22/100</x:f>
        <x:v>2.6698453261474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11.06</x:v>
      </x:c>
      <x:c r="C83" s="10" t="n">
        <x:f>CEILING(MAX('Листы'!$F$52,'Листы'!$B$83),0.5)</x:f>
        <x:v>14.5</x:v>
      </x:c>
      <x:c r="D83" s="16" t="n">
        <x:f>CEILING('Листы'!$C$83,1)</x:f>
        <x:v>15</x:v>
      </x:c>
      <x:c r="E83" s="10" t="n">
        <x:f>'Листы'!$D$83/'Листы'!$C$83</x:f>
        <x:v>1.0344827586206897</x:v>
      </x:c>
      <x:c r="F83" s="9" t="n">
        <x:f>'Эквивалентный брус'!F23/100</x:f>
        <x:v>4.269845326147401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11.06</x:v>
      </x:c>
      <x:c r="C84" s="10" t="n">
        <x:f>CEILING(MAX('Листы'!$F$53,'Листы'!$B$84),0.5)</x:f>
        <x:v>14</x:v>
      </x:c>
      <x:c r="D84" s="16" t="n">
        <x:f>CEILING('Листы'!$C$84,1)</x:f>
        <x:v>14</x:v>
      </x:c>
      <x:c r="E84" s="10" t="n">
        <x:f>'Листы'!$D$84/'Листы'!$C$84</x:f>
        <x:v>1</x:v>
      </x:c>
      <x:c r="F84" s="9" t="n">
        <x:f>'Эквивалентный брус'!F24/100</x:f>
        <x:v>5.8698453261474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11.06</x:v>
      </x:c>
      <x:c r="C85" s="10" t="n">
        <x:f>CEILING(MAX('Листы'!$F$54,'Листы'!$B$85),0.5)</x:f>
        <x:v>13.5</x:v>
      </x:c>
      <x:c r="D85" s="16" t="n">
        <x:f>CEILING('Листы'!$C$85,1)</x:f>
        <x:v>14</x:v>
      </x:c>
      <x:c r="E85" s="10" t="n">
        <x:f>'Листы'!$D$85/'Листы'!$C$85</x:f>
        <x:v>1.037037037037037</x:v>
      </x:c>
      <x:c r="F85" s="9" t="n">
        <x:f>'Эквивалентный брус'!F25/100</x:f>
        <x:v>7.4698453261474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11.06</x:v>
      </x:c>
      <x:c r="C86" s="10" t="n">
        <x:f>CEILING(MAX('Листы'!$F$55,'Листы'!$B$86),0.5)</x:f>
        <x:v>12.5</x:v>
      </x:c>
      <x:c r="D86" s="16" t="n">
        <x:f>CEILING('Листы'!$C$86,1)</x:f>
        <x:v>13</x:v>
      </x:c>
      <x:c r="E86" s="10" t="n">
        <x:f>'Листы'!$D$86/'Листы'!$C$86</x:f>
        <x:v>1.04</x:v>
      </x:c>
      <x:c r="F86" s="9" t="n">
        <x:f>'Эквивалентный брус'!F26/100</x:f>
        <x:v>9.0698453261474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11.06</x:v>
      </x:c>
      <x:c r="C87" s="10" t="n">
        <x:f>CEILING(MAX('Листы'!$F$56,'Листы'!$B$87),0.5)</x:f>
        <x:v>12</x:v>
      </x:c>
      <x:c r="D87" s="16" t="n">
        <x:f>CEILING('Листы'!$C$87,1)</x:f>
        <x:v>12</x:v>
      </x:c>
      <x:c r="E87" s="10" t="n">
        <x:f>'Листы'!$D$87/'Листы'!$C$87</x:f>
        <x:v>1</x:v>
      </x:c>
      <x:c r="F87" s="9" t="n">
        <x:f>'Эквивалентный брус'!F27/100</x:f>
        <x:v>10.67863399461055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11.06</x:v>
      </x:c>
      <x:c r="C88" s="10" t="n">
        <x:f>CEILING(MAX('Листы'!$F$57,'Листы'!$B$88),0.5)</x:f>
        <x:v>11.5</x:v>
      </x:c>
      <x:c r="D88" s="16" t="n">
        <x:f>CEILING('Листы'!$C$88,1)</x:f>
        <x:v>12</x:v>
      </x:c>
      <x:c r="E88" s="10" t="n">
        <x:f>'Листы'!$D$88/'Листы'!$C$88</x:f>
        <x:v>1.0434782608695652</x:v>
      </x:c>
      <x:c r="F88" s="9" t="n">
        <x:f>'Эквивалентный брус'!F28/100</x:f>
        <x:v>12.296211331536849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11.06</x:v>
      </x:c>
      <x:c r="C89" s="10" t="n">
        <x:f>CEILING(MAX('Листы'!$F$58,'Листы'!$B$89),0.5)</x:f>
        <x:v>11.5</x:v>
      </x:c>
      <x:c r="D89" s="16" t="n">
        <x:f>CEILING('Листы'!$C$89,1)</x:f>
        <x:v>12</x:v>
      </x:c>
      <x:c r="E89" s="10" t="n">
        <x:f>'Листы'!$D$89/'Листы'!$C$89</x:f>
        <x:v>1.0434782608695652</x:v>
      </x:c>
      <x:c r="F89" s="9" t="n">
        <x:f>'Эквивалентный брус'!F29/100</x:f>
        <x:v>13.8525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9.865</x:v>
      </x:c>
      <x:c r="C90" s="10" t="n">
        <x:f>MAX(CEILING(MAX('Листы'!F59,'Листы'!B90),0.5),'Листы'!C75,'Листы'!C76,'Листы'!C77,'Листы'!C78,'Листы'!C79,'Листы'!C80)</x:f>
        <x:v>15</x:v>
      </x:c>
      <x:c r="D90" s="16" t="n">
        <x:f>CEILING('Листы'!$C$90,1)</x:f>
        <x:v>15</x:v>
      </x:c>
      <x:c r="E90" s="10" t="n">
        <x:f>'Листы'!$D$90/'Листы'!$C$90</x:f>
        <x:v>1</x:v>
      </x:c>
      <x:c r="F90" s="9" t="n">
        <x:f>'Эквивалентный брус'!F31/100</x:f>
        <x:v>1.7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9.865</x:v>
      </x:c>
      <x:c r="C91" s="10" t="n">
        <x:f>MAX(CEILING(MAX('Листы'!F60,'Листы'!B91),0.5),'Листы'!C75,'Листы'!C76,'Листы'!C77,'Листы'!C78,'Листы'!C79,'Листы'!C80)</x:f>
        <x:v>15</x:v>
      </x:c>
      <x:c r="D91" s="16" t="n">
        <x:f>CEILING('Листы'!$C$91,1)</x:f>
        <x:v>15</x:v>
      </x:c>
      <x:c r="E91" s="10" t="n">
        <x:f>'Листы'!$D$91/'Листы'!$C$91</x:f>
        <x:v>1</x:v>
      </x:c>
      <x:c r="F91" s="9" t="n">
        <x:f>'Эквивалентный брус'!F30/100</x:f>
        <x:v>1.7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10.95</x:v>
      </x:c>
      <x:c r="C92" s="10" t="n">
        <x:f>CEILING(MAX('Листы'!$F$61,'Листы'!$B$92),0.5)</x:f>
        <x:v>11</x:v>
      </x:c>
      <x:c r="D92" s="16" t="n">
        <x:f>CEILING('Листы'!$C$92,1)</x:f>
        <x:v>11</x:v>
      </x:c>
      <x:c r="E92" s="10" t="n">
        <x:f>'Листы'!$D$92/'Листы'!$C$92</x:f>
        <x:v>1</x:v>
      </x:c>
      <x:c r="F92" s="9" t="n">
        <x:f>'Эквивалентный брус'!F32/100</x:f>
        <x:v>14.85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9.48</x:v>
      </x:c>
      <x:c r="C93" s="10" t="n">
        <x:f>CEILING(MAX('Листы'!$F$62,'Листы'!$B$93),0.5)</x:f>
        <x:v>14.5</x:v>
      </x:c>
      <x:c r="D93" s="16" t="n">
        <x:f>CEILING('Листы'!$C$93,1)</x:f>
        <x:v>15</x:v>
      </x:c>
      <x:c r="E93" s="10" t="n">
        <x:f>'Листы'!$D$93/'Листы'!$C$93</x:f>
        <x:v>1.0344827586206897</x:v>
      </x:c>
      <x:c r="F93" s="9" t="n">
        <x:f>'Эквивалентный брус'!F33/100</x:f>
        <x:v>2.55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9.48</x:v>
      </x:c>
      <x:c r="C94" s="10" t="n">
        <x:f>CEILING(MAX('Листы'!$F$63,'Листы'!$B$94),0.5)</x:f>
        <x:v>13.5</x:v>
      </x:c>
      <x:c r="D94" s="16" t="n">
        <x:f>CEILING('Листы'!$C$94,1)</x:f>
        <x:v>14</x:v>
      </x:c>
      <x:c r="E94" s="10" t="n">
        <x:f>'Листы'!$D$94/'Листы'!$C$94</x:f>
        <x:v>1.037037037037037</x:v>
      </x:c>
      <x:c r="F94" s="9" t="n">
        <x:f>'Эквивалентный брус'!F34/100</x:f>
        <x:v>4.25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9.48</x:v>
      </x:c>
      <x:c r="C95" s="10" t="n">
        <x:f>CEILING(MAX('Листы'!$F$64,'Листы'!$B$95),0.5)</x:f>
        <x:v>13</x:v>
      </x:c>
      <x:c r="D95" s="16" t="n">
        <x:f>CEILING('Листы'!$C$95,1)</x:f>
        <x:v>13</x:v>
      </x:c>
      <x:c r="E95" s="10" t="n">
        <x:f>'Листы'!$D$95/'Листы'!$C$95</x:f>
        <x:v>1</x:v>
      </x:c>
      <x:c r="F95" s="9" t="n">
        <x:f>'Эквивалентный брус'!F35/100</x:f>
        <x:v>5.95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9.48</x:v>
      </x:c>
      <x:c r="C96" s="10" t="n">
        <x:f>CEILING(MAX('Листы'!$F$65,'Листы'!$B$96),0.5)</x:f>
        <x:v>12.5</x:v>
      </x:c>
      <x:c r="D96" s="16" t="n">
        <x:f>CEILING('Листы'!$C$96,1)</x:f>
        <x:v>13</x:v>
      </x:c>
      <x:c r="E96" s="10" t="n">
        <x:f>'Листы'!$D$96/'Листы'!$C$96</x:f>
        <x:v>1.04</x:v>
      </x:c>
      <x:c r="F96" s="9" t="n">
        <x:f>'Эквивалентный брус'!F36/100</x:f>
        <x:v>7.65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9.48</x:v>
      </x:c>
      <x:c r="C97" s="10" t="n">
        <x:f>CEILING(MAX('Листы'!$F$66,'Листы'!$B$97),0.5)</x:f>
        <x:v>12</x:v>
      </x:c>
      <x:c r="D97" s="16" t="n">
        <x:f>CEILING('Листы'!$C$97,1)</x:f>
        <x:v>12</x:v>
      </x:c>
      <x:c r="E97" s="10" t="n">
        <x:f>'Листы'!$D$97/'Листы'!$C$97</x:f>
        <x:v>1</x:v>
      </x:c>
      <x:c r="F97" s="9" t="n">
        <x:f>'Эквивалентный брус'!F37/100</x:f>
        <x:v>9.35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9.48</x:v>
      </x:c>
      <x:c r="C98" s="10" t="n">
        <x:f>CEILING(MAX('Листы'!$F$67,'Листы'!$B$98),0.5)</x:f>
        <x:v>11.5</x:v>
      </x:c>
      <x:c r="D98" s="16" t="n">
        <x:f>CEILING('Листы'!$C$98,1)</x:f>
        <x:v>12</x:v>
      </x:c>
      <x:c r="E98" s="10" t="n">
        <x:f>'Листы'!$D$98/'Листы'!$C$98</x:f>
        <x:v>1.0434782608695652</x:v>
      </x:c>
      <x:c r="F98" s="9" t="n">
        <x:f>'Эквивалентный брус'!F38/100</x:f>
        <x:v>11.05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9.48</x:v>
      </x:c>
      <x:c r="C99" s="10" t="n">
        <x:f>CEILING(MAX('Листы'!$F$68,'Листы'!$B$99),0.5)</x:f>
        <x:v>12</x:v>
      </x:c>
      <x:c r="D99" s="16" t="n">
        <x:f>CEILING('Листы'!$C$99,1)</x:f>
        <x:v>12</x:v>
      </x:c>
      <x:c r="E99" s="10" t="n">
        <x:f>'Листы'!$D$99/'Листы'!$C$99</x:f>
        <x:v>1</x:v>
      </x:c>
      <x:c r="F99" s="9" t="n">
        <x:f>'Эквивалентный брус'!F39/100</x:f>
        <x:v>13.28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0.75</x:v>
      </x:c>
      <x:c r="C11" s="10" t="n">
        <x:f>0.023*'Исходные данные'!$B$8+5.8</x:f>
        <x:v>8.997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11.699340874999999</x:v>
      </x:c>
      <x:c r="C19" s="15" t="n">
        <x:f>CEILING('Флоры и киль'!$B$19,1)</x:f>
        <x:v>12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15.425777808716063</x:v>
      </x:c>
      <x:c r="C20" s="15" t="n">
        <x:f>MAX(CEILING('Флоры и киль'!$B$20,1),'Флоры и киль'!$C$19+1)</x:f>
        <x:v>16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12</x:v>
      </x:c>
      <x:c r="C21" s="15" t="n">
        <x:f>'Флоры и киль'!$C$20</x:f>
        <x:v>16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0.75</x:v>
      </x:c>
      <x:c r="D12" s="9" t="n">
        <x:f>'Исходные данные'!B20</x:f>
        <x:v>2.0999999999999996</x:v>
      </x:c>
      <x:c r="E12" s="10" t="n">
        <x:f>'Нагрузки'!$C$83</x:f>
        <x:v>152.16293016114957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0.75</x:v>
      </x:c>
      <x:c r="D13" s="9" t="n">
        <x:f>'Исходные данные'!B20</x:f>
        <x:v>2.0999999999999996</x:v>
      </x:c>
      <x:c r="E13" s="10" t="n">
        <x:f>'Нагрузки'!$B$84</x:f>
        <x:v>174.80829663716816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</x:v>
      </x:c>
      <x:c r="D14" s="9" t="n">
        <x:f>'Исходные данные'!B23-'Исходные данные'!B14</x:f>
        <x:v>3.3</x:v>
      </x:c>
      <x:c r="E14" s="10" t="n">
        <x:f>'Нагрузки'!$E$103</x:f>
        <x:v>158.21713413716813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</x:v>
      </x:c>
      <x:c r="D15" s="9" t="n">
        <x:f>'Исходные данные'!B24-'Исходные данные'!B23</x:f>
        <x:v>3.25</x:v>
      </x:c>
      <x:c r="E15" s="10" t="n">
        <x:f>'Нагрузки'!$E$104</x:f>
        <x:v>125.28619038716813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</x:v>
      </x:c>
      <x:c r="D16" s="9" t="n">
        <x:f>'Исходные данные'!B25-'Исходные данные'!B24</x:f>
        <x:v>3.25</x:v>
      </x:c>
      <x:c r="E16" s="10" t="n">
        <x:f>'Нагрузки'!$E$105</x:f>
        <x:v>92.60662788716814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</x:v>
      </x:c>
      <x:c r="D17" s="9" t="n">
        <x:f>'Исходные данные'!B10-'Исходные данные'!B25</x:f>
        <x:v>3.0999999999999996</x:v>
      </x:c>
      <x:c r="E17" s="10" t="n">
        <x:f>'Нагрузки'!$E$106</x:f>
        <x:v>60.681209137168125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</x:v>
      </x:c>
      <x:c r="D18" s="9" t="n">
        <x:f>'Исходные данные'!B23-'Исходные данные'!B14</x:f>
        <x:v>3.3</x:v>
      </x:c>
      <x:c r="E18" s="10" t="n">
        <x:f>'Нагрузки'!$B$107</x:f>
        <x:v>158.21713413716813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</x:v>
      </x:c>
      <x:c r="D19" s="9" t="n">
        <x:f>'Исходные данные'!B24-'Исходные данные'!B23</x:f>
        <x:v>3.25</x:v>
      </x:c>
      <x:c r="E19" s="10" t="n">
        <x:f>'Нагрузки'!$B$108</x:f>
        <x:v>125.28619038716813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</x:v>
      </x:c>
      <x:c r="D20" s="9" t="n">
        <x:f>'Исходные данные'!B25-'Исходные данные'!B24</x:f>
        <x:v>3.25</x:v>
      </x:c>
      <x:c r="E20" s="10" t="n">
        <x:f>'Нагрузки'!$B$109</x:f>
        <x:v>92.60662788716814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</x:v>
      </x:c>
      <x:c r="D21" s="9" t="n">
        <x:f>('Исходные данные'!B10+'Исходные данные'!B17*'Исходные данные'!B15/('Исходные данные'!B9/2))-'Исходные данные'!B25</x:f>
        <x:v>3.16</x:v>
      </x:c>
      <x:c r="E21" s="10" t="n">
        <x:f>'Нагрузки'!$B$110</x:f>
        <x:v>60.379551637168134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0.75</x:v>
      </x:c>
      <x:c r="D22" s="10" t="n">
        <x:f>'Исходные данные'!$B$20</x:f>
        <x:v>2.0999999999999996</x:v>
      </x:c>
      <x:c r="E22" s="10" t="n">
        <x:f>'Нагрузки'!$B$85</x:f>
        <x:v>45.09557163716814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v>0.5</x:v>
      </x:c>
      <x:c r="D23" s="10" t="n">
        <x:f>'Исходные данные'!$B$20</x:f>
        <x:v>2.0999999999999996</x:v>
      </x:c>
      <x:c r="E23" s="10" t="n">
        <x:f>'Нагрузки'!$B$85</x:f>
        <x:v>45.09557163716814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356.9353840482283</x:v>
      </x:c>
      <x:c r="F29" s="10" t="n">
        <x:f>IF('Балки'!$E$29&lt;200,MIN(0.07+6/'Балки'!$E$29,0.25),(0.01+1/'Балки'!$E$29)/0.15)</x:f>
        <x:v>0.08534418356357898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310.6482060646</x:v>
      </x:c>
      <x:c r="F30" s="10" t="n">
        <x:f>IF('Балки'!$E$30&lt;200,MIN(0.07+6/'Балки'!$E$30,0.25),(0.01+1/'Балки'!$E$30)/0.15)</x:f>
        <x:v>0.0881271693720334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657.9864776473718</x:v>
      </x:c>
      <x:c r="F31" s="10" t="n">
        <x:f>IF('Балки'!$E$31&lt;200,MIN(0.07+6/'Балки'!$E$31,0.25),(0.01+1/'Балки'!$E$31)/0.15)</x:f>
        <x:v>0.07679858714397392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505.3653956219991</x:v>
      </x:c>
      <x:c r="F32" s="10" t="n">
        <x:f>IF('Балки'!$E$32&lt;200,MIN(0.07+6/'Балки'!$E$32,0.25),(0.01+1/'Балки'!$E$32)/0.15)</x:f>
        <x:v>0.07985844181474819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373.5462383746587</x:v>
      </x:c>
      <x:c r="F33" s="10" t="n">
        <x:f>IF('Балки'!$E$33&lt;200,MIN(0.07+6/'Балки'!$E$33,0.25),(0.01+1/'Балки'!$E$33)/0.15)</x:f>
        <x:v>0.08451363173228767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222.6963959987615</x:v>
      </x:c>
      <x:c r="F34" s="10" t="n">
        <x:f>IF('Балки'!$E$34&lt;200,MIN(0.07+6/'Балки'!$E$34,0.25),(0.01+1/'Балки'!$E$34)/0.15)</x:f>
        <x:v>0.09660278950676753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570.2549472943888</x:v>
      </x:c>
      <x:c r="F35" s="10" t="n">
        <x:f>IF('Балки'!$E$35&lt;200,MIN(0.07+6/'Балки'!$E$35,0.25),(0.01+1/'Балки'!$E$35)/0.15)</x:f>
        <x:v>0.07835734414048272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437.98334287239925</x:v>
      </x:c>
      <x:c r="F36" s="10" t="n">
        <x:f>IF('Балки'!$E$36&lt;200,MIN(0.07+6/'Балки'!$E$36,0.25),(0.01+1/'Балки'!$E$36)/0.15)</x:f>
        <x:v>0.0818879456836838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323.74007325803757</x:v>
      </x:c>
      <x:c r="F37" s="10" t="n">
        <x:f>IF('Балки'!$E$37&lt;200,MIN(0.07+6/'Балки'!$E$37,0.25),(0.01+1/'Балки'!$E$37)/0.15)</x:f>
        <x:v>0.08725931866546013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199.5499931818791</x:v>
      </x:c>
      <x:c r="F38" s="10" t="n">
        <x:f>IF('Балки'!$E$38&lt;200,MIN(0.07+6/'Балки'!$E$38,0.25),(0.01+1/'Балки'!$E$38)/0.15)</x:f>
        <x:v>0.10006765324482533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117.5363303309169</x:v>
      </x:c>
      <x:c r="F39" s="10" t="n">
        <x:f>IF('Балки'!$E$39&lt;200,MIN(0.07+6/'Балки'!$E$39,0.25),(0.01+1/'Балки'!$E$39)/0.15)</x:f>
        <x:v>0.12104804602208816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78.35755355394461</x:v>
      </x:c>
      <x:c r="F40" s="10" t="n">
        <x:f>IF('Балки'!$E$40&lt;200,MIN(0.07+6/'Балки'!$E$40,0.25),(0.01+1/'Балки'!$E$40)/0.15)</x:f>
        <x:v>0.1465720690331322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1.2218948772653053</x:v>
      </x:c>
      <x:c r="C46" s="10" t="n">
        <x:f>'Балки'!$E$29*'Балки'!$B$46</x:f>
        <x:v>436.1375172832545</x:v>
      </x:c>
      <x:c r="D46" s="10" t="n">
        <x:f>5.5+0.025*'Исходные данные'!$B$8</x:f>
        <x:v>8.975</x:v>
      </x:c>
      <x:c r="E46" s="10" t="n">
        <x:f>'Листы'!$D$75</x:f>
        <x:v>15</x:v>
      </x:c>
      <x:c r="F46" s="10" t="n">
        <x:f>MIN('Балки'!$D$12/6,'Балки'!$C$12)</x:f>
        <x:v>0.3499999999999999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1.2291306403672868</x:v>
      </x:c>
      <x:c r="C47" s="10" t="n">
        <x:f>'Балки'!$E$30*'Балки'!$B$47</x:f>
        <x:v>381.82722844913064</x:v>
      </x:c>
      <x:c r="D47" s="10" t="n">
        <x:f>5.5+0.025*'Исходные данные'!$B$8</x:f>
        <x:v>8.975</x:v>
      </x:c>
      <x:c r="E47" s="10" t="n">
        <x:f>'Листы'!$D$90</x:f>
        <x:v>15</x:v>
      </x:c>
      <x:c r="F47" s="10" t="n">
        <x:f>MIN('Балки'!$D$13/6,'Балки'!$C$13)</x:f>
        <x:v>0.3499999999999999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1.209660142903049</x:v>
      </x:c>
      <x:c r="C48" s="10" t="n">
        <x:f>'Балки'!$E$31*'Балки'!$B$48</x:f>
        <x:v>795.9400165791935</x:v>
      </x:c>
      <x:c r="D48" s="10" t="n">
        <x:f>5.5+0.025*'Исходные данные'!$B$8</x:f>
        <x:v>8.975</x:v>
      </x:c>
      <x:c r="E48" s="10" t="n">
        <x:f>'Листы'!$D$83</x:f>
        <x:v>15</x:v>
      </x:c>
      <x:c r="F48" s="10" t="n">
        <x:f>MIN('Балки'!$D$14/6,'Балки'!$C$14)</x:f>
        <x:v>0.5499999999999999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1.2180135461542625</x:v>
      </x:c>
      <x:c r="C49" s="10" t="n">
        <x:f>'Балки'!$E$32*'Балки'!$B$49</x:f>
        <x:v>615.5418976252029</x:v>
      </x:c>
      <x:c r="D49" s="10" t="n">
        <x:f>5.5+0.025*'Исходные данные'!$B$8</x:f>
        <x:v>8.975</x:v>
      </x:c>
      <x:c r="E49" s="10" t="n">
        <x:f>'Листы'!$D$85</x:f>
        <x:v>14</x:v>
      </x:c>
      <x:c r="F49" s="10" t="n">
        <x:f>MIN('Балки'!$D$15/6,'Балки'!$C$15)</x:f>
        <x:v>0.5416666666666666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1.2307222146291452</x:v>
      </x:c>
      <x:c r="C50" s="10" t="n">
        <x:f>'Балки'!$E$33*'Балки'!$B$50</x:f>
        <x:v>459.7316537588465</x:v>
      </x:c>
      <x:c r="D50" s="10" t="n">
        <x:f>5.5+0.025*'Исходные данные'!$B$8</x:f>
        <x:v>8.975</x:v>
      </x:c>
      <x:c r="E50" s="10" t="n">
        <x:f>'Листы'!$D$87</x:f>
        <x:v>12</x:v>
      </x:c>
      <x:c r="F50" s="10" t="n">
        <x:f>MIN('Балки'!$D$16/6,'Балки'!$C$16)</x:f>
        <x:v>0.5416666666666666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1.2637256153534753</x:v>
      </x:c>
      <x:c r="C51" s="10" t="n">
        <x:f>'Балки'!$E$34*'Балки'!$B$51</x:f>
        <x:v>281.4271400705361</x:v>
      </x:c>
      <x:c r="D51" s="10" t="n">
        <x:f>5.5+0.025*'Исходные данные'!$B$8</x:f>
        <x:v>8.975</x:v>
      </x:c>
      <x:c r="E51" s="10" t="n">
        <x:f>'Листы'!$D$87</x:f>
        <x:v>12</x:v>
      </x:c>
      <x:c r="F51" s="10" t="n">
        <x:f>MIN('Балки'!$D$17/6,'Балки'!$C$17)</x:f>
        <x:v>0.5166666666666666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1.2139155495035179</x:v>
      </x:c>
      <x:c r="C52" s="10" t="n">
        <x:f>'Балки'!$E$35*'Балки'!$B$52</x:f>
        <x:v>692.2413477019676</x:v>
      </x:c>
      <x:c r="D52" s="10" t="n">
        <x:f>5.5+0.025*'Исходные данные'!$B$8</x:f>
        <x:v>8.975</x:v>
      </x:c>
      <x:c r="E52" s="10" t="n">
        <x:f>'Листы'!$D$94</x:f>
        <x:v>14</x:v>
      </x:c>
      <x:c r="F52" s="10" t="n">
        <x:f>MIN('Балки'!$D$18/6,'Балки'!$C$18)</x:f>
        <x:v>0.5499999999999999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1.2235540917164567</x:v>
      </x:c>
      <x:c r="C53" s="10" t="n">
        <x:f>'Балки'!$E$36*'Балки'!$B$53</x:f>
        <x:v>535.8963112751759</x:v>
      </x:c>
      <x:c r="D53" s="10" t="n">
        <x:f>5.5+0.025*'Исходные данные'!$B$8</x:f>
        <x:v>8.975</x:v>
      </x:c>
      <x:c r="E53" s="10" t="n">
        <x:f>'Листы'!$D$96</x:f>
        <x:v>13</x:v>
      </x:c>
      <x:c r="F53" s="10" t="n">
        <x:f>MIN('Балки'!$D$19/6,'Балки'!$C$19)</x:f>
        <x:v>0.5416666666666666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1.2382179399567061</x:v>
      </x:c>
      <x:c r="C54" s="10" t="n">
        <x:f>'Балки'!$E$37*'Балки'!$B$54</x:f>
        <x:v>400.8607665910004</x:v>
      </x:c>
      <x:c r="D54" s="10" t="n">
        <x:f>5.5+0.025*'Исходные данные'!$B$8</x:f>
        <x:v>8.975</x:v>
      </x:c>
      <x:c r="E54" s="10" t="n">
        <x:f>'Листы'!$D$97</x:f>
        <x:v>12</x:v>
      </x:c>
      <x:c r="F54" s="10" t="n">
        <x:f>MIN('Балки'!$D$20/6,'Балки'!$C$20)</x:f>
        <x:v>0.5416666666666666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1.273184693358373</x:v>
      </x:c>
      <x:c r="C55" s="10" t="n">
        <x:f>'Балки'!$E$38*'Балки'!$B$55</x:f>
        <x:v>254.06399687893617</x:v>
      </x:c>
      <x:c r="D55" s="10" t="n">
        <x:f>5.5+0.025*'Исходные данные'!$B$8</x:f>
        <x:v>8.975</x:v>
      </x:c>
      <x:c r="E55" s="10" t="n">
        <x:f>'Листы'!$D$98</x:f>
        <x:v>12</x:v>
      </x:c>
      <x:c r="F55" s="10" t="n">
        <x:f>MIN('Балки'!$D$21/6,'Балки'!$C$21)</x:f>
        <x:v>0.5266666666666667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1.3147249196574293</x:v>
      </x:c>
      <x:c r="C56" s="10" t="n">
        <x:f>'Балки'!$E$39*'Балки'!$B$56</x:f>
        <x:v>154.5279424511438</x:v>
      </x:c>
      <x:c r="D56" s="10" t="n">
        <x:f>6.7+0.02*'Исходные данные'!$B$8</x:f>
        <x:v>9.48</x:v>
      </x:c>
      <x:c r="E56" s="10" t="n">
        <x:f>'Листы'!$D$92</x:f>
        <x:v>11</x:v>
      </x:c>
      <x:c r="F56" s="10" t="n">
        <x:f>MIN('Балки'!$D$22/6,'Балки'!$C$22)</x:f>
        <x:v>0.3499999999999999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1.3810873794861438</x:v>
      </x:c>
      <x:c r="C57" s="10" t="n">
        <x:f>'Балки'!$E$40*'Балки'!$B$57</x:f>
        <x:v>108.21862830076253</x:v>
      </x:c>
      <x:c r="D57" s="10" t="n">
        <x:f>6.7+0.02*'Исходные данные'!$B$8</x:f>
        <x:v>9.48</x:v>
      </x:c>
      <x:c r="E57" s="10" t="n">
        <x:f>'Листы'!$D$92</x:f>
        <x:v>11</x:v>
      </x:c>
      <x:c r="F57" s="10" t="n">
        <x:f>MIN('Балки'!$D$23/6,'Балки'!$C$23)</x:f>
        <x:v>0.3499999999999999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260x11</x:v>
      </x:c>
      <x:c r="C63" s="10" t="n">
        <x:f>'Сечения'!$E$45</x:f>
        <x:v>451.58752878375554</x:v>
      </x:c>
      <x:c r="D63" s="10" t="n">
        <x:f>'Балки'!$C$63/'Балки'!$C$46</x:f>
        <x:v>1.0354246330302899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260x10</x:v>
      </x:c>
      <x:c r="C64" s="10" t="n">
        <x:f>'Сечения'!$E$46</x:f>
        <x:v>435.0267293697085</x:v>
      </x:c>
      <x:c r="D64" s="10" t="n">
        <x:f>'Балки'!$C$64/'Балки'!$C$47</x:f>
        <x:v>1.1393287250274384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320x12</x:v>
      </x:c>
      <x:c r="C65" s="10" t="n">
        <x:f>'Сечения'!$E$47</x:f>
        <x:v>807.3033450433317</x:v>
      </x:c>
      <x:c r="D65" s="10" t="n">
        <x:f>'Балки'!$C$65/'Балки'!$C$48</x:f>
        <x:v>1.0142766141008661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300x11</x:v>
      </x:c>
      <x:c r="C66" s="10" t="n">
        <x:f>'Сечения'!$E$48</x:f>
        <x:v>658.856051793629</x:v>
      </x:c>
      <x:c r="D66" s="10" t="n">
        <x:f>'Балки'!$C$66/'Балки'!$C$49</x:f>
        <x:v>1.0703675157378154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260x12</x:v>
      </x:c>
      <x:c r="C67" s="10" t="n">
        <x:f>'Сечения'!$E$49</x:f>
        <x:v>473.1070940258387</x:v>
      </x:c>
      <x:c r="D67" s="10" t="n">
        <x:f>'Балки'!$C$67/'Балки'!$C$50</x:f>
        <x:v>1.0290940163846285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220x10</x:v>
      </x:c>
      <x:c r="C68" s="10" t="n">
        <x:f>'Сечения'!$E$50</x:f>
        <x:v>291.0972010178117</x:v>
      </x:c>
      <x:c r="D68" s="10" t="n">
        <x:f>'Балки'!$C$68/'Балки'!$C$51</x:f>
        <x:v>1.034360797415814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300x13</x:v>
      </x:c>
      <x:c r="C69" s="10" t="n">
        <x:f>'Сечения'!$E$51</x:f>
        <x:v>711.1949228680736</x:v>
      </x:c>
      <x:c r="D69" s="10" t="n">
        <x:f>'Балки'!$C$69/'Балки'!$C$52</x:f>
        <x:v>1.0273800102074604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280x11</x:v>
      </x:c>
      <x:c r="C70" s="10" t="n">
        <x:f>'Сечения'!$E$52</x:f>
        <x:v>548.7216318477474</x:v>
      </x:c>
      <x:c r="D70" s="10" t="n">
        <x:f>'Балки'!$C$70/'Балки'!$C$53</x:f>
        <x:v>1.0239324666035738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260x10</x:v>
      </x:c>
      <x:c r="C71" s="10" t="n">
        <x:f>'Сечения'!$E$53</x:f>
        <x:v>438.59142108143925</x:v>
      </x:c>
      <x:c r="D71" s="10" t="n">
        <x:f>'Балки'!$C$71/'Балки'!$C$54</x:f>
        <x:v>1.0941240890479451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220x10</x:v>
      </x:c>
      <x:c r="C72" s="10" t="n">
        <x:f>'Сечения'!$E$54</x:f>
        <x:v>291.4717859952793</x:v>
      </x:c>
      <x:c r="D72" s="10" t="n">
        <x:f>'Балки'!$C$72/'Балки'!$C$55</x:f>
        <x:v>1.1472376628561356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180x10</x:v>
      </x:c>
      <x:c r="C73" s="10" t="n">
        <x:f>'Сечения'!$E$55</x:f>
        <x:v>172.21809715085962</x:v>
      </x:c>
      <x:c r="D73" s="10" t="n">
        <x:f>'Балки'!$C$73/'Балки'!$C$56</x:f>
        <x:v>1.1144786788661787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180x10</x:v>
      </x:c>
      <x:c r="C74" s="10" t="n">
        <x:f>'Сечения'!$E$56</x:f>
        <x:v>172.21809715085962</x:v>
      </x:c>
      <x:c r="D74" s="10" t="n">
        <x:f>'Балки'!$C$74/'Балки'!$C$57</x:f>
        <x:v>1.5913905013860365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260x11</x:v>
      </x:c>
      <x:c r="C11" s="10" t="n">
        <x:f>'HP DIN1019'!B20/10</x:f>
        <x:v>26</x:v>
      </x:c>
      <x:c r="D11" s="10" t="n">
        <x:f>'HP DIN1019'!C20/10</x:f>
        <x:v>1.1</x:v>
      </x:c>
      <x:c r="E11" s="10" t="n">
        <x:f>'HP DIN1019'!F20/1</x:f>
        <x:v>38.7</x:v>
      </x:c>
      <x:c r="F11" s="10" t="n">
        <x:f>'HP DIN1019'!C51/1</x:f>
        <x:v>16</x:v>
      </x:c>
    </x:row>
    <x:row r="12" ht="32" customHeight="1">
      <x:c r="A12" s="3" t="str">
        <x:v>IB-L</x:v>
      </x:c>
      <x:c r="B12" s="10" t="str">
        <x:f>'Балки'!$B$64</x:f>
        <x:v>HP 260x10</x:v>
      </x:c>
      <x:c r="C12" s="10" t="n">
        <x:f>'HP DIN1019'!B19/10</x:f>
        <x:v>26</x:v>
      </x:c>
      <x:c r="D12" s="10" t="n">
        <x:f>'HP DIN1019'!C19/10</x:f>
        <x:v>1</x:v>
      </x:c>
      <x:c r="E12" s="10" t="n">
        <x:f>'HP DIN1019'!F19/1</x:f>
        <x:v>36.1</x:v>
      </x:c>
      <x:c r="F12" s="10" t="n">
        <x:f>'HP DIN1019'!C50/1</x:f>
        <x:v>16.2</x:v>
      </x:c>
    </x:row>
    <x:row r="13" ht="32" customHeight="1">
      <x:c r="A13" s="3" t="str">
        <x:v>OF1</x:v>
      </x:c>
      <x:c r="B13" s="10" t="str">
        <x:f>'Балки'!$B$65</x:f>
        <x:v>HP 320x12</x:v>
      </x:c>
      <x:c r="C13" s="10" t="n">
        <x:f>'HP DIN1019'!B27/10</x:f>
        <x:v>32</x:v>
      </x:c>
      <x:c r="D13" s="10" t="n">
        <x:f>'HP DIN1019'!C27/10</x:f>
        <x:v>1.2</x:v>
      </x:c>
      <x:c r="E13" s="10" t="n">
        <x:f>'HP DIN1019'!F27/1</x:f>
        <x:v>54.2</x:v>
      </x:c>
      <x:c r="F13" s="10" t="n">
        <x:f>'HP DIN1019'!C58/1</x:f>
        <x:v>20.1</x:v>
      </x:c>
    </x:row>
    <x:row r="14" ht="32" customHeight="1">
      <x:c r="A14" s="3" t="str">
        <x:v>OF2</x:v>
      </x:c>
      <x:c r="B14" s="10" t="str">
        <x:f>'Балки'!$B$66</x:f>
        <x:v>HP 300x11</x:v>
      </x:c>
      <x:c r="C14" s="10" t="n">
        <x:f>'HP DIN1019'!B24/10</x:f>
        <x:v>30</x:v>
      </x:c>
      <x:c r="D14" s="10" t="n">
        <x:f>'HP DIN1019'!C24/10</x:f>
        <x:v>1.1</x:v>
      </x:c>
      <x:c r="E14" s="10" t="n">
        <x:f>'HP DIN1019'!F24/1</x:f>
        <x:v>46.7</x:v>
      </x:c>
      <x:c r="F14" s="10" t="n">
        <x:f>'HP DIN1019'!C55/1</x:f>
        <x:v>18.9</x:v>
      </x:c>
    </x:row>
    <x:row r="15" ht="32" customHeight="1">
      <x:c r="A15" s="3" t="str">
        <x:v>OF3</x:v>
      </x:c>
      <x:c r="B15" s="10" t="str">
        <x:f>'Балки'!$B$67</x:f>
        <x:v>HP 260x12</x:v>
      </x:c>
      <x:c r="C15" s="10" t="n">
        <x:f>'HP DIN1019'!B21/10</x:f>
        <x:v>26</x:v>
      </x:c>
      <x:c r="D15" s="10" t="n">
        <x:f>'HP DIN1019'!C21/10</x:f>
        <x:v>1.2</x:v>
      </x:c>
      <x:c r="E15" s="10" t="n">
        <x:f>'HP DIN1019'!F21/1</x:f>
        <x:v>41.3</x:v>
      </x:c>
      <x:c r="F15" s="10" t="n">
        <x:f>'HP DIN1019'!C52/1</x:f>
        <x:v>15.8</x:v>
      </x:c>
    </x:row>
    <x:row r="16" ht="32" customHeight="1">
      <x:c r="A16" s="3" t="str">
        <x:v>OF4</x:v>
      </x:c>
      <x:c r="B16" s="10" t="str">
        <x:f>'Балки'!$B$68</x:f>
        <x:v>HP 220x10</x:v>
      </x:c>
      <x:c r="C16" s="10" t="n">
        <x:f>'HP DIN1019'!B14/10</x:f>
        <x:v>22</x:v>
      </x:c>
      <x:c r="D16" s="10" t="n">
        <x:f>'HP DIN1019'!C14/10</x:f>
        <x:v>1</x:v>
      </x:c>
      <x:c r="E16" s="10" t="n">
        <x:f>'HP DIN1019'!F14/1</x:f>
        <x:v>29</x:v>
      </x:c>
      <x:c r="F16" s="10" t="n">
        <x:f>'HP DIN1019'!C45/1</x:f>
        <x:v>13.4</x:v>
      </x:c>
    </x:row>
    <x:row r="17" ht="32" customHeight="1">
      <x:c r="A17" s="3" t="str">
        <x:v>IF1</x:v>
      </x:c>
      <x:c r="B17" s="10" t="str">
        <x:f>'Балки'!$B$69</x:f>
        <x:v>HP 300x13</x:v>
      </x:c>
      <x:c r="C17" s="10" t="n">
        <x:f>'HP DIN1019'!B26/10</x:f>
        <x:v>30</x:v>
      </x:c>
      <x:c r="D17" s="10" t="n">
        <x:f>'HP DIN1019'!C26/10</x:f>
        <x:v>1.3</x:v>
      </x:c>
      <x:c r="E17" s="10" t="n">
        <x:f>'HP DIN1019'!F26/1</x:f>
        <x:v>52.8</x:v>
      </x:c>
      <x:c r="F17" s="10" t="n">
        <x:f>'HP DIN1019'!C57/1</x:f>
        <x:v>18.5</x:v>
      </x:c>
    </x:row>
    <x:row r="18" ht="32" customHeight="1">
      <x:c r="A18" s="3" t="str">
        <x:v>IF2</x:v>
      </x:c>
      <x:c r="B18" s="10" t="str">
        <x:f>'Балки'!$B$70</x:f>
        <x:v>HP 280x11</x:v>
      </x:c>
      <x:c r="C18" s="10" t="n">
        <x:f>'HP DIN1019'!B22/10</x:f>
        <x:v>28</x:v>
      </x:c>
      <x:c r="D18" s="10" t="n">
        <x:f>'HP DIN1019'!C22/10</x:f>
        <x:v>1.1</x:v>
      </x:c>
      <x:c r="E18" s="10" t="n">
        <x:f>'HP DIN1019'!F22/1</x:f>
        <x:v>42.6</x:v>
      </x:c>
      <x:c r="F18" s="10" t="n">
        <x:f>'HP DIN1019'!C53/1</x:f>
        <x:v>17.4</x:v>
      </x:c>
    </x:row>
    <x:row r="19" ht="32" customHeight="1">
      <x:c r="A19" s="3" t="str">
        <x:v>IF3</x:v>
      </x:c>
      <x:c r="B19" s="10" t="str">
        <x:f>'Балки'!$B$71</x:f>
        <x:v>HP 260x10</x:v>
      </x:c>
      <x:c r="C19" s="10" t="n">
        <x:f>'HP DIN1019'!B19/10</x:f>
        <x:v>26</x:v>
      </x:c>
      <x:c r="D19" s="10" t="n">
        <x:f>'HP DIN1019'!C19/10</x:f>
        <x:v>1</x:v>
      </x:c>
      <x:c r="E19" s="10" t="n">
        <x:f>'HP DIN1019'!F19/1</x:f>
        <x:v>36.1</x:v>
      </x:c>
      <x:c r="F19" s="10" t="n">
        <x:f>'HP DIN1019'!C50/1</x:f>
        <x:v>16.2</x:v>
      </x:c>
    </x:row>
    <x:row r="20" ht="32" customHeight="1">
      <x:c r="A20" s="3" t="str">
        <x:v>IF4</x:v>
      </x:c>
      <x:c r="B20" s="10" t="str">
        <x:f>'Балки'!$B$72</x:f>
        <x:v>HP 220x10</x:v>
      </x:c>
      <x:c r="C20" s="10" t="n">
        <x:f>'HP DIN1019'!B14/10</x:f>
        <x:v>22</x:v>
      </x:c>
      <x:c r="D20" s="10" t="n">
        <x:f>'HP DIN1019'!C14/10</x:f>
        <x:v>1</x:v>
      </x:c>
      <x:c r="E20" s="10" t="n">
        <x:f>'HP DIN1019'!F14/1</x:f>
        <x:v>29</x:v>
      </x:c>
      <x:c r="F20" s="10" t="n">
        <x:f>'HP DIN1019'!C45/1</x:f>
        <x:v>13.4</x:v>
      </x:c>
    </x:row>
    <x:row r="21" ht="32" customHeight="1">
      <x:c r="A21" s="3" t="str">
        <x:v>D-L</x:v>
      </x:c>
      <x:c r="B21" s="12" t="str">
        <x:f>'Балки'!$B$73</x:f>
        <x:v>HP 180x10</x:v>
      </x:c>
      <x:c r="C21" s="10" t="n">
        <x:f>'HP DIN1019'!B11/10</x:f>
        <x:v>18</x:v>
      </x:c>
      <x:c r="D21" s="10" t="n">
        <x:f>'HP DIN1019'!C11/10</x:f>
        <x:v>1</x:v>
      </x:c>
      <x:c r="E21" s="10" t="n">
        <x:f>'HP DIN1019'!F11/1</x:f>
        <x:v>22.5</x:v>
      </x:c>
      <x:c r="F21" s="10" t="n">
        <x:f>'HP DIN1019'!C42/1</x:f>
        <x:v>10.6</x:v>
      </x:c>
    </x:row>
    <x:row r="22" ht="32" customHeight="1">
      <x:c r="A22" s="3" t="str">
        <x:v>D-W</x:v>
      </x:c>
      <x:c r="B22" s="12" t="str">
        <x:f>'Балки'!$B$74</x:f>
        <x:v>HP 180x10</x:v>
      </x:c>
      <x:c r="C22" s="10" t="n">
        <x:f>'HP DIN1019'!B11/10</x:f>
        <x:v>18</x:v>
      </x:c>
      <x:c r="D22" s="10" t="n">
        <x:f>'HP DIN1019'!C11/10</x:f>
        <x:v>1</x:v>
      </x:c>
      <x:c r="E22" s="10" t="n">
        <x:f>'HP DIN1019'!F11/1</x:f>
        <x:v>22.5</x:v>
      </x:c>
      <x:c r="F22" s="10" t="n">
        <x:f>'HP DIN1019'!C42/1</x:f>
        <x:v>10.6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DIN1019'!D51/1</x:f>
        <x:v>2610</x:v>
      </x:c>
      <x:c r="C28" s="10" t="n">
        <x:f>'Балки'!$F$46*100</x:f>
        <x:v>34.99999999999999</x:v>
      </x:c>
      <x:c r="D28" s="10" t="n">
        <x:f>'Балки'!$E$46/10</x:f>
        <x:v>1.5</x:v>
      </x:c>
      <x:c r="E28" s="10" t="n">
        <x:f>'Сечения'!$C$28*'Сечения'!$D$28</x:f>
        <x:v>52.499999999999986</x:v>
      </x:c>
      <x:c r="F28" s="10" t="n">
        <x:f>'Сечения'!$E$11*('Сечения'!$F$11+'Сечения'!$D$28/2)/('Сечения'!$E$11+'Сечения'!$E$28)</x:f>
        <x:v>7.107730263157896</x:v>
      </x:c>
    </x:row>
    <x:row r="29" ht="32" customHeight="1">
      <x:c r="A29" s="13" t="str">
        <x:f>'Сечения'!$A$12</x:f>
        <x:v>IB-L</x:v>
      </x:c>
      <x:c r="B29" s="10" t="n">
        <x:f>'HP DIN1019'!D50/1</x:f>
        <x:v>2477</x:v>
      </x:c>
      <x:c r="C29" s="10" t="n">
        <x:f>'Балки'!$F$47*100</x:f>
        <x:v>34.99999999999999</x:v>
      </x:c>
      <x:c r="D29" s="10" t="n">
        <x:f>'Балки'!$E$47/10</x:f>
        <x:v>1.5</x:v>
      </x:c>
      <x:c r="E29" s="10" t="n">
        <x:f>'Сечения'!$C$29*'Сечения'!$D$29</x:f>
        <x:v>52.499999999999986</x:v>
      </x:c>
      <x:c r="F29" s="10" t="n">
        <x:f>'Сечения'!$E$12*('Сечения'!$F$12+'Сечения'!$D$29/2)/('Сечения'!$E$12+'Сечения'!$E$29)</x:f>
        <x:v>6.906264108352144</x:v>
      </x:c>
    </x:row>
    <x:row r="30" ht="32" customHeight="1">
      <x:c r="A30" s="13" t="str">
        <x:f>'Сечения'!$A$13</x:f>
        <x:v>OF1</x:v>
      </x:c>
      <x:c r="B30" s="10" t="n">
        <x:f>'HP DIN1019'!D58/1</x:f>
        <x:v>5530</x:v>
      </x:c>
      <x:c r="C30" s="10" t="n">
        <x:f>'Балки'!$F$48*100</x:f>
        <x:v>54.99999999999999</x:v>
      </x:c>
      <x:c r="D30" s="10" t="n">
        <x:f>'Балки'!$E$48/10</x:f>
        <x:v>1.5</x:v>
      </x:c>
      <x:c r="E30" s="10" t="n">
        <x:f>'Сечения'!$C$30*'Сечения'!$D$30</x:f>
        <x:v>82.49999999999999</x:v>
      </x:c>
      <x:c r="F30" s="10" t="n">
        <x:f>'Сечения'!$E$13*('Сечения'!$F$13+'Сечения'!$D$30/2)/('Сечения'!$E$13+'Сечения'!$E$30)</x:f>
        <x:v>8.266788588149234</x:v>
      </x:c>
    </x:row>
    <x:row r="31" ht="32" customHeight="1">
      <x:c r="A31" s="13" t="str">
        <x:f>'Сечения'!$A$14</x:f>
        <x:v>OF2</x:v>
      </x:c>
      <x:c r="B31" s="10" t="n">
        <x:f>'HP DIN1019'!D55/1</x:f>
        <x:v>4190</x:v>
      </x:c>
      <x:c r="C31" s="10" t="n">
        <x:f>'Балки'!$F$49*100</x:f>
        <x:v>54.166666666666664</x:v>
      </x:c>
      <x:c r="D31" s="10" t="n">
        <x:f>'Балки'!$E$49/10</x:f>
        <x:v>1.4</x:v>
      </x:c>
      <x:c r="E31" s="10" t="n">
        <x:f>'Сечения'!$C$31*'Сечения'!$D$31</x:f>
        <x:v>75.83333333333333</x:v>
      </x:c>
      <x:c r="F31" s="10" t="n">
        <x:f>'Сечения'!$E$14*('Сечения'!$F$14+'Сечения'!$D$31/2)/('Сечения'!$E$14+'Сечения'!$E$31)</x:f>
        <x:v>7.469967355821545</x:v>
      </x:c>
    </x:row>
    <x:row r="32" ht="32" customHeight="1">
      <x:c r="A32" s="13" t="str">
        <x:f>'Сечения'!$A$15</x:f>
        <x:v>OF3</x:v>
      </x:c>
      <x:c r="B32" s="10" t="n">
        <x:f>'HP DIN1019'!D52/1</x:f>
        <x:v>2770</x:v>
      </x:c>
      <x:c r="C32" s="10" t="n">
        <x:f>'Балки'!$F$50*100</x:f>
        <x:v>54.166666666666664</x:v>
      </x:c>
      <x:c r="D32" s="10" t="n">
        <x:f>'Балки'!$E$50/10</x:f>
        <x:v>1.2</x:v>
      </x:c>
      <x:c r="E32" s="10" t="n">
        <x:f>'Сечения'!$C$32*'Сечения'!$D$32</x:f>
        <x:v>65</x:v>
      </x:c>
      <x:c r="F32" s="10" t="n">
        <x:f>'Сечения'!$E$15*('Сечения'!$F$15+'Сечения'!$D$32/2)/('Сечения'!$E$15+'Сечения'!$E$32)</x:f>
        <x:v>6.371777986829728</x:v>
      </x:c>
    </x:row>
    <x:row r="33" ht="32" customHeight="1">
      <x:c r="A33" s="13" t="str">
        <x:f>'Сечения'!$A$16</x:f>
        <x:v>OF4</x:v>
      </x:c>
      <x:c r="B33" s="10" t="n">
        <x:f>'HP DIN1019'!D45/1</x:f>
        <x:v>1400</x:v>
      </x:c>
      <x:c r="C33" s="10" t="n">
        <x:f>'Балки'!$F$51*100</x:f>
        <x:v>51.66666666666666</x:v>
      </x:c>
      <x:c r="D33" s="10" t="n">
        <x:f>'Балки'!$E$51/10</x:f>
        <x:v>1.2</x:v>
      </x:c>
      <x:c r="E33" s="10" t="n">
        <x:f>'Сечения'!$C$33*'Сечения'!$D$33</x:f>
        <x:v>61.999999999999986</x:v>
      </x:c>
      <x:c r="F33" s="10" t="n">
        <x:f>'Сечения'!$E$16*('Сечения'!$F$16+'Сечения'!$D$33/2)/('Сечения'!$E$16+'Сечения'!$E$33)</x:f>
        <x:v>4.461538461538463</x:v>
      </x:c>
    </x:row>
    <x:row r="34" ht="32" customHeight="1">
      <x:c r="A34" s="13" t="str">
        <x:f>'Сечения'!$A$17</x:f>
        <x:v>IF1</x:v>
      </x:c>
      <x:c r="B34" s="10" t="n">
        <x:f>'HP DIN1019'!D57/1</x:f>
        <x:v>4720</x:v>
      </x:c>
      <x:c r="C34" s="10" t="n">
        <x:f>'Балки'!$F$52*100</x:f>
        <x:v>54.99999999999999</x:v>
      </x:c>
      <x:c r="D34" s="10" t="n">
        <x:f>'Балки'!$E$52/10</x:f>
        <x:v>1.4</x:v>
      </x:c>
      <x:c r="E34" s="10" t="n">
        <x:f>'Сечения'!$C$34*'Сечения'!$D$34</x:f>
        <x:v>76.99999999999999</x:v>
      </x:c>
      <x:c r="F34" s="10" t="n">
        <x:f>'Сечения'!$E$17*('Сечения'!$F$17+'Сечения'!$D$34/2)/('Сечения'!$E$17+'Сечения'!$E$34)</x:f>
        <x:v>7.810169491525424</x:v>
      </x:c>
    </x:row>
    <x:row r="35" ht="32" customHeight="1">
      <x:c r="A35" s="13" t="str">
        <x:f>'Сечения'!$A$18</x:f>
        <x:v>IF2</x:v>
      </x:c>
      <x:c r="B35" s="10" t="n">
        <x:f>'HP DIN1019'!D53/1</x:f>
        <x:v>3330</x:v>
      </x:c>
      <x:c r="C35" s="10" t="n">
        <x:f>'Балки'!$F$53*100</x:f>
        <x:v>54.166666666666664</x:v>
      </x:c>
      <x:c r="D35" s="10" t="n">
        <x:f>'Балки'!$E$53/10</x:f>
        <x:v>1.3</x:v>
      </x:c>
      <x:c r="E35" s="10" t="n">
        <x:f>'Сечения'!$C$35*'Сечения'!$D$35</x:f>
        <x:v>70.41666666666667</x:v>
      </x:c>
      <x:c r="F35" s="10" t="n">
        <x:f>'Сечения'!$E$18*('Сечения'!$F$18+'Сечения'!$D$35/2)/('Сечения'!$E$18+'Сечения'!$E$35)</x:f>
        <x:v>6.803686771862556</x:v>
      </x:c>
    </x:row>
    <x:row r="36" ht="32" customHeight="1">
      <x:c r="A36" s="13" t="str">
        <x:f>'Сечения'!$A$19</x:f>
        <x:v>IF3</x:v>
      </x:c>
      <x:c r="B36" s="10" t="n">
        <x:f>'HP DIN1019'!D50/1</x:f>
        <x:v>2477</x:v>
      </x:c>
      <x:c r="C36" s="10" t="n">
        <x:f>'Балки'!$F$54*100</x:f>
        <x:v>54.166666666666664</x:v>
      </x:c>
      <x:c r="D36" s="10" t="n">
        <x:f>'Балки'!$E$54/10</x:f>
        <x:v>1.2</x:v>
      </x:c>
      <x:c r="E36" s="10" t="n">
        <x:f>'Сечения'!$C$36*'Сечения'!$D$36</x:f>
        <x:v>65</x:v>
      </x:c>
      <x:c r="F36" s="10" t="n">
        <x:f>'Сечения'!$E$19*('Сечения'!$F$19+'Сечения'!$D$36/2)/('Сечения'!$E$19+'Сечения'!$E$36)</x:f>
        <x:v>5.998813056379823</x:v>
      </x:c>
    </x:row>
    <x:row r="37" ht="32" customHeight="1">
      <x:c r="A37" s="13" t="str">
        <x:f>'Сечения'!$A$20</x:f>
        <x:v>IF4</x:v>
      </x:c>
      <x:c r="B37" s="10" t="n">
        <x:f>'HP DIN1019'!D45/1</x:f>
        <x:v>1400</x:v>
      </x:c>
      <x:c r="C37" s="10" t="n">
        <x:f>'Балки'!$F$55*100</x:f>
        <x:v>52.66666666666667</x:v>
      </x:c>
      <x:c r="D37" s="10" t="n">
        <x:f>'Балки'!$E$55/10</x:f>
        <x:v>1.2</x:v>
      </x:c>
      <x:c r="E37" s="10" t="n">
        <x:f>'Сечения'!$C$37*'Сечения'!$D$37</x:f>
        <x:v>63.2</x:v>
      </x:c>
      <x:c r="F37" s="10" t="n">
        <x:f>'Сечения'!$E$20*('Сечения'!$F$20+'Сечения'!$D$37/2)/('Сечения'!$E$20+'Сечения'!$E$37)</x:f>
        <x:v>4.403470715835141</x:v>
      </x:c>
    </x:row>
    <x:row r="38" ht="32" customHeight="1">
      <x:c r="A38" s="13" t="str">
        <x:f>'Сечения'!$A$21</x:f>
        <x:v>D-L</x:v>
      </x:c>
      <x:c r="B38" s="10" t="n">
        <x:f>'HP DIN1019'!D42/1</x:f>
        <x:v>717</x:v>
      </x:c>
      <x:c r="C38" s="10" t="n">
        <x:f>'Балки'!$F$56*100</x:f>
        <x:v>34.99999999999999</x:v>
      </x:c>
      <x:c r="D38" s="10" t="n">
        <x:f>'Балки'!$E$56/10</x:f>
        <x:v>1.1</x:v>
      </x:c>
      <x:c r="E38" s="10" t="n">
        <x:f>'Сечения'!$C$38*'Сечения'!$D$38</x:f>
        <x:v>38.49999999999999</x:v>
      </x:c>
      <x:c r="F38" s="10" t="n">
        <x:f>'Сечения'!$E$21*('Сечения'!$F$21+'Сечения'!$D$38/2)/('Сечения'!$E$21+'Сечения'!$E$38)</x:f>
        <x:v>4.1127049180327875</x:v>
      </x:c>
    </x:row>
    <x:row r="39" ht="32" customHeight="1">
      <x:c r="A39" s="13" t="str">
        <x:f>'Сечения'!$A$22</x:f>
        <x:v>D-W</x:v>
      </x:c>
      <x:c r="B39" s="10" t="n">
        <x:f>'HP DIN1019'!D42/1</x:f>
        <x:v>717</x:v>
      </x:c>
      <x:c r="C39" s="10" t="n">
        <x:f>'Балки'!$F$57*100</x:f>
        <x:v>34.99999999999999</x:v>
      </x:c>
      <x:c r="D39" s="10" t="n">
        <x:f>'Балки'!$E$57/10</x:f>
        <x:v>1.1</x:v>
      </x:c>
      <x:c r="E39" s="10" t="n">
        <x:f>'Сечения'!$C$39*'Сечения'!$D$39</x:f>
        <x:v>38.49999999999999</x:v>
      </x:c>
      <x:c r="F39" s="10" t="n">
        <x:f>'Сечения'!$E$22*('Сечения'!$F$22+'Сечения'!$D$39/2)/('Сечения'!$E$22+'Сечения'!$E$39)</x:f>
        <x:v>4.1127049180327875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8870.204050164473</x:v>
      </x:c>
      <x:c r="C45" s="10" t="n">
        <x:f>'Сечения'!$B$45/('Сечения'!$C$11+'Сечения'!$D$28/2-'Сечения'!$F$28)</x:f>
        <x:v>451.58752878375554</x:v>
      </x:c>
      <x:c r="D45" s="10" t="n">
        <x:f>'Сечения'!$B$45/('Сечения'!$F$28+'Сечения'!$D$28/2)</x:f>
        <x:v>1128.8506671899527</x:v>
      </x:c>
      <x:c r="E45" s="10" t="n">
        <x:f>MIN('Сечения'!$C$45,'Сечения'!$D$45)</x:f>
        <x:v>451.58752878375554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8632.555523419864</x:v>
      </x:c>
      <x:c r="C46" s="10" t="n">
        <x:f>'Сечения'!$B$46/('Сечения'!$C$12+'Сечения'!$D$29/2-'Сечения'!$F$29)</x:f>
        <x:v>435.0267293697085</x:v>
      </x:c>
      <x:c r="D46" s="10" t="n">
        <x:f>'Сечения'!$B$46/('Сечения'!$F$29+'Сечения'!$D$29/2)</x:f>
        <x:v>1127.51537842101</x:v>
      </x:c>
      <x:c r="E46" s="10" t="n">
        <x:f>MIN('Сечения'!$C$46,'Сечения'!$D$46)</x:f>
        <x:v>435.0267293697085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19765.378470190197</x:v>
      </x:c>
      <x:c r="C47" s="10" t="n">
        <x:f>'Сечения'!$B$47/('Сечения'!$C$13+'Сечения'!$D$30/2-'Сечения'!$F$30)</x:f>
        <x:v>807.3033450433317</x:v>
      </x:c>
      <x:c r="D47" s="10" t="n">
        <x:f>'Сечения'!$B$47/('Сечения'!$F$30+'Сечения'!$D$30/2)</x:f>
        <x:v>2192.064089887594</x:v>
      </x:c>
      <x:c r="E47" s="10" t="n">
        <x:f>MIN('Сечения'!$C$47,'Сечения'!$D$47)</x:f>
        <x:v>807.3033450433317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15305.247590980533</x:v>
      </x:c>
      <x:c r="C48" s="10" t="n">
        <x:f>'Сечения'!$B$48/('Сечения'!$C$14+'Сечения'!$D$31/2-'Сечения'!$F$31)</x:f>
        <x:v>658.856051793629</x:v>
      </x:c>
      <x:c r="D48" s="10" t="n">
        <x:f>'Сечения'!$B$48/('Сечения'!$F$31+'Сечения'!$D$31/2)</x:f>
        <x:v>1873.3548035629192</x:v>
      </x:c>
      <x:c r="E48" s="10" t="n">
        <x:f>MIN('Сечения'!$C$48,'Сечения'!$D$48)</x:f>
        <x:v>658.856051793629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9570.11533396049</x:v>
      </x:c>
      <x:c r="C49" s="10" t="n">
        <x:f>'Сечения'!$B$49/('Сечения'!$C$15+'Сечения'!$D$32/2-'Сечения'!$F$32)</x:f>
        <x:v>473.1070940258387</x:v>
      </x:c>
      <x:c r="D49" s="10" t="n">
        <x:f>'Сечения'!$B$49/('Сечения'!$F$32+'Сечения'!$D$32/2)</x:f>
        <x:v>1372.6936445823776</x:v>
      </x:c>
      <x:c r="E49" s="10" t="n">
        <x:f>MIN('Сечения'!$C$49,'Сечения'!$D$49)</x:f>
        <x:v>473.1070940258387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5280.055384615384</x:v>
      </x:c>
      <x:c r="C50" s="10" t="n">
        <x:f>'Сечения'!$B$50/('Сечения'!$C$16+'Сечения'!$D$33/2-'Сечения'!$F$33)</x:f>
        <x:v>291.0972010178117</x:v>
      </x:c>
      <x:c r="D50" s="10" t="n">
        <x:f>'Сечения'!$B$50/('Сечения'!$F$33+'Сечения'!$D$33/2)</x:f>
        <x:v>1043.1720364741639</x:v>
      </x:c>
      <x:c r="E50" s="10" t="n">
        <x:f>MIN('Сечения'!$C$50,'Сечения'!$D$50)</x:f>
        <x:v>291.0972010178117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16279.131242937852</x:v>
      </x:c>
      <x:c r="C51" s="10" t="n">
        <x:f>'Сечения'!$B$51/('Сечения'!$C$17+'Сечения'!$D$34/2-'Сечения'!$F$34)</x:f>
        <x:v>711.1949228680736</x:v>
      </x:c>
      <x:c r="D51" s="10" t="n">
        <x:f>'Сечения'!$B$51/('Сечения'!$F$34+'Сечения'!$D$34/2)</x:f>
        <x:v>1912.9032928367521</x:v>
      </x:c>
      <x:c r="E51" s="10" t="n">
        <x:f>MIN('Сечения'!$C$51,'Сечения'!$D$51)</x:f>
        <x:v>711.1949228680736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11987.544644400608</x:v>
      </x:c>
      <x:c r="C52" s="10" t="n">
        <x:f>'Сечения'!$B$52/('Сечения'!$C$18+'Сечения'!$D$35/2-'Сечения'!$F$35)</x:f>
        <x:v>548.7216318477474</x:v>
      </x:c>
      <x:c r="D52" s="10" t="n">
        <x:f>'Сечения'!$B$52/('Сечения'!$F$35+'Сечения'!$D$35/2)</x:f>
        <x:v>1608.2705124735357</x:v>
      </x:c>
      <x:c r="E52" s="10" t="n">
        <x:f>MIN('Сечения'!$C$52,'Сечения'!$D$52)</x:f>
        <x:v>548.7216318477474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9035.503857566766</x:v>
      </x:c>
      <x:c r="C53" s="10" t="n">
        <x:f>'Сечения'!$B$53/('Сечения'!$C$19+'Сечения'!$D$36/2-'Сечения'!$F$36)</x:f>
        <x:v>438.59142108143925</x:v>
      </x:c>
      <x:c r="D53" s="10" t="n">
        <x:f>'Сечения'!$B$53/('Сечения'!$F$36+'Сечения'!$D$36/2)</x:f>
        <x:v>1369.2619839913662</x:v>
      </x:c>
      <x:c r="E53" s="10" t="n">
        <x:f>MIN('Сечения'!$C$53,'Сечения'!$D$53)</x:f>
        <x:v>438.59142108143925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5303.774889370932</x:v>
      </x:c>
      <x:c r="C54" s="10" t="n">
        <x:f>'Сечения'!$B$54/('Сечения'!$C$20+'Сечения'!$D$37/2-'Сечения'!$F$37)</x:f>
        <x:v>291.4717859952793</x:v>
      </x:c>
      <x:c r="D54" s="10" t="n">
        <x:f>'Сечения'!$B$54/('Сечения'!$F$37+'Сечения'!$D$37/2)</x:f>
        <x:v>1060.0191728084626</x:v>
      </x:c>
      <x:c r="E54" s="10" t="n">
        <x:f>MIN('Сечения'!$C$54,'Сечения'!$D$54)</x:f>
        <x:v>291.4717859952793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2486.3634870218575</x:v>
      </x:c>
      <x:c r="C55" s="10" t="n">
        <x:f>'Сечения'!$B$55/('Сечения'!$C$21+'Сечения'!$D$38/2-'Сечения'!$F$38)</x:f>
        <x:v>172.21809715085962</x:v>
      </x:c>
      <x:c r="D55" s="10" t="n">
        <x:f>'Сечения'!$B$55/('Сечения'!$F$38+'Сечения'!$D$38/2)</x:f>
        <x:v>533.2448719639036</x:v>
      </x:c>
      <x:c r="E55" s="10" t="n">
        <x:f>MIN('Сечения'!$C$55,'Сечения'!$D$55)</x:f>
        <x:v>172.21809715085962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2486.3634870218575</x:v>
      </x:c>
      <x:c r="C56" s="10" t="n">
        <x:f>'Сечения'!$B$56/('Сечения'!$C$22+'Сечения'!$D$39/2-'Сечения'!$F$39)</x:f>
        <x:v>172.21809715085962</x:v>
      </x:c>
      <x:c r="D56" s="10" t="n">
        <x:f>'Сечения'!$B$56/('Сечения'!$F$39+'Сечения'!$D$39/2)</x:f>
        <x:v>533.2448719639036</x:v>
      </x:c>
      <x:c r="E56" s="10" t="n">
        <x:f>MIN('Сечения'!$C$56,'Сечения'!$D$56)</x:f>
        <x:v>172.21809715085962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432753.0983943751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-324564.82379578135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647267.3601900835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-698577.7032330921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1080020.4585844586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-1023142.5270288734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1080020.4585844586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6171545.477625477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6350706.393028109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6350706.393028109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6171545.477625477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6350706.393028109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6350706.393028109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882748188.6309073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брус'!C174</x:f>
        <x:v>23968.38624242792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'Эквивалентный брус'!C178</x:f>
        <x:v>578.9135068303606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брус'!C179</x:f>
        <x:v>7345973392.748537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12689241.667496856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7889678.828592068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8.321708826320819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1.998083501612872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1.242330906252171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 — половина сечения</x:v>
      </x:c>
      <x:c r="B1" s="3"/>
      <x:c r="C1" s="3"/>
      <x:c r="D1" s="3"/>
      <x:c r="E1" s="3"/>
      <x:c r="F1" s="3"/>
    </x:row>
    <x:row r="2" ht="24" customHeight="1">
      <x:c r="A2" s="7" t="str">
        <x:v>IS — внутренний борт; CL — переборка в ДП (n = 0,5).
A, S, I₀ полного сечения = 2 × суммы по половине сечения.</x:v>
      </x:c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39" t="n">
        <x:v>1</x:v>
      </x:c>
      <x:c r="D12" s="17" t="n">
        <x:f>'Исходные данные'!$B$49*500</x:f>
        <x:v>747.5</x:v>
      </x:c>
      <x:c r="E12" s="17" t="n">
        <x:f>'Листы'!$D$74</x:f>
        <x:v>17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39" t="n">
        <x:v>1</x:v>
      </x:c>
      <x:c r="D13" s="17" t="n">
        <x:v>1800</x:v>
      </x:c>
      <x:c r="E13" s="17" t="n">
        <x:f>'Листы'!$D$75</x:f>
        <x:v>15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39" t="n">
        <x:v>1</x:v>
      </x:c>
      <x:c r="D14" s="17" t="n">
        <x:v>1800</x:v>
      </x:c>
      <x:c r="E14" s="17" t="n">
        <x:f>'Листы'!$D$76</x:f>
        <x:v>15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39" t="n">
        <x:v>1</x:v>
      </x:c>
      <x:c r="D15" s="17" t="n">
        <x:v>1800</x:v>
      </x:c>
      <x:c r="E15" s="17" t="n">
        <x:f>'Листы'!$D$77</x:f>
        <x:v>15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39" t="n">
        <x:v>1</x:v>
      </x:c>
      <x:c r="D16" s="17" t="n">
        <x:v>1800</x:v>
      </x:c>
      <x:c r="E16" s="17" t="n">
        <x:f>'Листы'!$D$78</x:f>
        <x:v>15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39" t="n">
        <x:v>1</x:v>
      </x:c>
      <x:c r="D17" s="17" t="n">
        <x:v>1800</x:v>
      </x:c>
      <x:c r="E17" s="17" t="n">
        <x:f>'Листы'!$D$79</x:f>
        <x:v>15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39" t="n">
        <x:v>1</x:v>
      </x:c>
      <x:c r="D18" s="17" t="n">
        <x:f>('Исходные данные'!$B$9/2-'Исходные данные'!$B$16)*1000-SUM('Эквивалентный брус'!$D$12:$D$17)</x:f>
        <x:v>1302.5</x:v>
      </x:c>
      <x:c r="E18" s="17" t="n">
        <x:f>'Листы'!$D$80</x:f>
        <x:v>15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39" t="n">
        <x:v>1</x:v>
      </x:c>
      <x:c r="D19" s="17" t="n">
        <x:f>2000-'Эквивалентный брус'!$D$18</x:f>
        <x:v>697.5</x:v>
      </x:c>
      <x:c r="E19" s="17" t="n">
        <x:f>'Листы'!$D$80</x:f>
        <x:v>15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5.527683055570794</x:v>
      </x:c>
    </x:row>
    <x:row r="20" ht="32" customHeight="1">
      <x:c r="A20" s="3" t="str">
        <x:v>G₁</x:v>
      </x:c>
      <x:c r="B20" s="3" t="str">
        <x:v>Пояс G — скуловая дуга</x:v>
      </x:c>
      <x:c r="C20" s="39" t="n">
        <x:v>1</x:v>
      </x:c>
      <x:c r="D20" s="17" t="n">
        <x:f>'Исходные данные'!$B$16*1000*PI()/2-'Эквивалентный брус'!$D$19</x:f>
        <x:v>1580.1546738526</x:v>
      </x:c>
      <x:c r="E20" s="17" t="n">
        <x:f>'Листы'!$D$81</x:f>
        <x:v>15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73.50822720042247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39" t="n">
        <x:v>1</x:v>
      </x:c>
      <x:c r="D21" s="17" t="n">
        <x:f>2000-'Эквивалентный брус'!$D$20</x:f>
        <x:v>419.8453261474001</x:v>
      </x:c>
      <x:c r="E21" s="17" t="n">
        <x:f>'Листы'!$D$81</x:f>
        <x:v>15</x:v>
      </x:c>
      <x:c r="F21" s="17" t="n">
        <x:f>('Исходные данные'!$B$16*100)+'Эквивалентный брус'!$D$21/20</x:f>
        <x:v>165.99226630737002</x:v>
      </x:c>
    </x:row>
    <x:row r="22" ht="32" customHeight="1">
      <x:c r="A22" s="3" t="str">
        <x:v>H</x:v>
      </x:c>
      <x:c r="B22" s="3" t="str">
        <x:v>Борт — H</x:v>
      </x:c>
      <x:c r="C22" s="39" t="n">
        <x:v>1</x:v>
      </x:c>
      <x:c r="D22" s="17" t="n">
        <x:v>1600</x:v>
      </x:c>
      <x:c r="E22" s="17" t="n">
        <x:f>'Листы'!$D$82</x:f>
        <x:v>15</x:v>
      </x:c>
      <x:c r="F22" s="17" t="n">
        <x:f>'Эквивалентный брус'!$F$21+('Эквивалентный брус'!$D$21+'Эквивалентный брус'!$D$22)/20</x:f>
        <x:v>266.98453261474003</x:v>
      </x:c>
    </x:row>
    <x:row r="23" ht="32" customHeight="1">
      <x:c r="A23" s="3" t="str">
        <x:v>I</x:v>
      </x:c>
      <x:c r="B23" s="3" t="str">
        <x:v>Борт — I</x:v>
      </x:c>
      <x:c r="C23" s="39" t="n">
        <x:v>1</x:v>
      </x:c>
      <x:c r="D23" s="17" t="n">
        <x:v>1600</x:v>
      </x:c>
      <x:c r="E23" s="17" t="n">
        <x:f>'Листы'!$D$83</x:f>
        <x:v>15</x:v>
      </x:c>
      <x:c r="F23" s="17" t="n">
        <x:f>'Эквивалентный брус'!$F$22+('Эквивалентный брус'!$D$22+'Эквивалентный брус'!$D$23)/20</x:f>
        <x:v>426.98453261474003</x:v>
      </x:c>
    </x:row>
    <x:row r="24" ht="32" customHeight="1">
      <x:c r="A24" s="3" t="str">
        <x:v>J</x:v>
      </x:c>
      <x:c r="B24" s="3" t="str">
        <x:v>Борт — J</x:v>
      </x:c>
      <x:c r="C24" s="39" t="n">
        <x:v>1</x:v>
      </x:c>
      <x:c r="D24" s="17" t="n">
        <x:v>1600</x:v>
      </x:c>
      <x:c r="E24" s="17" t="n">
        <x:f>'Листы'!$D$84</x:f>
        <x:v>14</x:v>
      </x:c>
      <x:c r="F24" s="17" t="n">
        <x:f>'Эквивалентный брус'!$F$23+('Эквивалентный брус'!$D$23+'Эквивалентный брус'!$D$24)/20</x:f>
        <x:v>586.98453261474</x:v>
      </x:c>
    </x:row>
    <x:row r="25" ht="32" customHeight="1">
      <x:c r="A25" s="3" t="str">
        <x:v>K</x:v>
      </x:c>
      <x:c r="B25" s="3" t="str">
        <x:v>Борт — K</x:v>
      </x:c>
      <x:c r="C25" s="39" t="n">
        <x:v>1</x:v>
      </x:c>
      <x:c r="D25" s="17" t="n">
        <x:v>1600</x:v>
      </x:c>
      <x:c r="E25" s="17" t="n">
        <x:f>'Листы'!$D$85</x:f>
        <x:v>14</x:v>
      </x:c>
      <x:c r="F25" s="17" t="n">
        <x:f>'Эквивалентный брус'!$F$24+('Эквивалентный брус'!$D$24+'Эквивалентный брус'!$D$25)/20</x:f>
        <x:v>746.98453261474</x:v>
      </x:c>
    </x:row>
    <x:row r="26" ht="32" customHeight="1">
      <x:c r="A26" s="3" t="str">
        <x:v>L</x:v>
      </x:c>
      <x:c r="B26" s="3" t="str">
        <x:v>Борт — L</x:v>
      </x:c>
      <x:c r="C26" s="39" t="n">
        <x:v>1</x:v>
      </x:c>
      <x:c r="D26" s="17" t="n">
        <x:v>1600</x:v>
      </x:c>
      <x:c r="E26" s="17" t="n">
        <x:f>'Листы'!$D$86</x:f>
        <x:v>13</x:v>
      </x:c>
      <x:c r="F26" s="17" t="n">
        <x:f>'Эквивалентный брус'!$F$25+('Эквивалентный брус'!$D$25+'Эквивалентный брус'!$D$26)/20</x:f>
        <x:v>906.98453261474</x:v>
      </x:c>
    </x:row>
    <x:row r="27" ht="32" customHeight="1">
      <x:c r="A27" s="3" t="str">
        <x:v>M</x:v>
      </x:c>
      <x:c r="B27" s="3" t="str">
        <x:v>Борт — M</x:v>
      </x:c>
      <x:c r="C27" s="39" t="n">
        <x:v>1</x:v>
      </x:c>
      <x:c r="D27" s="17" t="n">
        <x:f>('Исходные данные'!$B$10*1000-'Исходные данные'!$B$49*1000-('Эквивалентный брус'!$F$26*10+'Эквивалентный брус'!$D$26/2))/2</x:f>
        <x:v>1617.5773369262997</x:v>
      </x:c>
      <x:c r="E27" s="17" t="n">
        <x:f>'Листы'!$D$87</x:f>
        <x:v>12</x:v>
      </x:c>
      <x:c r="F27" s="17" t="n">
        <x:f>'Эквивалентный брус'!$F$26+('Эквивалентный брус'!$D$26+'Эквивалентный брус'!$D$27)/20</x:f>
        <x:v>1067.863399461055</x:v>
      </x:c>
    </x:row>
    <x:row r="28" ht="32" customHeight="1">
      <x:c r="A28" s="3" t="str">
        <x:v>N</x:v>
      </x:c>
      <x:c r="B28" s="3" t="str">
        <x:v>Борт — N</x:v>
      </x:c>
      <x:c r="C28" s="39" t="n">
        <x:v>1</x:v>
      </x:c>
      <x:c r="D28" s="17" t="n">
        <x:f>'Эквивалентный брус'!$D$27</x:f>
        <x:v>1617.5773369262997</x:v>
      </x:c>
      <x:c r="E28" s="17" t="n">
        <x:f>'Листы'!$D$88</x:f>
        <x:v>12</x:v>
      </x:c>
      <x:c r="F28" s="17" t="n">
        <x:f>'Эквивалентный брус'!$F$27+('Эквивалентный брус'!$D$27+'Эквивалентный брус'!$D$28)/20</x:f>
        <x:v>1229.621133153685</x:v>
      </x:c>
    </x:row>
    <x:row r="29" ht="32" customHeight="1">
      <x:c r="A29" s="3" t="str">
        <x:v>SH</x:v>
      </x:c>
      <x:c r="B29" s="3" t="str">
        <x:v>Ширстрек</x:v>
      </x:c>
      <x:c r="C29" s="39" t="n">
        <x:v>1</x:v>
      </x:c>
      <x:c r="D29" s="17" t="n">
        <x:f>'Исходные данные'!$B$49*1000</x:f>
        <x:v>1495</x:v>
      </x:c>
      <x:c r="E29" s="17" t="n">
        <x:f>'Листы'!$D$89</x:f>
        <x:v>12</x:v>
      </x:c>
      <x:c r="F29" s="17" t="n">
        <x:f>'Эквивалентный брус'!$F$28+('Эквивалентный брус'!$D$28+'Эквивалентный брус'!$D$29)/20</x:f>
        <x:v>1385.25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39" t="n">
        <x:v>1</x:v>
      </x:c>
      <x:c r="D30" s="17" t="n">
        <x:f>'Исходные данные'!$B$15*1000</x:f>
        <x:v>1500</x:v>
      </x:c>
      <x:c r="E30" s="17" t="n">
        <x:f>'Листы'!$D$91</x:f>
        <x:v>15</x:v>
      </x:c>
      <x:c r="F30" s="17" t="n">
        <x:f>'Исходные данные'!$B$14*100</x:f>
        <x:v>170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39" t="n">
        <x:v>1</x:v>
      </x:c>
      <x:c r="D31" s="17" t="n">
        <x:f>('Исходные данные'!$B$9/2-'Исходные данные'!$B$15)*1000</x:f>
        <x:v>11000</x:v>
      </x:c>
      <x:c r="E31" s="17" t="n">
        <x:f>'Листы'!$D$90</x:f>
        <x:v>15</x:v>
      </x:c>
      <x:c r="F31" s="17" t="n">
        <x:f>'Исходные данные'!$B$14*100</x:f>
        <x:v>170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39" t="n">
        <x:v>1</x:v>
      </x:c>
      <x:c r="D32" s="17" t="n">
        <x:f>SQRT(('Исходные данные'!$B$9/2)^2+'Исходные данные'!$B$17^2)*1000</x:f>
        <x:v>12509.996003196804</x:v>
      </x:c>
      <x:c r="E32" s="17" t="n">
        <x:f>'Листы'!$D$92</x:f>
        <x:v>11</x:v>
      </x:c>
      <x:c r="F32" s="17" t="n">
        <x:f>('Исходные данные'!$B$10+'Исходные данные'!$B$17/2)*100</x:f>
        <x:v>1485</x:v>
      </x:c>
    </x:row>
    <x:row r="33" ht="32" customHeight="1">
      <x:c r="A33" s="3" t="str">
        <x:v>ISG</x:v>
      </x:c>
      <x:c r="B33" s="3" t="str">
        <x:v>Внутренний борт — ISG</x:v>
      </x:c>
      <x:c r="C33" s="39" t="n">
        <x:v>1</x:v>
      </x:c>
      <x:c r="D33" s="17" t="n">
        <x:v>1700</x:v>
      </x:c>
      <x:c r="E33" s="17" t="n">
        <x:f>'Листы'!$D$93</x:f>
        <x:v>15</x:v>
      </x:c>
      <x:c r="F33" s="17" t="n">
        <x:f>'Исходные данные'!$B$14*100+'Эквивалентный брус'!$D$33/20</x:f>
        <x:v>255</x:v>
      </x:c>
    </x:row>
    <x:row r="34" ht="32" customHeight="1">
      <x:c r="A34" s="3" t="str">
        <x:v>ISF</x:v>
      </x:c>
      <x:c r="B34" s="3" t="str">
        <x:v>Внутренний борт — ISF</x:v>
      </x:c>
      <x:c r="C34" s="39" t="n">
        <x:v>1</x:v>
      </x:c>
      <x:c r="D34" s="17" t="n">
        <x:v>1700</x:v>
      </x:c>
      <x:c r="E34" s="17" t="n">
        <x:f>'Листы'!$D$94</x:f>
        <x:v>14</x:v>
      </x:c>
      <x:c r="F34" s="17" t="n">
        <x:f>'Эквивалентный брус'!$F$33+('Эквивалентный брус'!$D$33+'Эквивалентный брус'!$D$34)/20</x:f>
        <x:v>425</x:v>
      </x:c>
    </x:row>
    <x:row r="35" ht="32" customHeight="1">
      <x:c r="A35" s="3" t="str">
        <x:v>ISE</x:v>
      </x:c>
      <x:c r="B35" s="3" t="str">
        <x:v>Внутренний борт — ISE</x:v>
      </x:c>
      <x:c r="C35" s="39" t="n">
        <x:v>1</x:v>
      </x:c>
      <x:c r="D35" s="17" t="n">
        <x:v>1700</x:v>
      </x:c>
      <x:c r="E35" s="17" t="n">
        <x:f>'Листы'!$D$95</x:f>
        <x:v>13</x:v>
      </x:c>
      <x:c r="F35" s="17" t="n">
        <x:f>'Эквивалентный брус'!$F$34+('Эквивалентный брус'!$D$34+'Эквивалентный брус'!$D$35)/20</x:f>
        <x:v>595</x:v>
      </x:c>
    </x:row>
    <x:row r="36" ht="32" customHeight="1">
      <x:c r="A36" s="3" t="str">
        <x:v>ISD</x:v>
      </x:c>
      <x:c r="B36" s="3" t="str">
        <x:v>Внутренний борт — ISD</x:v>
      </x:c>
      <x:c r="C36" s="39" t="n">
        <x:v>1</x:v>
      </x:c>
      <x:c r="D36" s="17" t="n">
        <x:v>1700</x:v>
      </x:c>
      <x:c r="E36" s="17" t="n">
        <x:f>'Листы'!$D$96</x:f>
        <x:v>13</x:v>
      </x:c>
      <x:c r="F36" s="17" t="n">
        <x:f>'Эквивалентный брус'!$F$35+('Эквивалентный брус'!$D$35+'Эквивалентный брус'!$D$36)/20</x:f>
        <x:v>765</x:v>
      </x:c>
    </x:row>
    <x:row r="37" ht="32" customHeight="1">
      <x:c r="A37" s="3" t="str">
        <x:v>ISC</x:v>
      </x:c>
      <x:c r="B37" s="3" t="str">
        <x:v>Внутренний борт — ISC</x:v>
      </x:c>
      <x:c r="C37" s="39" t="n">
        <x:v>1</x:v>
      </x:c>
      <x:c r="D37" s="17" t="n">
        <x:v>1700</x:v>
      </x:c>
      <x:c r="E37" s="17" t="n">
        <x:f>'Листы'!$D$97</x:f>
        <x:v>12</x:v>
      </x:c>
      <x:c r="F37" s="17" t="n">
        <x:f>'Эквивалентный брус'!$F$36+('Эквивалентный брус'!$D$36+'Эквивалентный брус'!$D$37)/20</x:f>
        <x:v>935</x:v>
      </x:c>
    </x:row>
    <x:row r="38" ht="32" customHeight="1">
      <x:c r="A38" s="3" t="str">
        <x:v>ISB</x:v>
      </x:c>
      <x:c r="B38" s="3" t="str">
        <x:v>Внутренний борт — ISB</x:v>
      </x:c>
      <x:c r="C38" s="39" t="n">
        <x:v>1</x:v>
      </x:c>
      <x:c r="D38" s="17" t="n">
        <x:v>1700</x:v>
      </x:c>
      <x:c r="E38" s="17" t="n">
        <x:f>'Листы'!$D$98</x:f>
        <x:v>12</x:v>
      </x:c>
      <x:c r="F38" s="17" t="n">
        <x:f>'Эквивалентный брус'!$F$37+('Эквивалентный брус'!$D$37+'Эквивалентный брус'!$D$38)/20</x:f>
        <x:v>1105</x:v>
      </x:c>
    </x:row>
    <x:row r="39" ht="32" customHeight="1">
      <x:c r="A39" s="3" t="str">
        <x:v>ISA</x:v>
      </x:c>
      <x:c r="B39" s="3" t="str">
        <x:v>Внутренний борт — ISA</x:v>
      </x:c>
      <x:c r="C39" s="39" t="n">
        <x:v>1</x:v>
      </x:c>
      <x:c r="D39" s="17" t="n">
        <x:f>('Исходные данные'!B10+'Исходные данные'!B17*'Исходные данные'!B15/('Исходные данные'!B9/2)-'Исходные данные'!B14)*1000-SUM('Эквивалентный брус'!D33,'Эквивалентный брус'!D34,'Эквивалентный брус'!D35,'Эквивалентный брус'!D36,'Эквивалентный брус'!D37,'Эквивалентный брус'!D38)</x:f>
        <x:v>2760</x:v>
      </x:c>
      <x:c r="E39" s="17" t="n">
        <x:f>'Листы'!$D$99</x:f>
        <x:v>12</x:v>
      </x:c>
      <x:c r="F39" s="17" t="n">
        <x:f>'Эквивалентный брус'!$F$38+('Эквивалентный брус'!$D$38+'Эквивалентный брус'!$D$39)/20</x:f>
        <x:v>1328</x:v>
      </x:c>
    </x:row>
    <x:row r="40" ht="32" customHeight="1">
      <x:c r="A40" s="3" t="str">
        <x:v>VK</x:v>
      </x:c>
      <x:c r="B40" s="3" t="str">
        <x:v>Вертикальный киль</x:v>
      </x:c>
      <x:c r="C40" s="39" t="n">
        <x:v>0.5</x:v>
      </x:c>
      <x:c r="D40" s="17" t="n">
        <x:f>'Исходные данные'!$B$14*1000</x:f>
        <x:v>1700</x:v>
      </x:c>
      <x:c r="E40" s="17" t="n">
        <x:f>'Флоры и киль'!$C$20</x:f>
        <x:v>16</x:v>
      </x:c>
      <x:c r="F40" s="17" t="n">
        <x:f>'Исходные данные'!$B$14*50</x:f>
        <x:v>85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39" t="n">
        <x:v>1</x:v>
      </x:c>
      <x:c r="D41" s="17" t="n">
        <x:f>'Исходные данные'!$B$14*1000</x:f>
        <x:v>1700</x:v>
      </x:c>
      <x:c r="E41" s="17" t="n">
        <x:f>'Флоры и киль'!$C$21</x:f>
        <x:v>16</x:v>
      </x:c>
      <x:c r="F41" s="17" t="n">
        <x:f>'Исходные данные'!$B$14*50</x:f>
        <x:v>85</x:v>
      </x:c>
    </x:row>
    <x:row r="42" ht="32" customHeight="1">
      <x:c r="A42" s="3" t="str">
        <x:v>B-L</x:v>
      </x:c>
      <x:c r="B42" s="3" t="str">
        <x:v>Продольные балки днища</x:v>
      </x:c>
      <x:c r="C42" s="39" t="n">
        <x:v>14</x:v>
      </x:c>
      <x:c r="D42" s="3" t="str">
        <x:f>'Балки'!B63</x:f>
        <x:v>HP 260x11</x:v>
      </x:c>
      <x:c r="E42" s="17" t="n">
        <x:f>'HP DIN1019'!C20</x:f>
        <x:v>11</x:v>
      </x:c>
      <x:c r="F42" s="17" t="n">
        <x:f>'HP DIN1019'!C51</x:f>
        <x:v>16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39" t="n">
        <x:v>14</x:v>
      </x:c>
      <x:c r="D43" s="3" t="str">
        <x:f>'Балки'!B64</x:f>
        <x:v>HP 260x10</x:v>
      </x:c>
      <x:c r="E43" s="17" t="n">
        <x:f>'HP DIN1019'!C19</x:f>
        <x:v>10</x:v>
      </x:c>
      <x:c r="F43" s="17" t="n">
        <x:f>'Исходные данные'!B14*100-'HP DIN1019'!C50</x:f>
        <x:v>153.8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39" t="n">
        <x:v>1</x:v>
      </x:c>
      <x:c r="D44" s="3" t="str">
        <x:f>'Балки'!B74</x:f>
        <x:v>HP 180x10</x:v>
      </x:c>
      <x:c r="E44" s="17" t="n">
        <x:f>'HP DIN1019'!C11</x:f>
        <x:v>10</x:v>
      </x:c>
      <x:c r="F44" s="17" t="n">
        <x:f>('Исходные данные'!B10+'Исходные данные'!B17*(('Исходные данные'!B15-'Балки'!C23)/2)/('Исходные данные'!B9/2))*100-'HP DIN1019'!C42</x:f>
        <x:v>1451.4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39" t="n">
        <x:v>1</x:v>
      </x:c>
      <x:c r="D45" s="3" t="str">
        <x:f>'Балки'!B74</x:f>
        <x:v>HP 180x10</x:v>
      </x:c>
      <x:c r="E45" s="17" t="n">
        <x:f>'HP DIN1019'!C11</x:f>
        <x:v>10</x:v>
      </x:c>
      <x:c r="F45" s="17" t="n">
        <x:f>('Исходные данные'!B10+'Исходные данные'!B17*(('Исходные данные'!B15+'Балки'!C23)/2)/('Исходные данные'!B9/2))*100-'HP DIN1019'!C42</x:f>
        <x:v>1453.3999999999999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39" t="n">
        <x:v>1</x:v>
      </x:c>
      <x:c r="D46" s="3" t="str">
        <x:f>'Балки'!B73</x:f>
        <x:v>HP 180x10</x:v>
      </x:c>
      <x:c r="E46" s="17" t="n">
        <x:f>'HP DIN1019'!C11</x:f>
        <x:v>10</x:v>
      </x:c>
      <x:c r="F46" s="17" t="n">
        <x:f>('Исходные данные'!B10+'Исходные данные'!B17*('Исходные данные'!B15+'Исходные данные'!D57/1000)/('Исходные данные'!B9/2))*100-'HP DIN1019'!C42</x:f>
        <x:v>1458.2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39" t="n">
        <x:v>1</x:v>
      </x:c>
      <x:c r="D47" s="3" t="str">
        <x:f>'Балки'!B73</x:f>
        <x:v>HP 180x10</x:v>
      </x:c>
      <x:c r="E47" s="17" t="n">
        <x:f>'HP DIN1019'!C11</x:f>
        <x:v>10</x:v>
      </x:c>
      <x:c r="F47" s="17" t="n">
        <x:f>('Исходные данные'!B10+'Исходные данные'!B17*('Исходные данные'!B15+'Исходные данные'!D58/1000)/('Исходные данные'!B9/2))*100-'HP DIN1019'!C42</x:f>
        <x:v>1461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39" t="n">
        <x:v>1</x:v>
      </x:c>
      <x:c r="D48" s="3" t="str">
        <x:f>'Балки'!B73</x:f>
        <x:v>HP 180x10</x:v>
      </x:c>
      <x:c r="E48" s="17" t="n">
        <x:f>'HP DIN1019'!C11</x:f>
        <x:v>10</x:v>
      </x:c>
      <x:c r="F48" s="17" t="n">
        <x:f>('Исходные данные'!B10+'Исходные данные'!B17*('Исходные данные'!B15+'Исходные данные'!D59/1000)/('Исходные данные'!B9/2))*100-'HP DIN1019'!C42</x:f>
        <x:v>1464.0000000000002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39" t="n">
        <x:v>1</x:v>
      </x:c>
      <x:c r="D49" s="3" t="str">
        <x:f>'Балки'!B73</x:f>
        <x:v>HP 180x10</x:v>
      </x:c>
      <x:c r="E49" s="17" t="n">
        <x:f>'HP DIN1019'!C11</x:f>
        <x:v>10</x:v>
      </x:c>
      <x:c r="F49" s="17" t="n">
        <x:f>('Исходные данные'!B10+'Исходные данные'!B17*('Исходные данные'!B15+'Исходные данные'!D60/1000)/('Исходные данные'!B9/2))*100-'HP DIN1019'!C42</x:f>
        <x:v>1467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39" t="n">
        <x:v>1</x:v>
      </x:c>
      <x:c r="D50" s="3" t="str">
        <x:f>'Балки'!B73</x:f>
        <x:v>HP 180x10</x:v>
      </x:c>
      <x:c r="E50" s="17" t="n">
        <x:f>'HP DIN1019'!C11</x:f>
        <x:v>10</x:v>
      </x:c>
      <x:c r="F50" s="17" t="n">
        <x:f>('Исходные данные'!B10+'Исходные данные'!B17*('Исходные данные'!B15+'Исходные данные'!D61/1000)/('Исходные данные'!B9/2))*100-'HP DIN1019'!C42</x:f>
        <x:v>1470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39" t="n">
        <x:v>1</x:v>
      </x:c>
      <x:c r="D51" s="3" t="str">
        <x:f>'Балки'!B73</x:f>
        <x:v>HP 180x10</x:v>
      </x:c>
      <x:c r="E51" s="17" t="n">
        <x:f>'HP DIN1019'!C11</x:f>
        <x:v>10</x:v>
      </x:c>
      <x:c r="F51" s="17" t="n">
        <x:f>('Исходные данные'!B10+'Исходные данные'!B17*('Исходные данные'!B15+'Исходные данные'!D62/1000)/('Исходные данные'!B9/2))*100-'HP DIN1019'!C42</x:f>
        <x:v>1473.0000000000002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39" t="n">
        <x:v>1</x:v>
      </x:c>
      <x:c r="D52" s="3" t="str">
        <x:f>'Балки'!B73</x:f>
        <x:v>HP 180x10</x:v>
      </x:c>
      <x:c r="E52" s="17" t="n">
        <x:f>'HP DIN1019'!C11</x:f>
        <x:v>10</x:v>
      </x:c>
      <x:c r="F52" s="17" t="n">
        <x:f>('Исходные данные'!B10+'Исходные данные'!B17*('Исходные данные'!B15+'Исходные данные'!D63/1000)/('Исходные данные'!B9/2))*100-'HP DIN1019'!C42</x:f>
        <x:v>1476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39" t="n">
        <x:v>1</x:v>
      </x:c>
      <x:c r="D53" s="3" t="str">
        <x:f>'Балки'!B73</x:f>
        <x:v>HP 180x10</x:v>
      </x:c>
      <x:c r="E53" s="17" t="n">
        <x:f>'HP DIN1019'!C11</x:f>
        <x:v>10</x:v>
      </x:c>
      <x:c r="F53" s="17" t="n">
        <x:f>('Исходные данные'!B10+'Исходные данные'!B17*('Исходные данные'!B15+'Исходные данные'!D64/1000)/('Исходные данные'!B9/2))*100-'HP DIN1019'!C42</x:f>
        <x:v>1478.8000000000002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39" t="n">
        <x:v>1</x:v>
      </x:c>
      <x:c r="D54" s="3" t="str">
        <x:f>'Балки'!B73</x:f>
        <x:v>HP 180x10</x:v>
      </x:c>
      <x:c r="E54" s="17" t="n">
        <x:f>'HP DIN1019'!C11</x:f>
        <x:v>10</x:v>
      </x:c>
      <x:c r="F54" s="17" t="n">
        <x:f>('Исходные данные'!B10+'Исходные данные'!B17*('Исходные данные'!B15+'Исходные данные'!D65/1000)/('Исходные данные'!B9/2))*100-'HP DIN1019'!C42</x:f>
        <x:v>1481.8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39" t="n">
        <x:v>1</x:v>
      </x:c>
      <x:c r="D55" s="3" t="str">
        <x:f>'Балки'!B73</x:f>
        <x:v>HP 180x10</x:v>
      </x:c>
      <x:c r="E55" s="17" t="n">
        <x:f>'HP DIN1019'!C11</x:f>
        <x:v>10</x:v>
      </x:c>
      <x:c r="F55" s="17" t="n">
        <x:f>('Исходные данные'!B10+'Исходные данные'!B17*('Исходные данные'!B15+'Исходные данные'!D66/1000)/('Исходные данные'!B9/2))*100-'HP DIN1019'!C42</x:f>
        <x:v>1484.8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39" t="n">
        <x:v>1</x:v>
      </x:c>
      <x:c r="D56" s="3" t="str">
        <x:f>'Балки'!B73</x:f>
        <x:v>HP 180x10</x:v>
      </x:c>
      <x:c r="E56" s="17" t="n">
        <x:f>'HP DIN1019'!C11</x:f>
        <x:v>10</x:v>
      </x:c>
      <x:c r="F56" s="17" t="n">
        <x:f>('Исходные данные'!B10+'Исходные данные'!B17*('Исходные данные'!B15+'Исходные данные'!D67/1000)/('Исходные данные'!B9/2))*100-'HP DIN1019'!C42</x:f>
        <x:v>1487.8000000000002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39" t="n">
        <x:v>1</x:v>
      </x:c>
      <x:c r="D57" s="3" t="str">
        <x:f>'Балки'!B73</x:f>
        <x:v>HP 180x10</x:v>
      </x:c>
      <x:c r="E57" s="17" t="n">
        <x:f>'HP DIN1019'!C11</x:f>
        <x:v>10</x:v>
      </x:c>
      <x:c r="F57" s="17" t="n">
        <x:f>('Исходные данные'!B10+'Исходные данные'!B17*('Исходные данные'!B15+'Исходные данные'!D68/1000)/('Исходные данные'!B9/2))*100-'HP DIN1019'!C42</x:f>
        <x:v>1490.8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39" t="n">
        <x:v>1</x:v>
      </x:c>
      <x:c r="D58" s="3" t="str">
        <x:f>'Балки'!B73</x:f>
        <x:v>HP 180x10</x:v>
      </x:c>
      <x:c r="E58" s="17" t="n">
        <x:f>'HP DIN1019'!C11</x:f>
        <x:v>10</x:v>
      </x:c>
      <x:c r="F58" s="17" t="n">
        <x:f>('Исходные данные'!B10+'Исходные данные'!B17*('Исходные данные'!B15+'Исходные данные'!D69/1000)/('Исходные данные'!B9/2))*100-'HP DIN1019'!C42</x:f>
        <x:v>1493.8000000000002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39" t="n">
        <x:v>1</x:v>
      </x:c>
      <x:c r="D59" s="3" t="str">
        <x:f>'Балки'!B73</x:f>
        <x:v>HP 180x10</x:v>
      </x:c>
      <x:c r="E59" s="17" t="n">
        <x:f>'HP DIN1019'!C11</x:f>
        <x:v>10</x:v>
      </x:c>
      <x:c r="F59" s="17" t="n">
        <x:f>('Исходные данные'!B10+'Исходные данные'!B17*('Исходные данные'!B15+'Исходные данные'!D70/1000)/('Исходные данные'!B9/2))*100-'HP DIN1019'!C42</x:f>
        <x:v>1496.6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127.075</x:v>
      </x:c>
      <x:c r="C66" s="17" t="n">
        <x:f>'Эквивалентный брус'!$D$12*'Эквивалентный брус'!$E$12^3/120000</x:f>
        <x:v>30.603895833333333</x:v>
      </x:c>
      <x:c r="D66" s="17" t="n">
        <x:f>'Эквивалентный брус'!$C$12*'Эквивалентный брус'!$B$66</x:f>
        <x:v>127.075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270</x:v>
      </x:c>
      <x:c r="C67" s="17" t="n">
        <x:f>'Эквивалентный брус'!$D$13*'Эквивалентный брус'!$E$13^3/120000</x:f>
        <x:v>50.625</x:v>
      </x:c>
      <x:c r="D67" s="17" t="n">
        <x:f>'Эквивалентный брус'!$C$13*'Эквивалентный брус'!$B$67</x:f>
        <x:v>270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270</x:v>
      </x:c>
      <x:c r="C68" s="17" t="n">
        <x:f>'Эквивалентный брус'!$D$14*'Эквивалентный брус'!$E$14^3/120000</x:f>
        <x:v>50.625</x:v>
      </x:c>
      <x:c r="D68" s="17" t="n">
        <x:f>'Эквивалентный брус'!$C$14*'Эквивалентный брус'!$B$68</x:f>
        <x:v>270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270</x:v>
      </x:c>
      <x:c r="C69" s="17" t="n">
        <x:f>'Эквивалентный брус'!$D$15*'Эквивалентный брус'!$E$15^3/120000</x:f>
        <x:v>50.625</x:v>
      </x:c>
      <x:c r="D69" s="17" t="n">
        <x:f>'Эквивалентный брус'!$C$15*'Эквивалентный брус'!$B$69</x:f>
        <x:v>270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270</x:v>
      </x:c>
      <x:c r="C70" s="17" t="n">
        <x:f>'Эквивалентный брус'!$D$16*'Эквивалентный брус'!$E$16^3/120000</x:f>
        <x:v>50.625</x:v>
      </x:c>
      <x:c r="D70" s="17" t="n">
        <x:f>'Эквивалентный брус'!$C$16*'Эквивалентный брус'!$B$70</x:f>
        <x:v>270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270</x:v>
      </x:c>
      <x:c r="C71" s="17" t="n">
        <x:f>'Эквивалентный брус'!$D$17*'Эквивалентный брус'!$E$17^3/120000</x:f>
        <x:v>50.625</x:v>
      </x:c>
      <x:c r="D71" s="17" t="n">
        <x:f>'Эквивалентный брус'!$C$17*'Эквивалентный брус'!$B$71</x:f>
        <x:v>270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195.375</x:v>
      </x:c>
      <x:c r="C72" s="17" t="n">
        <x:f>'Эквивалентный брус'!$D$18*'Эквивалентный брус'!$E$18^3/120000</x:f>
        <x:v>36.6328125</x:v>
      </x:c>
      <x:c r="D72" s="17" t="n">
        <x:f>'Эквивалентный брус'!$C$18*'Эквивалентный брус'!$B$72</x:f>
        <x:v>195.375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104.625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2550.336588763977</x:v>
      </x:c>
      <x:c r="D73" s="17" t="n">
        <x:f>'Эквивалентный брус'!$C$19*'Эквивалентный брус'!$B$73</x:f>
        <x:v>104.625</x:v>
      </x:c>
      <x:c r="E73" s="17" t="n">
        <x:f>'Эквивалентный брус'!$D$73*'Эквивалентный брус'!$F$19</x:f>
        <x:v>578.3338396890944</x:v>
      </x:c>
      <x:c r="F73" s="17" t="n">
        <x:f>'Эквивалентный брус'!$E$73*'Эквивалентный брус'!$F$19</x:f>
        <x:v>3196.846166112603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237.02320107788998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342394.72869668464</x:v>
      </x:c>
      <x:c r="D74" s="17" t="n">
        <x:f>'Эквивалентный брус'!$C$20*'Эквивалентный брус'!$B$74</x:f>
        <x:v>237.02320107788998</x:v>
      </x:c>
      <x:c r="E74" s="17" t="n">
        <x:f>'Эквивалентный брус'!$D$74*'Эквивалентный брус'!$F$20</x:f>
        <x:v>17423.155316604956</x:v>
      </x:c>
      <x:c r="F74" s="17" t="n">
        <x:f>'Эквивалентный брус'!$E$74*'Эквивалентный брус'!$F$20</x:f>
        <x:v>1280745.2595612458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62.976798922110014</x:v>
      </x:c>
      <x:c r="C75" s="17" t="n">
        <x:f>'Эквивалентный брус'!$E$21*'Эквивалентный брус'!$D$21^3/120000</x:f>
        <x:v>9250.77209221807</x:v>
      </x:c>
      <x:c r="D75" s="17" t="n">
        <x:f>'Эквивалентный брус'!$C$21*'Эквивалентный брус'!$B$75</x:f>
        <x:v>62.976798922110014</x:v>
      </x:c>
      <x:c r="E75" s="17" t="n">
        <x:f>'Эквивалентный брус'!$D$75*'Эквивалентный брус'!$F$21</x:f>
        <x:v>10453.66157786458</x:v>
      </x:c>
      <x:c r="F75" s="17" t="n">
        <x:f>'Эквивалентный брус'!$E$75*'Эквивалентный брус'!$F$21</x:f>
        <x:v>1735226.9765200191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240</x:v>
      </x:c>
      <x:c r="C76" s="17" t="n">
        <x:f>'Эквивалентный брус'!$E$22*'Эквивалентный брус'!$D$22^3/120000</x:f>
        <x:v>512000</x:v>
      </x:c>
      <x:c r="D76" s="17" t="n">
        <x:f>'Эквивалентный брус'!$C$22*'Эквивалентный брус'!$B$76</x:f>
        <x:v>240</x:v>
      </x:c>
      <x:c r="E76" s="17" t="n">
        <x:f>'Эквивалентный брус'!$D$76*'Эквивалентный брус'!$F$22</x:f>
        <x:v>64076.287827537606</x:v>
      </x:c>
      <x:c r="F76" s="18" t="n">
        <x:f>'Эквивалентный брус'!$E$76*'Эквивалентный брус'!$F$22</x:f>
        <x:v>17107377.757322684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240</x:v>
      </x:c>
      <x:c r="C77" s="17" t="n">
        <x:f>'Эквивалентный брус'!$E$23*'Эквивалентный брус'!$D$23^3/120000</x:f>
        <x:v>512000</x:v>
      </x:c>
      <x:c r="D77" s="17" t="n">
        <x:f>'Эквивалентный брус'!$C$23*'Эквивалентный брус'!$B$77</x:f>
        <x:v>240</x:v>
      </x:c>
      <x:c r="E77" s="17" t="n">
        <x:f>'Эквивалентный брус'!$D$77*'Эквивалентный брус'!$F$23</x:f>
        <x:v>102476.28782753761</x:v>
      </x:c>
      <x:c r="F77" s="18" t="n">
        <x:f>'Эквивалентный брус'!$E$77*'Эквивалентный брус'!$F$23</x:f>
        <x:v>43755789.86213472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224</x:v>
      </x:c>
      <x:c r="C78" s="17" t="n">
        <x:f>'Эквивалентный брус'!$E$24*'Эквивалентный брус'!$D$24^3/120000</x:f>
        <x:v>477866.6666666667</x:v>
      </x:c>
      <x:c r="D78" s="17" t="n">
        <x:f>'Эквивалентный брус'!$C$24*'Эквивалентный брус'!$B$78</x:f>
        <x:v>224</x:v>
      </x:c>
      <x:c r="E78" s="17" t="n">
        <x:f>'Эквивалентный брус'!$D$78*'Эквивалентный брус'!$F$24</x:f>
        <x:v>131484.53530570178</x:v>
      </x:c>
      <x:c r="F78" s="18" t="n">
        <x:f>'Эквивалентный брус'!$E$78*'Эквивалентный брус'!$F$24</x:f>
        <x:v>77179388.50248364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224</x:v>
      </x:c>
      <x:c r="C79" s="17" t="n">
        <x:f>'Эквивалентный брус'!$E$25*'Эквивалентный брус'!$D$25^3/120000</x:f>
        <x:v>477866.6666666667</x:v>
      </x:c>
      <x:c r="D79" s="17" t="n">
        <x:f>'Эквивалентный брус'!$C$25*'Эквивалентный брус'!$B$79</x:f>
        <x:v>224</x:v>
      </x:c>
      <x:c r="E79" s="17" t="n">
        <x:f>'Эквивалентный брус'!$D$79*'Эквивалентный брус'!$F$25</x:f>
        <x:v>167324.53530570178</x:v>
      </x:c>
      <x:c r="F79" s="18" t="n">
        <x:f>'Эквивалентный брус'!$E$79*'Эквивалентный брус'!$F$25</x:f>
        <x:v>124988839.80030821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208</x:v>
      </x:c>
      <x:c r="C80" s="17" t="n">
        <x:f>'Эквивалентный брус'!$E$26*'Эквивалентный брус'!$D$26^3/120000</x:f>
        <x:v>443733.3333333333</x:v>
      </x:c>
      <x:c r="D80" s="17" t="n">
        <x:f>'Эквивалентный брус'!$C$26*'Эквивалентный брус'!$B$80</x:f>
        <x:v>208</x:v>
      </x:c>
      <x:c r="E80" s="17" t="n">
        <x:f>'Эквивалентный брус'!$D$80*'Эквивалентный брус'!$F$26</x:f>
        <x:v>188652.78278386593</x:v>
      </x:c>
      <x:c r="F80" s="18" t="n">
        <x:f>'Эквивалентный брус'!$E$80*'Эквивалентный брус'!$F$26</x:f>
        <x:v>171105156.01969472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194.10928043115598</x:v>
      </x:c>
      <x:c r="C81" s="17" t="n">
        <x:f>'Эквивалентный брус'!$E$27*'Эквивалентный брус'!$D$27^3/120000</x:f>
        <x:v>423248.2399649167</x:v>
      </x:c>
      <x:c r="D81" s="17" t="n">
        <x:f>'Эквивалентный брус'!$C$27*'Эквивалентный брус'!$B$81</x:f>
        <x:v>194.10928043115598</x:v>
      </x:c>
      <x:c r="E81" s="17" t="n">
        <x:f>'Эквивалентный брус'!$D$81*'Эквивалентный брус'!$F$27</x:f>
        <x:v>207282.19606815345</x:v>
      </x:c>
      <x:c r="F81" s="18" t="n">
        <x:f>'Эквивалентный брус'!$E$81*'Эквивалентный брус'!$F$27</x:f>
        <x:v>221349070.54109126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194.10928043115598</x:v>
      </x:c>
      <x:c r="C82" s="17" t="n">
        <x:f>'Эквивалентный брус'!$E$28*'Эквивалентный брус'!$D$28^3/120000</x:f>
        <x:v>423248.2399649167</x:v>
      </x:c>
      <x:c r="D82" s="17" t="n">
        <x:f>'Эквивалентный брус'!$C$28*'Эквивалентный брус'!$B$82</x:f>
        <x:v>194.10928043115598</x:v>
      </x:c>
      <x:c r="E82" s="17" t="n">
        <x:f>'Эквивалентный брус'!$D$82*'Эквивалентный брус'!$F$28</x:f>
        <x:v>238680.87335940442</x:v>
      </x:c>
      <x:c r="F82" s="18" t="n">
        <x:f>'Эквивалентный брус'!$E$82*'Эквивалентный брус'!$F$28</x:f>
        <x:v>293487045.962302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179.4</x:v>
      </x:c>
      <x:c r="C83" s="17" t="n">
        <x:f>'Эквивалентный брус'!$E$29*'Эквивалентный брус'!$D$29^3/120000</x:f>
        <x:v>334136.2375</x:v>
      </x:c>
      <x:c r="D83" s="17" t="n">
        <x:f>'Эквивалентный брус'!$C$29*'Эквивалентный брус'!$B$83</x:f>
        <x:v>179.4</x:v>
      </x:c>
      <x:c r="E83" s="17" t="n">
        <x:f>'Эквивалентный брус'!$D$83*'Эквивалентный брус'!$F$29</x:f>
        <x:v>248513.85</x:v>
      </x:c>
      <x:c r="F83" s="18" t="n">
        <x:f>'Эквивалентный брус'!$E$83*'Эквивалентный брус'!$F$29</x:f>
        <x:v>344253810.71250004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225</x:v>
      </x:c>
      <x:c r="C84" s="17" t="n">
        <x:f>'Эквивалентный брус'!$D$30*'Эквивалентный брус'!$E$30^3/120000</x:f>
        <x:v>42.1875</x:v>
      </x:c>
      <x:c r="D84" s="17" t="n">
        <x:f>'Эквивалентный брус'!$C$30*'Эквивалентный брус'!$B$84</x:f>
        <x:v>225</x:v>
      </x:c>
      <x:c r="E84" s="17" t="n">
        <x:f>'Эквивалентный брус'!$D$84*'Эквивалентный брус'!$F$30</x:f>
        <x:v>38250</x:v>
      </x:c>
      <x:c r="F84" s="18" t="n">
        <x:f>'Эквивалентный брус'!$E$84*'Эквивалентный брус'!$F$30</x:f>
        <x:v>6502500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1650</x:v>
      </x:c>
      <x:c r="C85" s="17" t="n">
        <x:f>'Эквивалентный брус'!$D$31*'Эквивалентный брус'!$E$31^3/120000</x:f>
        <x:v>309.375</x:v>
      </x:c>
      <x:c r="D85" s="17" t="n">
        <x:f>'Эквивалентный брус'!$C$31*'Эквивалентный брус'!$B$85</x:f>
        <x:v>1650</x:v>
      </x:c>
      <x:c r="E85" s="17" t="n">
        <x:f>'Эквивалентный брус'!$D$85*'Эквивалентный брус'!$F$31</x:f>
        <x:v>280500</x:v>
      </x:c>
      <x:c r="F85" s="18" t="n">
        <x:f>'Эквивалентный брус'!$E$85*'Эквивалентный брус'!$F$31</x:f>
        <x:v>47685000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1376.0995603516485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286825.9434561829</x:v>
      </x:c>
      <x:c r="D86" s="17" t="n">
        <x:f>'Эквивалентный брус'!$C$32*'Эквивалентный брус'!$B$86</x:f>
        <x:v>1376.0995603516485</x:v>
      </x:c>
      <x:c r="E86" s="17" t="n">
        <x:f>'Эквивалентный брус'!$D$86*'Эквивалентный брус'!$F$32</x:f>
        <x:v>2043507.847122198</x:v>
      </x:c>
      <x:c r="F86" s="18" t="n">
        <x:f>'Эквивалентный брус'!$E$86*'Эквивалентный брус'!$F$32</x:f>
        <x:v>3034609152.976464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255</x:v>
      </x:c>
      <x:c r="C87" s="17" t="n">
        <x:f>'Эквивалентный брус'!$E$33*'Эквивалентный брус'!$D$33^3/120000</x:f>
        <x:v>614125</x:v>
      </x:c>
      <x:c r="D87" s="17" t="n">
        <x:f>'Эквивалентный брус'!$C$33*'Эквивалентный брус'!$B$87</x:f>
        <x:v>255</x:v>
      </x:c>
      <x:c r="E87" s="17" t="n">
        <x:f>'Эквивалентный брус'!$D$87*'Эквивалентный брус'!$F$33</x:f>
        <x:v>65025</x:v>
      </x:c>
      <x:c r="F87" s="18" t="n">
        <x:f>'Эквивалентный брус'!$E$87*'Эквивалентный брус'!$F$33</x:f>
        <x:v>16581375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238</x:v>
      </x:c>
      <x:c r="C88" s="17" t="n">
        <x:f>'Эквивалентный брус'!$E$34*'Эквивалентный брус'!$D$34^3/120000</x:f>
        <x:v>573183.3333333334</x:v>
      </x:c>
      <x:c r="D88" s="17" t="n">
        <x:f>'Эквивалентный брус'!$C$34*'Эквивалентный брус'!$B$88</x:f>
        <x:v>238</x:v>
      </x:c>
      <x:c r="E88" s="17" t="n">
        <x:f>'Эквивалентный брус'!$D$88*'Эквивалентный брус'!$F$34</x:f>
        <x:v>101150</x:v>
      </x:c>
      <x:c r="F88" s="18" t="n">
        <x:f>'Эквивалентный брус'!$E$88*'Эквивалентный брус'!$F$34</x:f>
        <x:v>42988750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221</x:v>
      </x:c>
      <x:c r="C89" s="17" t="n">
        <x:f>'Эквивалентный брус'!$E$35*'Эквивалентный брус'!$D$35^3/120000</x:f>
        <x:v>532241.6666666666</x:v>
      </x:c>
      <x:c r="D89" s="17" t="n">
        <x:f>'Эквивалентный брус'!$C$35*'Эквивалентный брус'!$B$89</x:f>
        <x:v>221</x:v>
      </x:c>
      <x:c r="E89" s="17" t="n">
        <x:f>'Эквивалентный брус'!$D$89*'Эквивалентный брус'!$F$35</x:f>
        <x:v>131495</x:v>
      </x:c>
      <x:c r="F89" s="18" t="n">
        <x:f>'Эквивалентный брус'!$E$89*'Эквивалентный брус'!$F$35</x:f>
        <x:v>78239525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221</x:v>
      </x:c>
      <x:c r="C90" s="17" t="n">
        <x:f>'Эквивалентный брус'!$E$36*'Эквивалентный брус'!$D$36^3/120000</x:f>
        <x:v>532241.6666666666</x:v>
      </x:c>
      <x:c r="D90" s="17" t="n">
        <x:f>'Эквивалентный брус'!$C$36*'Эквивалентный брус'!$B$90</x:f>
        <x:v>221</x:v>
      </x:c>
      <x:c r="E90" s="17" t="n">
        <x:f>'Эквивалентный брус'!$D$90*'Эквивалентный брус'!$F$36</x:f>
        <x:v>169065</x:v>
      </x:c>
      <x:c r="F90" s="18" t="n">
        <x:f>'Эквивалентный брус'!$E$90*'Эквивалентный брус'!$F$36</x:f>
        <x:v>129334725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204</x:v>
      </x:c>
      <x:c r="C91" s="17" t="n">
        <x:f>'Эквивалентный брус'!$E$37*'Эквивалентный брус'!$D$37^3/120000</x:f>
        <x:v>491300</x:v>
      </x:c>
      <x:c r="D91" s="17" t="n">
        <x:f>'Эквивалентный брус'!$C$37*'Эквивалентный брус'!$B$91</x:f>
        <x:v>204</x:v>
      </x:c>
      <x:c r="E91" s="17" t="n">
        <x:f>'Эквивалентный брус'!$D$91*'Эквивалентный брус'!$F$37</x:f>
        <x:v>190740</x:v>
      </x:c>
      <x:c r="F91" s="18" t="n">
        <x:f>'Эквивалентный брус'!$E$91*'Эквивалентный брус'!$F$37</x:f>
        <x:v>178341900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204</x:v>
      </x:c>
      <x:c r="C92" s="17" t="n">
        <x:f>'Эквивалентный брус'!$E$38*'Эквивалентный брус'!$D$38^3/120000</x:f>
        <x:v>491300</x:v>
      </x:c>
      <x:c r="D92" s="17" t="n">
        <x:f>'Эквивалентный брус'!$C$38*'Эквивалентный брус'!$B$92</x:f>
        <x:v>204</x:v>
      </x:c>
      <x:c r="E92" s="17" t="n">
        <x:f>'Эквивалентный брус'!$D$92*'Эквивалентный брус'!$F$38</x:f>
        <x:v>225420</x:v>
      </x:c>
      <x:c r="F92" s="18" t="n">
        <x:f>'Эквивалентный брус'!$E$92*'Эквивалентный брус'!$F$38</x:f>
        <x:v>249089100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331.2</x:v>
      </x:c>
      <x:c r="C93" s="17" t="n">
        <x:f>'Эквивалентный брус'!$E$39*'Эквивалентный брус'!$D$39^3/120000</x:f>
        <x:v>2102457.6</x:v>
      </x:c>
      <x:c r="D93" s="17" t="n">
        <x:f>'Эквивалентный брус'!$C$39*'Эквивалентный брус'!$B$93</x:f>
        <x:v>331.2</x:v>
      </x:c>
      <x:c r="E93" s="17" t="n">
        <x:f>'Эквивалентный брус'!$D$93*'Эквивалентный брус'!$F$39</x:f>
        <x:v>439833.6</x:v>
      </x:c>
      <x:c r="F93" s="18" t="n">
        <x:f>'Эквивалентный брус'!$E$93*'Эквивалентный брус'!$F$39</x:f>
        <x:v>584099020.8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272</x:v>
      </x:c>
      <x:c r="C94" s="17" t="n">
        <x:f>'Эквивалентный брус'!$E$40*'Эквивалентный брус'!$D$40^3/120000</x:f>
        <x:v>655066.6666666666</x:v>
      </x:c>
      <x:c r="D94" s="17" t="n">
        <x:f>'Эквивалентный брус'!$C$40*'Эквивалентный брус'!$B$94</x:f>
        <x:v>136</x:v>
      </x:c>
      <x:c r="E94" s="17" t="n">
        <x:f>'Эквивалентный брус'!$D$94*'Эквивалентный брус'!$F$40</x:f>
        <x:v>11560</x:v>
      </x:c>
      <x:c r="F94" s="17" t="n">
        <x:f>'Эквивалентный брус'!$E$94*'Эквивалентный брус'!$F$40</x:f>
        <x:v>982600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272</x:v>
      </x:c>
      <x:c r="C95" s="17" t="n">
        <x:f>'Эквивалентный брус'!$E$41*'Эквивалентный брус'!$D$41^3/120000</x:f>
        <x:v>655066.6666666666</x:v>
      </x:c>
      <x:c r="D95" s="17" t="n">
        <x:f>'Эквивалентный брус'!$C$41*'Эквивалентный брус'!$B$95</x:f>
        <x:v>272</x:v>
      </x:c>
      <x:c r="E95" s="17" t="n">
        <x:f>'Эквивалентный брус'!$D$95*'Эквивалентный брус'!$F$41</x:f>
        <x:v>23120</x:v>
      </x:c>
      <x:c r="F95" s="17" t="n">
        <x:f>'Эквивалентный брус'!$E$95*'Эквивалентный брус'!$F$41</x:f>
        <x:v>1965200</x:v>
      </x:c>
    </x:row>
    <x:row r="96" ht="32" customHeight="1">
      <x:c r="A96" s="13" t="str">
        <x:f>'Эквивалентный брус'!$A$42</x:f>
        <x:v>B-L</x:v>
      </x:c>
      <x:c r="B96" s="17" t="n">
        <x:f>'HP DIN1019'!F20</x:f>
        <x:v>38.7</x:v>
      </x:c>
      <x:c r="C96" s="17" t="n">
        <x:f>'HP DIN1019'!D51</x:f>
        <x:v>2610</x:v>
      </x:c>
      <x:c r="D96" s="17" t="n">
        <x:f>'Эквивалентный брус'!$C$42*'Эквивалентный брус'!$B$96</x:f>
        <x:v>541.8000000000001</x:v>
      </x:c>
      <x:c r="E96" s="17" t="n">
        <x:f>'Эквивалентный брус'!$D$96*'Эквивалентный брус'!$F$42</x:f>
        <x:v>8668.800000000001</x:v>
      </x:c>
      <x:c r="F96" s="17" t="n">
        <x:f>'Эквивалентный брус'!$E$96*'Эквивалентный брус'!$F$42</x:f>
        <x:v>138700.80000000002</x:v>
      </x:c>
    </x:row>
    <x:row r="97" ht="32" customHeight="1">
      <x:c r="A97" s="13" t="str">
        <x:f>'Эквивалентный брус'!$A$43</x:f>
        <x:v>IB-L</x:v>
      </x:c>
      <x:c r="B97" s="17" t="n">
        <x:f>'HP DIN1019'!F19</x:f>
        <x:v>36.1</x:v>
      </x:c>
      <x:c r="C97" s="17" t="n">
        <x:f>'HP DIN1019'!D50</x:f>
        <x:v>2477</x:v>
      </x:c>
      <x:c r="D97" s="17" t="n">
        <x:f>'Эквивалентный брус'!$C$43*'Эквивалентный брус'!$B$97</x:f>
        <x:v>505.40000000000003</x:v>
      </x:c>
      <x:c r="E97" s="17" t="n">
        <x:f>'Эквивалентный брус'!$D$97*'Эквивалентный брус'!$F$43</x:f>
        <x:v>77730.52</x:v>
      </x:c>
      <x:c r="F97" s="18" t="n">
        <x:f>'Эквивалентный брус'!$E$97*'Эквивалентный брус'!$F$43</x:f>
        <x:v>11954953.976000002</x:v>
      </x:c>
    </x:row>
    <x:row r="98" ht="32" customHeight="1">
      <x:c r="A98" s="13" t="str">
        <x:f>'Эквивалентный брус'!$A$44</x:f>
        <x:v>DW1</x:v>
      </x:c>
      <x:c r="B98" s="17" t="n">
        <x:f>'HP DIN1019'!F11</x:f>
        <x:v>22.5</x:v>
      </x:c>
      <x:c r="C98" s="17" t="n">
        <x:f>'HP DIN1019'!D42</x:f>
        <x:v>717</x:v>
      </x:c>
      <x:c r="D98" s="17" t="n">
        <x:f>'Эквивалентный брус'!$C$44*'Эквивалентный брус'!$B$98</x:f>
        <x:v>22.5</x:v>
      </x:c>
      <x:c r="E98" s="17" t="n">
        <x:f>'Эквивалентный брус'!$D$98*'Эквивалентный брус'!$F$44</x:f>
        <x:v>32656.500000000004</x:v>
      </x:c>
      <x:c r="F98" s="18" t="n">
        <x:f>'Эквивалентный брус'!$E$98*'Эквивалентный брус'!$F$44</x:f>
        <x:v>47397644.10000001</x:v>
      </x:c>
    </x:row>
    <x:row r="99" ht="32" customHeight="1">
      <x:c r="A99" s="13" t="str">
        <x:f>'Эквивалентный брус'!$A$45</x:f>
        <x:v>DW2</x:v>
      </x:c>
      <x:c r="B99" s="17" t="n">
        <x:f>'HP DIN1019'!F11</x:f>
        <x:v>22.5</x:v>
      </x:c>
      <x:c r="C99" s="17" t="n">
        <x:f>'HP DIN1019'!D42</x:f>
        <x:v>717</x:v>
      </x:c>
      <x:c r="D99" s="17" t="n">
        <x:f>'Эквивалентный брус'!$C$45*'Эквивалентный брус'!$B$99</x:f>
        <x:v>22.5</x:v>
      </x:c>
      <x:c r="E99" s="17" t="n">
        <x:f>'Эквивалентный брус'!$D$99*'Эквивалентный брус'!$F$45</x:f>
        <x:v>32701.499999999996</x:v>
      </x:c>
      <x:c r="F99" s="18" t="n">
        <x:f>'Эквивалентный брус'!$E$99*'Эквивалентный брус'!$F$45</x:f>
        <x:v>47528360.09999999</x:v>
      </x:c>
    </x:row>
    <x:row r="100" ht="32" customHeight="1">
      <x:c r="A100" s="13" t="str">
        <x:f>'Эквивалентный брус'!$A$46</x:f>
        <x:v>DL1</x:v>
      </x:c>
      <x:c r="B100" s="17" t="n">
        <x:f>'HP DIN1019'!F11</x:f>
        <x:v>22.5</x:v>
      </x:c>
      <x:c r="C100" s="17" t="n">
        <x:f>'HP DIN1019'!D42</x:f>
        <x:v>717</x:v>
      </x:c>
      <x:c r="D100" s="17" t="n">
        <x:f>'Эквивалентный брус'!$C$46*'Эквивалентный брус'!$B$100</x:f>
        <x:v>22.5</x:v>
      </x:c>
      <x:c r="E100" s="17" t="n">
        <x:f>'Эквивалентный брус'!$D$100*'Эквивалентный брус'!$F$46</x:f>
        <x:v>32809.5</x:v>
      </x:c>
      <x:c r="F100" s="18" t="n">
        <x:f>'Эквивалентный брус'!$E$100*'Эквивалентный брус'!$F$46</x:f>
        <x:v>47842812.9</x:v>
      </x:c>
    </x:row>
    <x:row r="101" ht="32" customHeight="1">
      <x:c r="A101" s="13" t="str">
        <x:f>'Эквивалентный брус'!$A$47</x:f>
        <x:v>DL2</x:v>
      </x:c>
      <x:c r="B101" s="17" t="n">
        <x:f>'HP DIN1019'!F11</x:f>
        <x:v>22.5</x:v>
      </x:c>
      <x:c r="C101" s="17" t="n">
        <x:f>'HP DIN1019'!D42</x:f>
        <x:v>717</x:v>
      </x:c>
      <x:c r="D101" s="17" t="n">
        <x:f>'Эквивалентный брус'!$C$47*'Эквивалентный брус'!$B$101</x:f>
        <x:v>22.5</x:v>
      </x:c>
      <x:c r="E101" s="17" t="n">
        <x:f>'Эквивалентный брус'!$D$101*'Эквивалентный брус'!$F$47</x:f>
        <x:v>32872.5</x:v>
      </x:c>
      <x:c r="F101" s="18" t="n">
        <x:f>'Эквивалентный брус'!$E$101*'Эквивалентный брус'!$F$47</x:f>
        <x:v>48026722.5</x:v>
      </x:c>
    </x:row>
    <x:row r="102" ht="32" customHeight="1">
      <x:c r="A102" s="13" t="str">
        <x:f>'Эквивалентный брус'!$A$48</x:f>
        <x:v>DL3</x:v>
      </x:c>
      <x:c r="B102" s="17" t="n">
        <x:f>'HP DIN1019'!F11</x:f>
        <x:v>22.5</x:v>
      </x:c>
      <x:c r="C102" s="17" t="n">
        <x:f>'HP DIN1019'!D42</x:f>
        <x:v>717</x:v>
      </x:c>
      <x:c r="D102" s="17" t="n">
        <x:f>'Эквивалентный брус'!$C$48*'Эквивалентный брус'!$B$102</x:f>
        <x:v>22.5</x:v>
      </x:c>
      <x:c r="E102" s="17" t="n">
        <x:f>'Эквивалентный брус'!$D$102*'Эквивалентный брус'!$F$48</x:f>
        <x:v>32940.00000000001</x:v>
      </x:c>
      <x:c r="F102" s="18" t="n">
        <x:f>'Эквивалентный брус'!$E$102*'Эквивалентный брус'!$F$48</x:f>
        <x:v>48224160.000000015</x:v>
      </x:c>
    </x:row>
    <x:row r="103" ht="32" customHeight="1">
      <x:c r="A103" s="13" t="str">
        <x:f>'Эквивалентный брус'!$A$49</x:f>
        <x:v>DL4</x:v>
      </x:c>
      <x:c r="B103" s="17" t="n">
        <x:f>'HP DIN1019'!F11</x:f>
        <x:v>22.5</x:v>
      </x:c>
      <x:c r="C103" s="17" t="n">
        <x:f>'HP DIN1019'!D42</x:f>
        <x:v>717</x:v>
      </x:c>
      <x:c r="D103" s="17" t="n">
        <x:f>'Эквивалентный брус'!$C$49*'Эквивалентный брус'!$B$103</x:f>
        <x:v>22.5</x:v>
      </x:c>
      <x:c r="E103" s="17" t="n">
        <x:f>'Эквивалентный брус'!$D$103*'Эквивалентный брус'!$F$49</x:f>
        <x:v>33007.5</x:v>
      </x:c>
      <x:c r="F103" s="18" t="n">
        <x:f>'Эквивалентный брус'!$E$103*'Эквивалентный брус'!$F$49</x:f>
        <x:v>48422002.5</x:v>
      </x:c>
    </x:row>
    <x:row r="104" ht="32" customHeight="1">
      <x:c r="A104" s="13" t="str">
        <x:f>'Эквивалентный брус'!$A$50</x:f>
        <x:v>DL5</x:v>
      </x:c>
      <x:c r="B104" s="17" t="n">
        <x:f>'HP DIN1019'!F11</x:f>
        <x:v>22.5</x:v>
      </x:c>
      <x:c r="C104" s="17" t="n">
        <x:f>'HP DIN1019'!D42</x:f>
        <x:v>717</x:v>
      </x:c>
      <x:c r="D104" s="17" t="n">
        <x:f>'Эквивалентный брус'!$C$50*'Эквивалентный брус'!$B$104</x:f>
        <x:v>22.5</x:v>
      </x:c>
      <x:c r="E104" s="17" t="n">
        <x:f>'Эквивалентный брус'!$D$104*'Эквивалентный брус'!$F$50</x:f>
        <x:v>33075</x:v>
      </x:c>
      <x:c r="F104" s="18" t="n">
        <x:f>'Эквивалентный брус'!$E$104*'Эквивалентный брус'!$F$50</x:f>
        <x:v>48620250</x:v>
      </x:c>
    </x:row>
    <x:row r="105" ht="32" customHeight="1">
      <x:c r="A105" s="13" t="str">
        <x:f>'Эквивалентный брус'!$A$51</x:f>
        <x:v>DL6</x:v>
      </x:c>
      <x:c r="B105" s="17" t="n">
        <x:f>'HP DIN1019'!F11</x:f>
        <x:v>22.5</x:v>
      </x:c>
      <x:c r="C105" s="17" t="n">
        <x:f>'HP DIN1019'!D42</x:f>
        <x:v>717</x:v>
      </x:c>
      <x:c r="D105" s="17" t="n">
        <x:f>'Эквивалентный брус'!$C$51*'Эквивалентный брус'!$B$105</x:f>
        <x:v>22.5</x:v>
      </x:c>
      <x:c r="E105" s="17" t="n">
        <x:f>'Эквивалентный брус'!$D$105*'Эквивалентный брус'!$F$51</x:f>
        <x:v>33142.50000000001</x:v>
      </x:c>
      <x:c r="F105" s="18" t="n">
        <x:f>'Эквивалентный брус'!$E$105*'Эквивалентный брус'!$F$51</x:f>
        <x:v>48818902.500000015</x:v>
      </x:c>
    </x:row>
    <x:row r="106" ht="32" customHeight="1">
      <x:c r="A106" s="13" t="str">
        <x:f>'Эквивалентный брус'!$A$52</x:f>
        <x:v>DL7</x:v>
      </x:c>
      <x:c r="B106" s="17" t="n">
        <x:f>'HP DIN1019'!F11</x:f>
        <x:v>22.5</x:v>
      </x:c>
      <x:c r="C106" s="17" t="n">
        <x:f>'HP DIN1019'!D42</x:f>
        <x:v>717</x:v>
      </x:c>
      <x:c r="D106" s="17" t="n">
        <x:f>'Эквивалентный брус'!$C$52*'Эквивалентный брус'!$B$106</x:f>
        <x:v>22.5</x:v>
      </x:c>
      <x:c r="E106" s="17" t="n">
        <x:f>'Эквивалентный брус'!$D$106*'Эквивалентный брус'!$F$52</x:f>
        <x:v>33210</x:v>
      </x:c>
      <x:c r="F106" s="18" t="n">
        <x:f>'Эквивалентный брус'!$E$106*'Эквивалентный брус'!$F$52</x:f>
        <x:v>49017960</x:v>
      </x:c>
    </x:row>
    <x:row r="107" ht="32" customHeight="1">
      <x:c r="A107" s="13" t="str">
        <x:f>'Эквивалентный брус'!$A$53</x:f>
        <x:v>DL8</x:v>
      </x:c>
      <x:c r="B107" s="17" t="n">
        <x:f>'HP DIN1019'!F11</x:f>
        <x:v>22.5</x:v>
      </x:c>
      <x:c r="C107" s="17" t="n">
        <x:f>'HP DIN1019'!D42</x:f>
        <x:v>717</x:v>
      </x:c>
      <x:c r="D107" s="17" t="n">
        <x:f>'Эквивалентный брус'!$C$53*'Эквивалентный брус'!$B$107</x:f>
        <x:v>22.5</x:v>
      </x:c>
      <x:c r="E107" s="17" t="n">
        <x:f>'Эквивалентный брус'!$D$107*'Эквивалентный брус'!$F$53</x:f>
        <x:v>33273.00000000001</x:v>
      </x:c>
      <x:c r="F107" s="18" t="n">
        <x:f>'Эквивалентный брус'!$E$107*'Эквивалентный брус'!$F$53</x:f>
        <x:v>49204112.40000001</x:v>
      </x:c>
    </x:row>
    <x:row r="108" ht="32" customHeight="1">
      <x:c r="A108" s="13" t="str">
        <x:f>'Эквивалентный брус'!$A$54</x:f>
        <x:v>DL9</x:v>
      </x:c>
      <x:c r="B108" s="17" t="n">
        <x:f>'HP DIN1019'!F11</x:f>
        <x:v>22.5</x:v>
      </x:c>
      <x:c r="C108" s="17" t="n">
        <x:f>'HP DIN1019'!D42</x:f>
        <x:v>717</x:v>
      </x:c>
      <x:c r="D108" s="17" t="n">
        <x:f>'Эквивалентный брус'!$C$54*'Эквивалентный брус'!$B$108</x:f>
        <x:v>22.5</x:v>
      </x:c>
      <x:c r="E108" s="17" t="n">
        <x:f>'Эквивалентный брус'!$D$108*'Эквивалентный брус'!$F$54</x:f>
        <x:v>33340.5</x:v>
      </x:c>
      <x:c r="F108" s="18" t="n">
        <x:f>'Эквивалентный брус'!$E$108*'Эквивалентный брус'!$F$54</x:f>
        <x:v>49403952.9</x:v>
      </x:c>
    </x:row>
    <x:row r="109" ht="32" customHeight="1">
      <x:c r="A109" s="13" t="str">
        <x:f>'Эквивалентный брус'!$A$55</x:f>
        <x:v>DL10</x:v>
      </x:c>
      <x:c r="B109" s="17" t="n">
        <x:f>'HP DIN1019'!F11</x:f>
        <x:v>22.5</x:v>
      </x:c>
      <x:c r="C109" s="17" t="n">
        <x:f>'HP DIN1019'!D42</x:f>
        <x:v>717</x:v>
      </x:c>
      <x:c r="D109" s="17" t="n">
        <x:f>'Эквивалентный брус'!$C$55*'Эквивалентный брус'!$B$109</x:f>
        <x:v>22.5</x:v>
      </x:c>
      <x:c r="E109" s="17" t="n">
        <x:f>'Эквивалентный брус'!$D$109*'Эквивалентный брус'!$F$55</x:f>
        <x:v>33408</x:v>
      </x:c>
      <x:c r="F109" s="18" t="n">
        <x:f>'Эквивалентный брус'!$E$109*'Эквивалентный брус'!$F$55</x:f>
        <x:v>49604198.4</x:v>
      </x:c>
    </x:row>
    <x:row r="110" ht="32" customHeight="1">
      <x:c r="A110" s="13" t="str">
        <x:f>'Эквивалентный брус'!$A$56</x:f>
        <x:v>DL11</x:v>
      </x:c>
      <x:c r="B110" s="17" t="n">
        <x:f>'HP DIN1019'!F11</x:f>
        <x:v>22.5</x:v>
      </x:c>
      <x:c r="C110" s="17" t="n">
        <x:f>'HP DIN1019'!D42</x:f>
        <x:v>717</x:v>
      </x:c>
      <x:c r="D110" s="17" t="n">
        <x:f>'Эквивалентный брус'!$C$56*'Эквивалентный брус'!$B$110</x:f>
        <x:v>22.5</x:v>
      </x:c>
      <x:c r="E110" s="17" t="n">
        <x:f>'Эквивалентный брус'!$D$110*'Эквивалентный брус'!$F$56</x:f>
        <x:v>33475.50000000001</x:v>
      </x:c>
      <x:c r="F110" s="18" t="n">
        <x:f>'Эквивалентный брус'!$E$110*'Эквивалентный брус'!$F$56</x:f>
        <x:v>49804848.90000001</x:v>
      </x:c>
    </x:row>
    <x:row r="111" ht="32" customHeight="1">
      <x:c r="A111" s="13" t="str">
        <x:f>'Эквивалентный брус'!$A$57</x:f>
        <x:v>DL12</x:v>
      </x:c>
      <x:c r="B111" s="17" t="n">
        <x:f>'HP DIN1019'!F11</x:f>
        <x:v>22.5</x:v>
      </x:c>
      <x:c r="C111" s="17" t="n">
        <x:f>'HP DIN1019'!D42</x:f>
        <x:v>717</x:v>
      </x:c>
      <x:c r="D111" s="17" t="n">
        <x:f>'Эквивалентный брус'!$C$57*'Эквивалентный брус'!$B$111</x:f>
        <x:v>22.5</x:v>
      </x:c>
      <x:c r="E111" s="17" t="n">
        <x:f>'Эквивалентный брус'!$D$111*'Эквивалентный брус'!$F$57</x:f>
        <x:v>33543</x:v>
      </x:c>
      <x:c r="F111" s="18" t="n">
        <x:f>'Эквивалентный брус'!$E$111*'Эквивалентный брус'!$F$57</x:f>
        <x:v>50005904.4</x:v>
      </x:c>
    </x:row>
    <x:row r="112" ht="32" customHeight="1">
      <x:c r="A112" s="13" t="str">
        <x:f>'Эквивалентный брус'!$A$58</x:f>
        <x:v>DL13</x:v>
      </x:c>
      <x:c r="B112" s="17" t="n">
        <x:f>'HP DIN1019'!F11</x:f>
        <x:v>22.5</x:v>
      </x:c>
      <x:c r="C112" s="17" t="n">
        <x:f>'HP DIN1019'!D42</x:f>
        <x:v>717</x:v>
      </x:c>
      <x:c r="D112" s="17" t="n">
        <x:f>'Эквивалентный брус'!$C$58*'Эквивалентный брус'!$B$112</x:f>
        <x:v>22.5</x:v>
      </x:c>
      <x:c r="E112" s="17" t="n">
        <x:f>'Эквивалентный брус'!$D$112*'Эквивалентный брус'!$F$58</x:f>
        <x:v>33610.50000000001</x:v>
      </x:c>
      <x:c r="F112" s="18" t="n">
        <x:f>'Эквивалентный брус'!$E$112*'Эквивалентный брус'!$F$58</x:f>
        <x:v>50207364.90000001</x:v>
      </x:c>
    </x:row>
    <x:row r="113" ht="32" customHeight="1">
      <x:c r="A113" s="13" t="str">
        <x:f>'Эквивалентный брус'!$A$59</x:f>
        <x:v>DL14</x:v>
      </x:c>
      <x:c r="B113" s="17" t="n">
        <x:f>'HP DIN1019'!F11</x:f>
        <x:v>22.5</x:v>
      </x:c>
      <x:c r="C113" s="17" t="n">
        <x:f>'HP DIN1019'!D42</x:f>
        <x:v>717</x:v>
      </x:c>
      <x:c r="D113" s="17" t="n">
        <x:f>'Эквивалентный брус'!$C$59*'Эквивалентный брус'!$B$113</x:f>
        <x:v>22.5</x:v>
      </x:c>
      <x:c r="E113" s="17" t="n">
        <x:f>'Эквивалентный брус'!$D$113*'Эквивалентный брус'!$F$59</x:f>
        <x:v>33673.5</x:v>
      </x:c>
      <x:c r="F113" s="18" t="n">
        <x:f>'Эквивалентный брус'!$E$113*'Эквивалентный брус'!$F$59</x:f>
        <x:v>50395760.099999994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10521.19312121396</x:v>
      </x:c>
      <x:c r="E114" s="18" t="n">
        <x:f>SUM('Эквивалентный брус'!$E$66:$E$113)</x:f>
        <x:v>5713751.266334258</x:v>
      </x:c>
      <x:c r="F114" s="18" t="n">
        <x:f>SUM('Эквивалентный брус'!$F$66:$F$113)</x:f>
        <x:v>6461283108.392548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30.603895833333333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50.625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50.625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50.625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50.625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50.625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36.6328125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2550.336588763977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342394.72869668464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9250.77209221807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512000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512000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477866.6666666667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477866.6666666667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443733.3333333333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423248.2399649167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423248.2399649167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334136.2375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42.1875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309.375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286825.9434561829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614125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573183.3333333334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532241.6666666666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532241.6666666666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491300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491300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2102457.6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327533.3333333333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655066.6666666666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36540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34678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717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717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717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717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717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717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717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717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717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717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717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717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717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717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717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717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10647932.35580535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2*(D114+SUM('Дополнительные связи'!F22:F25))</x:f>
        <x:v>23968.38624242792</x:v>
      </x:c>
      <x:c r="D174" s="17"/>
      <x:c r="E174" s="3" t="str">
        <x:v>см²</x:v>
      </x:c>
      <x:c r="F174" s="3" t="str">
        <x:v>2 × 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2*(E114+SUM('Дополнительные связи'!B29:B32))</x:f>
        <x:v>13875622.532668516</x:v>
      </x:c>
      <x:c r="D175" s="17"/>
      <x:c r="E175" s="3" t="str">
        <x:v>см³</x:v>
      </x:c>
      <x:c r="F175" s="3" t="str">
        <x:v>2 × 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2*(F114+B168+SUM('Дополнительные связи'!C29:D32))</x:f>
        <x:v>15378758692.590038</x:v>
      </x:c>
      <x:c r="D176" s="32"/>
      <x:c r="E176" s="3" t="str">
        <x:v>см⁴</x:v>
      </x:c>
      <x:c r="F176" s="3" t="str">
        <x:v>2 × 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578.9135068303606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7345973392.748537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1510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12689241.667496856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7889678.828592068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12689241.667496856</x:v>
      </x:c>
      <x:c r="D186" s="33" t="n">
        <x:f>'Изгиб корпуса'!B27</x:f>
        <x:v>6350706.393028109</x:v>
      </x:c>
      <x:c r="E186" s="10" t="n">
        <x:f>C186/D186</x:f>
        <x:v>1.998083501612872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7889678.828592068</x:v>
      </x:c>
      <x:c r="D187" s="33" t="n">
        <x:f>'Изгиб корпуса'!B21</x:f>
        <x:v>6350706.393028109</x:v>
      </x:c>
      <x:c r="E187" s="10" t="n">
        <x:f>C187/D187</x:f>
        <x:v>1.242330906252171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7345973392.748537</x:v>
      </x:c>
      <x:c r="D188" s="18" t="n">
        <x:f>'Изгиб корпуса'!B29</x:f>
        <x:v>882748188.6309073</x:v>
      </x:c>
      <x:c r="E188" s="10" t="n">
        <x:f>C188/D188</x:f>
        <x:v>8.321708826320819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4" customHeight="1">
      <x:c r="A194" s="3" t="str">
        <x:v>6. Переборка в ДП и платформы — половина сечения</x:v>
      </x:c>
      <x:c r="B194" s="3"/>
      <x:c r="C194" s="3"/>
      <x:c r="D194" s="3"/>
      <x:c r="E194" s="3"/>
      <x:c r="F194" s="3"/>
    </x:row>
    <x:row r="195" ht="34" customHeight="1">
      <x:c r="A195" s="3"/>
      <x:c r="B195" s="3"/>
      <x:c r="C195" s="3"/>
      <x:c r="D195" s="3"/>
      <x:c r="E195" s="3"/>
      <x:c r="F195" s="3"/>
    </x:row>
    <x:row r="196" ht="34" customHeight="1">
      <x:c r="A196" s="43" t="str">
        <x:v>Элемент</x:v>
      </x:c>
      <x:c r="B196" s="43" t="str">
        <x:v>n</x:v>
      </x:c>
      <x:c r="C196" s="43" t="str">
        <x:v>h / b, см</x:v>
      </x:c>
      <x:c r="D196" s="43" t="str">
        <x:v>s, см</x:v>
      </x:c>
      <x:c r="E196" s="43" t="str">
        <x:v>z, см</x:v>
      </x:c>
      <x:c r="F196" s="43" t="str">
        <x:v>nA, см²</x:v>
      </x:c>
    </x:row>
    <x:row r="197" ht="34" customHeight="1">
      <x:c r="A197" s="3" t="str">
        <x:f>'Дополнительные связи'!A22</x:f>
        <x:v>CL</x:v>
      </x:c>
      <x:c r="B197" s="40" t="n">
        <x:f>'Дополнительные связи'!B22</x:f>
        <x:v>0.5</x:v>
      </x:c>
      <x:c r="C197" s="17" t="n">
        <x:f>'Дополнительные связи'!C22</x:f>
        <x:v>1340</x:v>
      </x:c>
      <x:c r="D197" s="17" t="n">
        <x:f>'Дополнительные связи'!D22</x:f>
        <x:v>1.7</x:v>
      </x:c>
      <x:c r="E197" s="17" t="n">
        <x:f>'Дополнительные связи'!E22</x:f>
        <x:v>840</x:v>
      </x:c>
      <x:c r="F197" s="17" t="n">
        <x:f>'Дополнительные связи'!F22</x:f>
        <x:v>1139</x:v>
      </x:c>
    </x:row>
    <x:row r="198" ht="34" customHeight="1">
      <x:c r="A198" s="41" t="str">
        <x:f>'Дополнительные связи'!A23</x:f>
        <x:v>PL1</x:v>
      </x:c>
      <x:c r="B198" s="46" t="n">
        <x:f>'Дополнительные связи'!B23</x:f>
        <x:v>1</x:v>
      </x:c>
      <x:c r="C198" s="47" t="n">
        <x:f>'Дополнительные связи'!C23</x:f>
        <x:v>90</x:v>
      </x:c>
      <x:c r="D198" s="47" t="n">
        <x:f>'Дополнительные связи'!D23</x:f>
        <x:v>1.2</x:v>
      </x:c>
      <x:c r="E198" s="47" t="n">
        <x:f>'Дополнительные связи'!E23</x:f>
        <x:v>500</x:v>
      </x:c>
      <x:c r="F198" s="47" t="n">
        <x:f>'Дополнительные связи'!F23</x:f>
        <x:v>108</x:v>
      </x:c>
    </x:row>
    <x:row r="199" ht="34" customHeight="1">
      <x:c r="A199" s="41" t="str">
        <x:f>'Дополнительные связи'!A24</x:f>
        <x:v>PL2</x:v>
      </x:c>
      <x:c r="B199" s="46" t="n">
        <x:f>'Дополнительные связи'!B24</x:f>
        <x:v>1</x:v>
      </x:c>
      <x:c r="C199" s="47" t="n">
        <x:f>'Дополнительные связи'!C24</x:f>
        <x:v>90</x:v>
      </x:c>
      <x:c r="D199" s="47" t="n">
        <x:f>'Дополнительные связи'!D24</x:f>
        <x:v>1.2</x:v>
      </x:c>
      <x:c r="E199" s="47" t="n">
        <x:f>'Дополнительные связи'!E24</x:f>
        <x:v>825</x:v>
      </x:c>
      <x:c r="F199" s="47" t="n">
        <x:f>'Дополнительные связи'!F24</x:f>
        <x:v>108</x:v>
      </x:c>
    </x:row>
    <x:row r="200" ht="34" customHeight="1">
      <x:c r="A200" s="41" t="str">
        <x:f>'Дополнительные связи'!A25</x:f>
        <x:v>PL3</x:v>
      </x:c>
      <x:c r="B200" s="46" t="n">
        <x:f>'Дополнительные связи'!B25</x:f>
        <x:v>1</x:v>
      </x:c>
      <x:c r="C200" s="47" t="n">
        <x:f>'Дополнительные связи'!C25</x:f>
        <x:v>90</x:v>
      </x:c>
      <x:c r="D200" s="47" t="n">
        <x:f>'Дополнительные связи'!D25</x:f>
        <x:v>1.2</x:v>
      </x:c>
      <x:c r="E200" s="47" t="n">
        <x:f>'Дополнительные связи'!E25</x:f>
        <x:v>1150</x:v>
      </x:c>
      <x:c r="F200" s="47" t="n">
        <x:f>'Дополнительные связи'!F25</x:f>
        <x:v>108</x:v>
      </x:c>
    </x:row>
    <x:row r="201" ht="34" customHeight="1">
      <x:c r="A201" s="41"/>
      <x:c r="B201" s="41"/>
      <x:c r="C201" s="41"/>
      <x:c r="D201" s="41"/>
      <x:c r="E201" s="41"/>
      <x:c r="F201" s="41"/>
    </x:row>
    <x:row r="202" ht="34" customHeight="1">
      <x:c r="A202" s="41"/>
      <x:c r="B202" s="41"/>
      <x:c r="C202" s="41"/>
      <x:c r="D202" s="41"/>
      <x:c r="E202" s="41"/>
      <x:c r="F202" s="41"/>
    </x:row>
    <x:row r="203" ht="34" customHeight="1">
      <x:c r="A203" s="45" t="str">
        <x:v>Элемент</x:v>
      </x:c>
      <x:c r="B203" s="45" t="str">
        <x:v>S, см³</x:v>
      </x:c>
      <x:c r="C203" s="45" t="str">
        <x:v>Az², см⁴</x:v>
      </x:c>
      <x:c r="D203" s="45" t="str">
        <x:v>i, см⁴</x:v>
      </x:c>
      <x:c r="E203" s="45" t="str"/>
      <x:c r="F203" s="45"/>
    </x:row>
    <x:row r="204" ht="34" customHeight="1">
      <x:c r="A204" s="41" t="str">
        <x:f>'Дополнительные связи'!A29</x:f>
        <x:v>CL</x:v>
      </x:c>
      <x:c r="B204" s="47" t="n">
        <x:f>'Дополнительные связи'!B29</x:f>
        <x:v>956760</x:v>
      </x:c>
      <x:c r="C204" s="47" t="n">
        <x:f>'Дополнительные связи'!C29</x:f>
        <x:v>803678400</x:v>
      </x:c>
      <x:c r="D204" s="47" t="n">
        <x:f>'Дополнительные связи'!D29</x:f>
        <x:v>170432366.66666666</x:v>
      </x:c>
      <x:c r="E204" s="41"/>
      <x:c r="F204" s="41"/>
    </x:row>
    <x:row r="205" ht="34" customHeight="1">
      <x:c r="A205" s="41" t="str">
        <x:f>'Дополнительные связи'!A30</x:f>
        <x:v>PL1</x:v>
      </x:c>
      <x:c r="B205" s="47" t="n">
        <x:f>'Дополнительные связи'!B30</x:f>
        <x:v>54000</x:v>
      </x:c>
      <x:c r="C205" s="47" t="n">
        <x:f>'Дополнительные связи'!C30</x:f>
        <x:v>27000000</x:v>
      </x:c>
      <x:c r="D205" s="47" t="n">
        <x:f>'Дополнительные связи'!D30</x:f>
        <x:v>12.959999999999999</x:v>
      </x:c>
      <x:c r="E205" s="41"/>
      <x:c r="F205" s="41"/>
    </x:row>
    <x:row r="206" ht="34" customHeight="1">
      <x:c r="A206" s="41" t="str">
        <x:f>'Дополнительные связи'!A31</x:f>
        <x:v>PL2</x:v>
      </x:c>
      <x:c r="B206" s="47" t="n">
        <x:f>'Дополнительные связи'!B31</x:f>
        <x:v>89100</x:v>
      </x:c>
      <x:c r="C206" s="47" t="n">
        <x:f>'Дополнительные связи'!C31</x:f>
        <x:v>73507500</x:v>
      </x:c>
      <x:c r="D206" s="47" t="n">
        <x:f>'Дополнительные связи'!D31</x:f>
        <x:v>12.959999999999999</x:v>
      </x:c>
      <x:c r="E206" s="41"/>
      <x:c r="F206" s="41"/>
    </x:row>
    <x:row r="207" ht="34" customHeight="1">
      <x:c r="A207" s="41" t="str">
        <x:f>'Дополнительные связи'!A32</x:f>
        <x:v>PL3</x:v>
      </x:c>
      <x:c r="B207" s="47" t="n">
        <x:f>'Дополнительные связи'!B32</x:f>
        <x:v>124200</x:v>
      </x:c>
      <x:c r="C207" s="47" t="n">
        <x:f>'Дополнительные связи'!C32</x:f>
        <x:v>142830000</x:v>
      </x:c>
      <x:c r="D207" s="47" t="n">
        <x:f>'Дополнительные связи'!D32</x:f>
        <x:v>12.959999999999999</x:v>
      </x:c>
      <x:c r="E207" s="41"/>
      <x:c r="F207" s="41"/>
    </x:row>
    <x:row r="208" ht="34" customHeight="1">
      <x:c r="A208" s="41"/>
      <x:c r="B208" s="41"/>
      <x:c r="C208" s="41"/>
      <x:c r="D208" s="41"/>
      <x:c r="E208" s="41"/>
      <x:c r="F208" s="41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0.6*'Исходные данные'!B11</x:f>
        <x:v>5.28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8.8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12.5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11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14.66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15.1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9.1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3.1858670168568914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52.800000000000004</x:v>
      </x:c>
      <x:c r="D21" s="10" t="n">
        <x:f>MAX(0,IF(B21&lt;=$B$5,'Нагрузки'!B7-1.5*'Нагрузки'!B6*($B$5-B21)/$B$5,'Нагрузки'!B7-7.5*'Исходные данные'!B36*(B21-$B$5)))</x:f>
        <x:v>13.060708523981441</x:v>
      </x:c>
      <x:c r="E21" s="10" t="n">
        <x:f>MAX(C21-D21,0)</x:f>
        <x:v>39.739291476018565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191.90222163716814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52.800000000000004</x:v>
      </x:c>
      <x:c r="D22" s="10" t="n">
        <x:f>MAX(0,IF(B22&lt;=$B$5,'Нагрузки'!B7-1.5*'Нагрузки'!B6*($B$5-B22)/$B$5,'Нагрузки'!B7-7.5*'Исходные данные'!B36*(B22-$B$5)))</x:f>
        <x:v>13.060708523981441</x:v>
      </x:c>
      <x:c r="E22" s="10" t="n">
        <x:f>MAX(C22-D22,0)</x:f>
        <x:v>39.739291476018565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191.90222163716814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52.800000000000004</x:v>
      </x:c>
      <x:c r="D23" s="10" t="n">
        <x:f>MAX(0,IF(B23&lt;=$B$5,'Нагрузки'!B7-1.5*'Нагрузки'!B6*($B$5-B23)/$B$5,'Нагрузки'!B7-7.5*'Исходные данные'!B36*(B23-$B$5)))</x:f>
        <x:v>13.060708523981441</x:v>
      </x:c>
      <x:c r="E23" s="10" t="n">
        <x:f>MAX(C23-D23,0)</x:f>
        <x:v>39.739291476018565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191.90222163716814</x:v>
      </x:c>
    </x:row>
    <x:row r="24" ht="40" customHeight="1">
      <x:c r="A24" s="10" t="str">
        <x:v>Второе дно / 1</x:v>
      </x:c>
      <x:c r="B24" s="10" t="n">
        <x:f>'Исходные данные'!B14</x:f>
        <x:v>1.7</x:v>
      </x:c>
      <x:c r="C24" s="10" t="n">
        <x:f>10*MAX($B$5-B24,0)</x:f>
        <x:v>35.8</x:v>
      </x:c>
      <x:c r="D24" s="10" t="n">
        <x:f>MAX(0,IF(B24&lt;=$B$5,'Нагрузки'!B7-1.5*'Нагрузки'!B6*($B$5-B24)/$B$5,'Нагрузки'!B7-7.5*'Исходные данные'!B36*(B24-$B$5)))</x:f>
        <x:v>17.265860889657286</x:v>
      </x:c>
      <x:c r="E24" s="10" t="n">
        <x:f>MAX(C24-D24,0)</x:f>
        <x:v>18.53413911034271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174.80829663716816</x:v>
      </x:c>
    </x:row>
    <x:row r="25" ht="40" customHeight="1">
      <x:c r="A25" s="10" t="str">
        <x:v>Второе дно / 2</x:v>
      </x:c>
      <x:c r="B25" s="10" t="n">
        <x:f>'Исходные данные'!B14</x:f>
        <x:v>1.7</x:v>
      </x:c>
      <x:c r="C25" s="10" t="n">
        <x:f>10*MAX($B$5-B25,0)</x:f>
        <x:v>35.8</x:v>
      </x:c>
      <x:c r="D25" s="10" t="n">
        <x:f>MAX(0,IF(B25&lt;=$B$5,'Нагрузки'!B7-1.5*'Нагрузки'!B6*($B$5-B25)/$B$5,'Нагрузки'!B7-7.5*'Исходные данные'!B36*(B25-$B$5)))</x:f>
        <x:v>17.265860889657286</x:v>
      </x:c>
      <x:c r="E25" s="10" t="n">
        <x:f>MAX(C25-D25,0)</x:f>
        <x:v>18.53413911034271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174.80829663716816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1.7</x:v>
      </x:c>
      <x:c r="C26" s="10" t="n">
        <x:f>10*MAX($B$5-B26,0)</x:f>
        <x:v>35.8</x:v>
      </x:c>
      <x:c r="D26" s="10" t="n">
        <x:f>MAX(0,IF(B26&lt;=$B$5,'Нагрузки'!B7-1.5*'Нагрузки'!B6*($B$5-B26)/$B$5,'Нагрузки'!B7-7.5*'Исходные данные'!B36*(B26-$B$5)))</x:f>
        <x:v>17.265860889657286</x:v>
      </x:c>
      <x:c r="E26" s="10" t="n">
        <x:f>MAX(C26-D26,0)</x:f>
        <x:v>18.53413911034271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174.80829663716816</x:v>
      </x:c>
    </x:row>
    <x:row r="27" ht="40" customHeight="1">
      <x:c r="A27" s="10" t="str">
        <x:v>Верхняя палуба / 1</x:v>
      </x:c>
      <x:c r="B27" s="10" t="n">
        <x:f>'Исходные данные'!B10</x:f>
        <x:v>14.6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7.458117047962883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45.09557163716814</x:v>
      </x:c>
    </x:row>
    <x:row r="28" ht="40" customHeight="1">
      <x:c r="A28" s="10" t="str">
        <x:v>Верхняя палуба / 2</x:v>
      </x:c>
      <x:c r="B28" s="10" t="n">
        <x:f>'Исходные данные'!B10</x:f>
        <x:v>14.6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7.458117047962883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45.09557163716814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14.6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7.458117047962883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45.09557163716814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52.800000000000004</x:v>
      </x:c>
      <x:c r="D30" s="10" t="n">
        <x:f>MAX(0,IF(B30&lt;=$B$5,'Нагрузки'!B7-1.5*'Нагрузки'!B6*($B$5-B30)/$B$5,'Нагрузки'!B7-7.5*'Исходные данные'!B36*(B30-$B$5)))</x:f>
        <x:v>13.060708523981441</x:v>
      </x:c>
      <x:c r="E30" s="10" t="n">
        <x:f>MAX(C30-D30,0)</x:f>
        <x:v>39.739291476018565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191.90222163716814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0.16455071879546102</x:v>
      </x:c>
      <x:c r="C31" s="10" t="n">
        <x:f>10*MAX($B$5-B31,0)</x:f>
        <x:v>51.1544928120454</x:v>
      </x:c>
      <x:c r="D31" s="10" t="n">
        <x:f>MAX(0,IF(B31&lt;=$B$5,'Нагрузки'!B7-1.5*'Нагрузки'!B6*($B$5-B31)/$B$5,'Нагрузки'!B7-7.5*'Исходные данные'!B36*(B31-$B$5)))</x:f>
        <x:v>13.467744314814613</x:v>
      </x:c>
      <x:c r="E31" s="10" t="n">
        <x:f>MAX(C31-D31,0)</x:f>
        <x:v>37.68674849723078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190.24762302200008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0.16455071879546102</x:v>
      </x:c>
      <x:c r="C32" s="10" t="n">
        <x:f>10*MAX($B$5-B32,0)</x:f>
        <x:v>51.1544928120454</x:v>
      </x:c>
      <x:c r="D32" s="10" t="n">
        <x:f>MAX(0,IF(B32&lt;=$B$5,'Нагрузки'!B7-1.5*'Нагрузки'!B6*($B$5-B32)/$B$5,'Нагрузки'!B7-7.5*'Исходные данные'!B36*(B32-$B$5)))</x:f>
        <x:v>13.467744314814613</x:v>
      </x:c>
      <x:c r="E32" s="10" t="n">
        <x:f>MAX(C32-D32,0)</x:f>
        <x:v>37.68674849723078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190.24762302200008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0.16455071879546102</x:v>
      </x:c>
      <x:c r="C33" s="10" t="n">
        <x:f>10*MAX($B$5-B33,0)</x:f>
        <x:v>51.1544928120454</x:v>
      </x:c>
      <x:c r="D33" s="10" t="n">
        <x:f>MAX(0,IF(B33&lt;=$B$5,'Нагрузки'!B7-1.5*'Нагрузки'!B6*($B$5-B33)/$B$5,'Нагрузки'!B7-7.5*'Исходные данные'!B36*(B33-$B$5)))</x:f>
        <x:v>13.467744314814613</x:v>
      </x:c>
      <x:c r="E33" s="10" t="n">
        <x:f>MAX(C33-D33,0)</x:f>
        <x:v>37.68674849723078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190.24762302200008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1.8698453261474004</x:v>
      </x:c>
      <x:c r="C34" s="10" t="n">
        <x:f>10*MAX($B$5-B34,0)</x:f>
        <x:v>34.101546738526</x:v>
      </x:c>
      <x:c r="D34" s="10" t="n">
        <x:f>MAX(0,IF(B34&lt;=$B$5,'Нагрузки'!B7-1.5*'Нагрузки'!B6*($B$5-B34)/$B$5,'Нагрузки'!B7-7.5*'Исходные данные'!B36*(B34-$B$5)))</x:f>
        <x:v>17.685993522038302</x:v>
      </x:c>
      <x:c r="E34" s="10" t="n">
        <x:f>MAX(C34-D34,0)</x:f>
        <x:v>16.415553216487694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173.10045942142446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1.8698453261474004</x:v>
      </x:c>
      <x:c r="C35" s="10" t="n">
        <x:f>10*MAX($B$5-B35,0)</x:f>
        <x:v>34.101546738526</x:v>
      </x:c>
      <x:c r="D35" s="10" t="n">
        <x:f>MAX(0,IF(B35&lt;=$B$5,'Нагрузки'!B7-1.5*'Нагрузки'!B6*($B$5-B35)/$B$5,'Нагрузки'!B7-7.5*'Исходные данные'!B36*(B35-$B$5)))</x:f>
        <x:v>17.685993522038302</x:v>
      </x:c>
      <x:c r="E35" s="10" t="n">
        <x:f>MAX(C35-D35,0)</x:f>
        <x:v>16.415553216487694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173.10045942142446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1.8698453261474004</x:v>
      </x:c>
      <x:c r="C36" s="10" t="n">
        <x:f>10*MAX($B$5-B36,0)</x:f>
        <x:v>34.101546738526</x:v>
      </x:c>
      <x:c r="D36" s="10" t="n">
        <x:f>MAX(0,IF(B36&lt;=$B$5,'Нагрузки'!B7-1.5*'Нагрузки'!B6*($B$5-B36)/$B$5,'Нагрузки'!B7-7.5*'Исходные данные'!B36*(B36-$B$5)))</x:f>
        <x:v>17.685993522038302</x:v>
      </x:c>
      <x:c r="E36" s="10" t="n">
        <x:f>MAX(C36-D36,0)</x:f>
        <x:v>16.415553216487694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173.10045942142446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3.4698453261474005</x:v>
      </x:c>
      <x:c r="C37" s="10" t="n">
        <x:f>10*MAX($B$5-B37,0)</x:f>
        <x:v>18.101546738525997</x:v>
      </x:c>
      <x:c r="D37" s="10" t="n">
        <x:f>MAX(0,IF(B37&lt;=$B$5,'Нагрузки'!B7-1.5*'Нагрузки'!B6*($B$5-B37)/$B$5,'Нагрузки'!B7-7.5*'Исходные данные'!B36*(B37-$B$5)))</x:f>
        <x:v>21.64378398385086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157.01205942142448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3.1858670168568914</x:v>
      </x:c>
      <x:c r="C38" s="10" t="n">
        <x:f>10*MAX($B$5-B38,0)</x:f>
        <x:v>20.941329831431087</x:v>
      </x:c>
      <x:c r="D38" s="10" t="n">
        <x:f>MAX(0,IF(B38&lt;=$B$5,'Нагрузки'!B7-1.5*'Нагрузки'!B6*($B$5-B38)/$B$5,'Нагрузки'!B7-7.5*'Исходные данные'!B36*(B38-$B$5)))</x:f>
        <x:v>20.941329831431087</x:v>
      </x:c>
      <x:c r="E38" s="10" t="n">
        <x:f>MAX(C38-D38,0)</x:f>
        <x:v>0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159.86753231591786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3.4698453261474005</x:v>
      </x:c>
      <x:c r="C39" s="10" t="n">
        <x:f>10*MAX($B$5-B39,0)</x:f>
        <x:v>18.101546738525997</x:v>
      </x:c>
      <x:c r="D39" s="10" t="n">
        <x:f>MAX(0,IF(B39&lt;=$B$5,'Нагрузки'!B7-1.5*'Нагрузки'!B6*($B$5-B39)/$B$5,'Нагрузки'!B7-7.5*'Исходные данные'!B36*(B39-$B$5)))</x:f>
        <x:v>21.64378398385086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157.01205942142448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5.069845326147401</x:v>
      </x:c>
      <x:c r="C40" s="10" t="n">
        <x:f>10*MAX($B$5-B40,0)</x:f>
        <x:v>2.1015467385259967</x:v>
      </x:c>
      <x:c r="D40" s="10" t="n">
        <x:f>MAX(0,IF(B40&lt;=$B$5,'Нагрузки'!B7-1.5*'Нагрузки'!B6*($B$5-B40)/$B$5,'Нагрузки'!B7-7.5*'Исходные данные'!B36*(B40-$B$5)))</x:f>
        <x:v>25.601574445663417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140.92365942142447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3.4698453261474005</x:v>
      </x:c>
      <x:c r="C41" s="10" t="n">
        <x:f>10*MAX($B$5-B41,0)</x:f>
        <x:v>18.101546738525997</x:v>
      </x:c>
      <x:c r="D41" s="10" t="n">
        <x:f>MAX(0,IF(B41&lt;=$B$5,'Нагрузки'!B7-1.5*'Нагрузки'!B6*($B$5-B41)/$B$5,'Нагрузки'!B7-7.5*'Исходные данные'!B36*(B41-$B$5)))</x:f>
        <x:v>21.64378398385086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157.01205942142448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5.069845326147401</x:v>
      </x:c>
      <x:c r="C42" s="10" t="n">
        <x:f>10*MAX($B$5-B42,0)</x:f>
        <x:v>2.1015467385259967</x:v>
      </x:c>
      <x:c r="D42" s="10" t="n">
        <x:f>MAX(0,IF(B42&lt;=$B$5,'Нагрузки'!B7-1.5*'Нагрузки'!B6*($B$5-B42)/$B$5,'Нагрузки'!B7-7.5*'Исходные данные'!B36*(B42-$B$5)))</x:f>
        <x:v>25.601574445663417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140.92365942142447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6.6698453261474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23.338251782352714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124.83525942142448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5.069845326147401</x:v>
      </x:c>
      <x:c r="C44" s="10" t="n">
        <x:f>10*MAX($B$5-B44,0)</x:f>
        <x:v>2.1015467385259967</x:v>
      </x:c>
      <x:c r="D44" s="10" t="n">
        <x:f>MAX(0,IF(B44&lt;=$B$5,'Нагрузки'!B7-1.5*'Нагрузки'!B6*($B$5-B44)/$B$5,'Нагрузки'!B7-7.5*'Исходные данные'!B36*(B44-$B$5)))</x:f>
        <x:v>25.601574445663417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140.92365942142447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6.6698453261474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23.338251782352714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124.83525942142448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8.2698453261474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20.134251782352713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108.74685942142449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6.6698453261474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23.338251782352714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124.83525942142448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8.2698453261474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20.134251782352713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108.74685942142449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9.8698453261474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16.930251782352713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92.65845942142448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8.2698453261474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20.134251782352713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108.74685942142449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9.8698453261474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16.930251782352713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92.65845942142448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11.487422663073701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13.691053165157797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76.3933149042963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9.8698453261474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16.930251782352713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92.65845942142448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11.487422663073698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13.691053165157804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76.39331490429633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13.105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10.451854547962883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60.12817038716813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11.487422663073698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13.691053165157804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76.39331490429633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13.105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10.451854547962883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60.12817038716813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14.6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7.458117047962883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45.09557163716814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13.105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10.451854547962883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60.12817038716813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1.7</x:v>
      </x:c>
      <x:c r="C60" s="10" t="n">
        <x:f>10*MAX($B$5-B60,0)</x:f>
        <x:v>35.8</x:v>
      </x:c>
      <x:c r="D60" s="10" t="n">
        <x:f>MAX(0,IF(B60&lt;=$B$5,'Нагрузки'!B7-1.5*'Нагрузки'!B6*($B$5-B60)/$B$5,'Нагрузки'!B7-7.5*'Исходные данные'!B36*(B60-$B$5)))</x:f>
        <x:v>17.265860889657286</x:v>
      </x:c>
      <x:c r="E60" s="10" t="n">
        <x:f>MAX(C60-D60,0)</x:f>
        <x:v>18.53413911034271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174.80829663716816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3.4</x:v>
      </x:c>
      <x:c r="C61" s="10" t="n">
        <x:f>10*MAX($B$5-B61,0)</x:f>
        <x:v>18.800000000000004</x:v>
      </x:c>
      <x:c r="D61" s="10" t="n">
        <x:f>MAX(0,IF(B61&lt;=$B$5,'Нагрузки'!B7-1.5*'Нагрузки'!B6*($B$5-B61)/$B$5,'Нагрузки'!B7-7.5*'Исходные данные'!B36*(B61-$B$5)))</x:f>
        <x:v>21.471013255333126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157.7143716371681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3.1858670168568914</x:v>
      </x:c>
      <x:c r="C62" s="10" t="n">
        <x:f>10*MAX($B$5-B62,0)</x:f>
        <x:v>20.941329831431087</x:v>
      </x:c>
      <x:c r="D62" s="10" t="n">
        <x:f>MAX(0,IF(B62&lt;=$B$5,'Нагрузки'!B7-1.5*'Нагрузки'!B6*($B$5-B62)/$B$5,'Нагрузки'!B7-7.5*'Исходные данные'!B36*(B62-$B$5)))</x:f>
        <x:v>20.941329831431087</x:v>
      </x:c>
      <x:c r="E62" s="10" t="n">
        <x:f>MAX(C62-D62,0)</x:f>
        <x:v>0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159.86753231591786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3.4</x:v>
      </x:c>
      <x:c r="C63" s="10" t="n">
        <x:f>10*MAX($B$5-B63,0)</x:f>
        <x:v>18.800000000000004</x:v>
      </x:c>
      <x:c r="D63" s="10" t="n">
        <x:f>MAX(0,IF(B63&lt;=$B$5,'Нагрузки'!B7-1.5*'Нагрузки'!B6*($B$5-B63)/$B$5,'Нагрузки'!B7-7.5*'Исходные данные'!B36*(B63-$B$5)))</x:f>
        <x:v>21.471013255333126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157.7143716371681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5.1</x:v>
      </x:c>
      <x:c r="C64" s="10" t="n">
        <x:f>10*MAX($B$5-B64,0)</x:f>
        <x:v>1.800000000000006</x:v>
      </x:c>
      <x:c r="D64" s="10" t="n">
        <x:f>MAX(0,IF(B64&lt;=$B$5,'Нагрузки'!B7-1.5*'Нагрузки'!B6*($B$5-B64)/$B$5,'Нагрузки'!B7-7.5*'Исходные данные'!B36*(B64-$B$5)))</x:f>
        <x:v>25.67616562100897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140.62044663716813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3.4</x:v>
      </x:c>
      <x:c r="C65" s="10" t="n">
        <x:f>10*MAX($B$5-B65,0)</x:f>
        <x:v>18.800000000000004</x:v>
      </x:c>
      <x:c r="D65" s="10" t="n">
        <x:f>MAX(0,IF(B65&lt;=$B$5,'Нагрузки'!B7-1.5*'Нагрузки'!B6*($B$5-B65)/$B$5,'Нагрузки'!B7-7.5*'Исходные данные'!B36*(B65-$B$5)))</x:f>
        <x:v>21.471013255333126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157.7143716371681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5.1</x:v>
      </x:c>
      <x:c r="C66" s="10" t="n">
        <x:f>10*MAX($B$5-B66,0)</x:f>
        <x:v>1.800000000000006</x:v>
      </x:c>
      <x:c r="D66" s="10" t="n">
        <x:f>MAX(0,IF(B66&lt;=$B$5,'Нагрузки'!B7-1.5*'Нагрузки'!B6*($B$5-B66)/$B$5,'Нагрузки'!B7-7.5*'Исходные данные'!B36*(B66-$B$5)))</x:f>
        <x:v>25.67616562100897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140.62044663716813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6.8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23.07761704796288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123.52652163716813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5.1</x:v>
      </x:c>
      <x:c r="C68" s="10" t="n">
        <x:f>10*MAX($B$5-B68,0)</x:f>
        <x:v>1.800000000000006</x:v>
      </x:c>
      <x:c r="D68" s="10" t="n">
        <x:f>MAX(0,IF(B68&lt;=$B$5,'Нагрузки'!B7-1.5*'Нагрузки'!B6*($B$5-B68)/$B$5,'Нагрузки'!B7-7.5*'Исходные данные'!B36*(B68-$B$5)))</x:f>
        <x:v>25.67616562100897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140.62044663716813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6.8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23.07761704796288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123.52652163716813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8.5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19.673367047962884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106.43259663716815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6.8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23.07761704796288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123.52652163716813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8.5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19.673367047962884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106.43259663716815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10.2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16.269117047962887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89.33867163716815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8.5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19.673367047962884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106.43259663716815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10.2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16.269117047962887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89.33867163716815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11.9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12.864867047962882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72.24474663716813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10.2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16.269117047962887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89.33867163716815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11.9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12.864867047962882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72.24474663716813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14.66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7.337967047962884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44.49225663716813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11.9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12.864867047962882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72.24474663716813</x:v>
      </x:c>
    </x:row>
    <x:row r="81" ht="40" customHeight="1">
      <x:c r="A81" s="10" t="str">
        <x:v>OF1 / 1</x:v>
      </x:c>
      <x:c r="B81" s="10" t="n">
        <x:f>'Нагрузки'!B37</x:f>
        <x:v>3.35</x:v>
      </x:c>
      <x:c r="C81" s="10" t="n">
        <x:f>10*MAX($B$5-B81,0)</x:f>
        <x:v>19.3</x:v>
      </x:c>
      <x:c r="D81" s="10" t="n">
        <x:f>MAX(0,IF(B81&lt;=$B$5,'Нагрузки'!B7-1.5*'Нагрузки'!B6*($B$5-B81)/$B$5,'Нагрузки'!B7-7.5*'Исходные данные'!B36*(B81-$B$5)))</x:f>
        <x:v>21.347332303401487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158.21713413716813</x:v>
      </x:c>
    </x:row>
    <x:row r="82" ht="40" customHeight="1">
      <x:c r="A82" s="10" t="str">
        <x:v>OF1 / 2</x:v>
      </x:c>
      <x:c r="B82" s="10" t="n">
        <x:f>'Нагрузки'!B37</x:f>
        <x:v>3.35</x:v>
      </x:c>
      <x:c r="C82" s="10" t="n">
        <x:f>10*MAX($B$5-B82,0)</x:f>
        <x:v>19.3</x:v>
      </x:c>
      <x:c r="D82" s="10" t="n">
        <x:f>MAX(0,IF(B82&lt;=$B$5,'Нагрузки'!B7-1.5*'Нагрузки'!B6*($B$5-B82)/$B$5,'Нагрузки'!B7-7.5*'Исходные данные'!B36*(B82-$B$5)))</x:f>
        <x:v>21.347332303401487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158.21713413716813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3.35</x:v>
      </x:c>
      <x:c r="C83" s="10" t="n">
        <x:f>10*MAX($B$5-B83,0)</x:f>
        <x:v>19.3</x:v>
      </x:c>
      <x:c r="D83" s="10" t="n">
        <x:f>MAX(0,IF(B83&lt;=$B$5,'Нагрузки'!B7-1.5*'Нагрузки'!B6*($B$5-B83)/$B$5,'Нагрузки'!B7-7.5*'Исходные данные'!B36*(B83-$B$5)))</x:f>
        <x:v>21.347332303401487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158.21713413716813</x:v>
      </x:c>
    </x:row>
    <x:row r="84" ht="40" customHeight="1">
      <x:c r="A84" s="10" t="str">
        <x:v>OF2 / 1</x:v>
      </x:c>
      <x:c r="B84" s="10" t="n">
        <x:f>'Нагрузки'!B38</x:f>
        <x:v>6.625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23.428054547962883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125.28619038716813</x:v>
      </x:c>
    </x:row>
    <x:row r="85" ht="40" customHeight="1">
      <x:c r="A85" s="10" t="str">
        <x:v>OF2 / 2</x:v>
      </x:c>
      <x:c r="B85" s="10" t="n">
        <x:f>'Нагрузки'!B38</x:f>
        <x:v>6.625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23.428054547962883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125.28619038716813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6.625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23.428054547962883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125.28619038716813</x:v>
      </x:c>
    </x:row>
    <x:row r="87" ht="40" customHeight="1">
      <x:c r="A87" s="10" t="str">
        <x:v>OF3 / 1</x:v>
      </x:c>
      <x:c r="B87" s="10" t="n">
        <x:f>'Нагрузки'!B39</x:f>
        <x:v>9.875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16.919929547962884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92.60662788716814</x:v>
      </x:c>
    </x:row>
    <x:row r="88" ht="40" customHeight="1">
      <x:c r="A88" s="10" t="str">
        <x:v>OF3 / 2</x:v>
      </x:c>
      <x:c r="B88" s="10" t="n">
        <x:f>'Нагрузки'!B39</x:f>
        <x:v>9.875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16.919929547962884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92.60662788716814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9.875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16.919929547962884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92.60662788716814</x:v>
      </x:c>
    </x:row>
    <x:row r="90" ht="40" customHeight="1">
      <x:c r="A90" s="10" t="str">
        <x:v>OF4 / 1</x:v>
      </x:c>
      <x:c r="B90" s="10" t="n">
        <x:f>'Нагрузки'!B40</x:f>
        <x:v>13.05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10.561992047962882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60.681209137168125</x:v>
      </x:c>
    </x:row>
    <x:row r="91" ht="40" customHeight="1">
      <x:c r="A91" s="10" t="str">
        <x:v>OF4 / 2</x:v>
      </x:c>
      <x:c r="B91" s="10" t="n">
        <x:f>'Нагрузки'!B40</x:f>
        <x:v>13.05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10.561992047962882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60.681209137168125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13.05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10.561992047962882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60.681209137168125</x:v>
      </x:c>
    </x:row>
    <x:row r="93" ht="40" customHeight="1">
      <x:c r="A93" s="10" t="str">
        <x:v>IF1 / 1</x:v>
      </x:c>
      <x:c r="B93" s="10" t="n">
        <x:f>'Нагрузки'!B41</x:f>
        <x:v>3.35</x:v>
      </x:c>
      <x:c r="C93" s="10" t="n">
        <x:f>10*MAX($B$5-B93,0)</x:f>
        <x:v>19.3</x:v>
      </x:c>
      <x:c r="D93" s="10" t="n">
        <x:f>MAX(0,IF(B93&lt;=$B$5,'Нагрузки'!B7-1.5*'Нагрузки'!B6*($B$5-B93)/$B$5,'Нагрузки'!B7-7.5*'Исходные данные'!B36*(B93-$B$5)))</x:f>
        <x:v>21.347332303401487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158.21713413716813</x:v>
      </x:c>
    </x:row>
    <x:row r="94" ht="40" customHeight="1">
      <x:c r="A94" s="10" t="str">
        <x:v>IF1 / 2</x:v>
      </x:c>
      <x:c r="B94" s="10" t="n">
        <x:f>'Нагрузки'!B41</x:f>
        <x:v>3.35</x:v>
      </x:c>
      <x:c r="C94" s="10" t="n">
        <x:f>10*MAX($B$5-B94,0)</x:f>
        <x:v>19.3</x:v>
      </x:c>
      <x:c r="D94" s="10" t="n">
        <x:f>MAX(0,IF(B94&lt;=$B$5,'Нагрузки'!B7-1.5*'Нагрузки'!B6*($B$5-B94)/$B$5,'Нагрузки'!B7-7.5*'Исходные данные'!B36*(B94-$B$5)))</x:f>
        <x:v>21.347332303401487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158.21713413716813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3.35</x:v>
      </x:c>
      <x:c r="C95" s="10" t="n">
        <x:f>10*MAX($B$5-B95,0)</x:f>
        <x:v>19.3</x:v>
      </x:c>
      <x:c r="D95" s="10" t="n">
        <x:f>MAX(0,IF(B95&lt;=$B$5,'Нагрузки'!B7-1.5*'Нагрузки'!B6*($B$5-B95)/$B$5,'Нагрузки'!B7-7.5*'Исходные данные'!B36*(B95-$B$5)))</x:f>
        <x:v>21.347332303401487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158.21713413716813</x:v>
      </x:c>
    </x:row>
    <x:row r="96" ht="40" customHeight="1">
      <x:c r="A96" s="10" t="str">
        <x:v>IF2 / 1</x:v>
      </x:c>
      <x:c r="B96" s="10" t="n">
        <x:f>'Нагрузки'!B42</x:f>
        <x:v>6.625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23.428054547962883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125.28619038716813</x:v>
      </x:c>
    </x:row>
    <x:row r="97" ht="40" customHeight="1">
      <x:c r="A97" s="10" t="str">
        <x:v>IF2 / 2</x:v>
      </x:c>
      <x:c r="B97" s="10" t="n">
        <x:f>'Нагрузки'!B42</x:f>
        <x:v>6.625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23.428054547962883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125.28619038716813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6.625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23.428054547962883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125.28619038716813</x:v>
      </x:c>
    </x:row>
    <x:row r="99" ht="40" customHeight="1">
      <x:c r="A99" s="10" t="str">
        <x:v>IF3 / 1</x:v>
      </x:c>
      <x:c r="B99" s="10" t="n">
        <x:f>'Нагрузки'!B43</x:f>
        <x:v>9.875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16.919929547962884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92.60662788716814</x:v>
      </x:c>
    </x:row>
    <x:row r="100" ht="40" customHeight="1">
      <x:c r="A100" s="10" t="str">
        <x:v>IF3 / 2</x:v>
      </x:c>
      <x:c r="B100" s="10" t="n">
        <x:f>'Нагрузки'!B43</x:f>
        <x:v>9.875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16.919929547962884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92.60662788716814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9.875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16.919929547962884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92.60662788716814</x:v>
      </x:c>
    </x:row>
    <x:row r="102" ht="40" customHeight="1">
      <x:c r="A102" s="10" t="str">
        <x:v>IF4 / 1</x:v>
      </x:c>
      <x:c r="B102" s="10" t="n">
        <x:f>'Нагрузки'!B44</x:f>
        <x:v>13.08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10.501917047962884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60.379551637168134</x:v>
      </x:c>
    </x:row>
    <x:row r="103" ht="40" customHeight="1">
      <x:c r="A103" s="10" t="str">
        <x:v>IF4 / 2</x:v>
      </x:c>
      <x:c r="B103" s="10" t="n">
        <x:f>'Нагрузки'!B44</x:f>
        <x:v>13.08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10.501917047962884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60.379551637168134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13.08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10.501917047962884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60.379551637168134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152.16293016114957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101.06070852398145</x:v>
      </x:c>
      <x:c r="D109" s="10" t="n">
        <x:f>MAX(B109,C109,ABS(F21-(C21+D21)))</x:f>
        <x:v>152.16293016114957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190.98746084070794</x:v>
      </x:c>
      <x:c r="F109" s="10" t="n">
        <x:f>MAX(E109,F21)</x:f>
        <x:v>191.90222163716814</x:v>
      </x:c>
    </x:row>
    <x:row r="110" ht="40" customHeight="1">
      <x:c r="A110" s="10" t="str">
        <x:f>A22</x:f>
        <x:v>Днище / 2</x:v>
      </x:c>
      <x:c r="B110" s="10" t="n">
        <x:f>F22-E22</x:f>
        <x:v>152.16293016114957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101.06070852398145</x:v>
      </x:c>
      <x:c r="D110" s="10" t="n">
        <x:f>MAX(B110,C110,ABS(F22-(C22+D22)))</x:f>
        <x:v>152.16293016114957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190.98746084070794</x:v>
      </x:c>
      <x:c r="F110" s="10" t="n">
        <x:f>MAX(E110,F22)</x:f>
        <x:v>191.90222163716814</x:v>
      </x:c>
    </x:row>
    <x:row r="111" ht="40" customHeight="1">
      <x:c r="A111" s="10" t="str">
        <x:f>A23</x:f>
        <x:v>Днище / 3</x:v>
      </x:c>
      <x:c r="B111" s="10" t="n">
        <x:f>F23-E23</x:f>
        <x:v>152.16293016114957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101.06070852398145</x:v>
      </x:c>
      <x:c r="D111" s="10" t="n">
        <x:f>MAX(B111,C111,ABS(F23-(C23+D23)))</x:f>
        <x:v>152.16293016114957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190.98746084070794</x:v>
      </x:c>
      <x:c r="F111" s="10" t="n">
        <x:f>MAX(E111,F23)</x:f>
        <x:v>191.90222163716814</x:v>
      </x:c>
    </x:row>
    <x:row r="112" ht="40" customHeight="1">
      <x:c r="A112" s="10" t="str">
        <x:f>A24</x:f>
        <x:v>Второе дно / 1</x:v>
      </x:c>
      <x:c r="B112" s="10" t="n">
        <x:f>F24-E24</x:f>
        <x:v>156.27415752682543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86.58379994338695</x:v>
      </x:c>
      <x:c r="D112" s="10" t="n">
        <x:f>MAX(B112,C112,ABS(F24-(C24+D24)))</x:f>
        <x:v>156.27415752682543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173.89353584070795</x:v>
      </x:c>
      <x:c r="F112" s="10" t="n">
        <x:f>MAX(E112,F24)</x:f>
        <x:v>174.80829663716816</x:v>
      </x:c>
    </x:row>
    <x:row r="113" ht="40" customHeight="1">
      <x:c r="A113" s="10" t="str">
        <x:f>A25</x:f>
        <x:v>Второе дно / 2</x:v>
      </x:c>
      <x:c r="B113" s="10" t="n">
        <x:f>F25-E25</x:f>
        <x:v>156.27415752682543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86.58379994338695</x:v>
      </x:c>
      <x:c r="D113" s="10" t="n">
        <x:f>MAX(B113,C113,ABS(F25-(C25+D25)))</x:f>
        <x:v>156.27415752682543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173.89353584070795</x:v>
      </x:c>
      <x:c r="F113" s="10" t="n">
        <x:f>MAX(E113,F25)</x:f>
        <x:v>174.80829663716816</x:v>
      </x:c>
    </x:row>
    <x:row r="114" ht="40" customHeight="1">
      <x:c r="A114" s="10" t="str">
        <x:f>A26</x:f>
        <x:v>Второе дно / 3</x:v>
      </x:c>
      <x:c r="B114" s="10" t="n">
        <x:f>F26-E26</x:f>
        <x:v>156.27415752682543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86.58379994338695</x:v>
      </x:c>
      <x:c r="D114" s="10" t="n">
        <x:f>MAX(B114,C114,ABS(F26-(C26+D26)))</x:f>
        <x:v>156.27415752682543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173.89353584070795</x:v>
      </x:c>
      <x:c r="F114" s="10" t="n">
        <x:f>MAX(E114,F26)</x:f>
        <x:v>174.80829663716816</x:v>
      </x:c>
    </x:row>
    <x:row r="115" ht="40" customHeight="1">
      <x:c r="A115" s="10" t="str">
        <x:f>A27</x:f>
        <x:v>Верхняя палуба / 1</x:v>
      </x:c>
      <x:c r="B115" s="10" t="n">
        <x:f>F27-E27</x:f>
        <x:v>45.09557163716814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14.506917047962885</x:v>
      </x:c>
      <x:c r="D115" s="10" t="n">
        <x:f>MAX(B115,C115,ABS(F27-(C27+D27)))</x:f>
        <x:v>45.09557163716814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44.180810840707956</x:v>
      </x:c>
      <x:c r="F115" s="10" t="n">
        <x:f>MAX(E115,F27)</x:f>
        <x:v>45.09557163716814</x:v>
      </x:c>
    </x:row>
    <x:row r="116" ht="40" customHeight="1">
      <x:c r="A116" s="10" t="str">
        <x:f>A28</x:f>
        <x:v>Верхняя палуба / 2</x:v>
      </x:c>
      <x:c r="B116" s="10" t="n">
        <x:f>F28-E28</x:f>
        <x:v>45.09557163716814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14.506917047962885</x:v>
      </x:c>
      <x:c r="D116" s="10" t="n">
        <x:f>MAX(B116,C116,ABS(F28-(C28+D28)))</x:f>
        <x:v>45.09557163716814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44.180810840707956</x:v>
      </x:c>
      <x:c r="F116" s="10" t="n">
        <x:f>MAX(E116,F28)</x:f>
        <x:v>45.09557163716814</x:v>
      </x:c>
    </x:row>
    <x:row r="117" ht="40" customHeight="1">
      <x:c r="A117" s="10" t="str">
        <x:f>A29</x:f>
        <x:v>Верхняя палуба / 3</x:v>
      </x:c>
      <x:c r="B117" s="10" t="n">
        <x:f>F29-E29</x:f>
        <x:v>45.09557163716814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14.506917047962885</x:v>
      </x:c>
      <x:c r="D117" s="10" t="n">
        <x:f>MAX(B117,C117,ABS(F29-(C29+D29)))</x:f>
        <x:v>45.09557163716814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44.180810840707956</x:v>
      </x:c>
      <x:c r="F117" s="10" t="n">
        <x:f>MAX(E117,F29)</x:f>
        <x:v>45.09557163716814</x:v>
      </x:c>
    </x:row>
    <x:row r="118" ht="40" customHeight="1">
      <x:c r="A118" s="10" t="str">
        <x:f>A30</x:f>
        <x:v>Обшивка F / 1</x:v>
      </x:c>
      <x:c r="B118" s="10" t="n">
        <x:f>F30-E30</x:f>
        <x:v>152.16293016114957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101.06070852398145</x:v>
      </x:c>
      <x:c r="D118" s="10" t="n">
        <x:f>MAX(B118,C118,ABS(F30-(C30+D30)))</x:f>
        <x:v>152.16293016114957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190.98746084070794</x:v>
      </x:c>
      <x:c r="F118" s="10" t="n">
        <x:f>MAX(E118,F30)</x:f>
        <x:v>191.90222163716814</x:v>
      </x:c>
    </x:row>
    <x:row r="119" ht="40" customHeight="1">
      <x:c r="A119" s="10" t="str">
        <x:f>A31</x:f>
        <x:v>Обшивка F / 2</x:v>
      </x:c>
      <x:c r="B119" s="10" t="n">
        <x:f>F31-E31</x:f>
        <x:v>152.5608745247693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99.65942281052675</x:v>
      </x:c>
      <x:c r="D119" s="10" t="n">
        <x:f>MAX(B119,C119,ABS(F31-(C31+D31)))</x:f>
        <x:v>152.5608745247693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189.33286222553988</x:v>
      </x:c>
      <x:c r="F119" s="10" t="n">
        <x:f>MAX(E119,F31)</x:f>
        <x:v>190.24762302200008</x:v>
      </x:c>
    </x:row>
    <x:row r="120" ht="40" customHeight="1">
      <x:c r="A120" s="10" t="str">
        <x:f>A32</x:f>
        <x:v>Обшивка F / 3</x:v>
      </x:c>
      <x:c r="B120" s="10" t="n">
        <x:f>F32-E32</x:f>
        <x:v>152.5608745247693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99.65942281052675</x:v>
      </x:c>
      <x:c r="D120" s="10" t="n">
        <x:f>MAX(B120,C120,ABS(F32-(C32+D32)))</x:f>
        <x:v>152.5608745247693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189.33286222553988</x:v>
      </x:c>
      <x:c r="F120" s="10" t="n">
        <x:f>MAX(E120,F32)</x:f>
        <x:v>190.24762302200008</x:v>
      </x:c>
    </x:row>
    <x:row r="121" ht="40" customHeight="1">
      <x:c r="A121" s="10" t="str">
        <x:f>A33</x:f>
        <x:v>Обшивка G / 1</x:v>
      </x:c>
      <x:c r="B121" s="10" t="n">
        <x:f>F33-E33</x:f>
        <x:v>152.5608745247693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99.65942281052675</x:v>
      </x:c>
      <x:c r="D121" s="10" t="n">
        <x:f>MAX(B121,C121,ABS(F33-(C33+D33)))</x:f>
        <x:v>152.5608745247693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189.33286222553988</x:v>
      </x:c>
      <x:c r="F121" s="10" t="n">
        <x:f>MAX(E121,F33)</x:f>
        <x:v>190.24762302200008</x:v>
      </x:c>
    </x:row>
    <x:row r="122" ht="40" customHeight="1">
      <x:c r="A122" s="10" t="str">
        <x:f>A34</x:f>
        <x:v>Обшивка G / 2</x:v>
      </x:c>
      <x:c r="B122" s="10" t="n">
        <x:f>F34-E34</x:f>
        <x:v>156.68490620493677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85.13742626134156</x:v>
      </x:c>
      <x:c r="D122" s="10" t="n">
        <x:f>MAX(B122,C122,ABS(F34-(C34+D34)))</x:f>
        <x:v>156.68490620493677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172.18569862496432</x:v>
      </x:c>
      <x:c r="F122" s="10" t="n">
        <x:f>MAX(E122,F34)</x:f>
        <x:v>173.10045942142446</x:v>
      </x:c>
    </x:row>
    <x:row r="123" ht="40" customHeight="1">
      <x:c r="A123" s="10" t="str">
        <x:f>A35</x:f>
        <x:v>Обшивка G / 3</x:v>
      </x:c>
      <x:c r="B123" s="10" t="n">
        <x:f>F35-E35</x:f>
        <x:v>156.68490620493677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85.13742626134156</x:v>
      </x:c>
      <x:c r="D123" s="10" t="n">
        <x:f>MAX(B123,C123,ABS(F35-(C35+D35)))</x:f>
        <x:v>156.68490620493677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172.18569862496432</x:v>
      </x:c>
      <x:c r="F123" s="10" t="n">
        <x:f>MAX(E123,F35)</x:f>
        <x:v>173.10045942142446</x:v>
      </x:c>
    </x:row>
    <x:row r="124" ht="40" customHeight="1">
      <x:c r="A124" s="10" t="str">
        <x:f>A36</x:f>
        <x:v>Обшивка H / 1</x:v>
      </x:c>
      <x:c r="B124" s="10" t="n">
        <x:f>F36-E36</x:f>
        <x:v>156.68490620493677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85.13742626134156</x:v>
      </x:c>
      <x:c r="D124" s="10" t="n">
        <x:f>MAX(B124,C124,ABS(F36-(C36+D36)))</x:f>
        <x:v>156.68490620493677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172.18569862496432</x:v>
      </x:c>
      <x:c r="F124" s="10" t="n">
        <x:f>MAX(E124,F36)</x:f>
        <x:v>173.10045942142446</x:v>
      </x:c>
    </x:row>
    <x:row r="125" ht="40" customHeight="1">
      <x:c r="A125" s="10" t="str">
        <x:f>A37</x:f>
        <x:v>Обшивка H / 2</x:v>
      </x:c>
      <x:c r="B125" s="10" t="n">
        <x:f>F37-E37</x:f>
        <x:v>157.01205942142448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71.5121005384291</x:v>
      </x:c>
      <x:c r="D125" s="10" t="n">
        <x:f>MAX(B125,C125,ABS(F37-(C37+D37)))</x:f>
        <x:v>157.01205942142448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156.09729862496428</x:v>
      </x:c>
      <x:c r="F125" s="10" t="n">
        <x:f>MAX(E125,F37)</x:f>
        <x:v>157.01205942142448</x:v>
      </x:c>
    </x:row>
    <x:row r="126" ht="40" customHeight="1">
      <x:c r="A126" s="10" t="str">
        <x:f>A38</x:f>
        <x:v>Обшивка H / 3</x:v>
      </x:c>
      <x:c r="B126" s="10" t="n">
        <x:f>F38-E38</x:f>
        <x:v>159.86753231591786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73.93041113988232</x:v>
      </x:c>
      <x:c r="D126" s="10" t="n">
        <x:f>MAX(B126,C126,ABS(F38-(C38+D38)))</x:f>
        <x:v>159.86753231591786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158.9527715194577</x:v>
      </x:c>
      <x:c r="F126" s="10" t="n">
        <x:f>MAX(E126,F38)</x:f>
        <x:v>159.86753231591786</x:v>
      </x:c>
    </x:row>
    <x:row r="127" ht="40" customHeight="1">
      <x:c r="A127" s="10" t="str">
        <x:f>A39</x:f>
        <x:v>Обшивка I / 1</x:v>
      </x:c>
      <x:c r="B127" s="10" t="n">
        <x:f>F39-E39</x:f>
        <x:v>157.01205942142448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71.5121005384291</x:v>
      </x:c>
      <x:c r="D127" s="10" t="n">
        <x:f>MAX(B127,C127,ABS(F39-(C39+D39)))</x:f>
        <x:v>157.01205942142448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156.09729862496428</x:v>
      </x:c>
      <x:c r="F127" s="10" t="n">
        <x:f>MAX(E127,F39)</x:f>
        <x:v>157.01205942142448</x:v>
      </x:c>
    </x:row>
    <x:row r="128" ht="40" customHeight="1">
      <x:c r="A128" s="10" t="str">
        <x:f>A40</x:f>
        <x:v>Обшивка I / 2</x:v>
      </x:c>
      <x:c r="B128" s="10" t="n">
        <x:f>F40-E40</x:f>
        <x:v>140.92365942142447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57.886774815516624</x:v>
      </x:c>
      <x:c r="D128" s="10" t="n">
        <x:f>MAX(B128,C128,ABS(F40-(C40+D40)))</x:f>
        <x:v>140.92365942142447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140.0088986249643</x:v>
      </x:c>
      <x:c r="F128" s="10" t="n">
        <x:f>MAX(E128,F40)</x:f>
        <x:v>140.92365942142447</x:v>
      </x:c>
    </x:row>
    <x:row r="129" ht="40" customHeight="1">
      <x:c r="A129" s="10" t="str">
        <x:f>A41</x:f>
        <x:v>Обшивка I / 3</x:v>
      </x:c>
      <x:c r="B129" s="10" t="n">
        <x:f>F41-E41</x:f>
        <x:v>157.01205942142448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71.5121005384291</x:v>
      </x:c>
      <x:c r="D129" s="10" t="n">
        <x:f>MAX(B129,C129,ABS(F41-(C41+D41)))</x:f>
        <x:v>157.01205942142448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156.09729862496428</x:v>
      </x:c>
      <x:c r="F129" s="10" t="n">
        <x:f>MAX(E129,F41)</x:f>
        <x:v>157.01205942142448</x:v>
      </x:c>
    </x:row>
    <x:row r="130" ht="40" customHeight="1">
      <x:c r="A130" s="10" t="str">
        <x:f>A42</x:f>
        <x:v>Обшивка J / 1</x:v>
      </x:c>
      <x:c r="B130" s="10" t="n">
        <x:f>F42-E42</x:f>
        <x:v>140.92365942142447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57.886774815516624</x:v>
      </x:c>
      <x:c r="D130" s="10" t="n">
        <x:f>MAX(B130,C130,ABS(F42-(C42+D42)))</x:f>
        <x:v>140.92365942142447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140.0088986249643</x:v>
      </x:c>
      <x:c r="F130" s="10" t="n">
        <x:f>MAX(E130,F42)</x:f>
        <x:v>140.92365942142447</x:v>
      </x:c>
    </x:row>
    <x:row r="131" ht="40" customHeight="1">
      <x:c r="A131" s="10" t="str">
        <x:f>A43</x:f>
        <x:v>Обшивка J / 2</x:v>
      </x:c>
      <x:c r="B131" s="10" t="n">
        <x:f>F43-E43</x:f>
        <x:v>124.83525942142448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44.26144909260417</x:v>
      </x:c>
      <x:c r="D131" s="10" t="n">
        <x:f>MAX(B131,C131,ABS(F43-(C43+D43)))</x:f>
        <x:v>124.83525942142448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123.9204986249643</x:v>
      </x:c>
      <x:c r="F131" s="10" t="n">
        <x:f>MAX(E131,F43)</x:f>
        <x:v>124.83525942142448</x:v>
      </x:c>
    </x:row>
    <x:row r="132" ht="40" customHeight="1">
      <x:c r="A132" s="10" t="str">
        <x:f>A44</x:f>
        <x:v>Обшивка J / 3</x:v>
      </x:c>
      <x:c r="B132" s="10" t="n">
        <x:f>F44-E44</x:f>
        <x:v>140.92365942142447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57.886774815516624</x:v>
      </x:c>
      <x:c r="D132" s="10" t="n">
        <x:f>MAX(B132,C132,ABS(F44-(C44+D44)))</x:f>
        <x:v>140.92365942142447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140.0088986249643</x:v>
      </x:c>
      <x:c r="F132" s="10" t="n">
        <x:f>MAX(E132,F44)</x:f>
        <x:v>140.92365942142447</x:v>
      </x:c>
    </x:row>
    <x:row r="133" ht="40" customHeight="1">
      <x:c r="A133" s="10" t="str">
        <x:f>A45</x:f>
        <x:v>Обшивка K / 1</x:v>
      </x:c>
      <x:c r="B133" s="10" t="n">
        <x:f>F45-E45</x:f>
        <x:v>124.83525942142448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44.26144909260417</x:v>
      </x:c>
      <x:c r="D133" s="10" t="n">
        <x:f>MAX(B133,C133,ABS(F45-(C45+D45)))</x:f>
        <x:v>124.83525942142448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123.9204986249643</x:v>
      </x:c>
      <x:c r="F133" s="10" t="n">
        <x:f>MAX(E133,F45)</x:f>
        <x:v>124.83525942142448</x:v>
      </x:c>
    </x:row>
    <x:row r="134" ht="40" customHeight="1">
      <x:c r="A134" s="10" t="str">
        <x:f>A46</x:f>
        <x:v>Обшивка K / 2</x:v>
      </x:c>
      <x:c r="B134" s="10" t="n">
        <x:f>F46-E46</x:f>
        <x:v>108.74685942142449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30.636123369691695</x:v>
      </x:c>
      <x:c r="D134" s="10" t="n">
        <x:f>MAX(B134,C134,ABS(F46-(C46+D46)))</x:f>
        <x:v>108.74685942142449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107.83209862496429</x:v>
      </x:c>
      <x:c r="F134" s="10" t="n">
        <x:f>MAX(E134,F46)</x:f>
        <x:v>108.74685942142449</x:v>
      </x:c>
    </x:row>
    <x:row r="135" ht="40" customHeight="1">
      <x:c r="A135" s="10" t="str">
        <x:f>A47</x:f>
        <x:v>Обшивка K / 3</x:v>
      </x:c>
      <x:c r="B135" s="10" t="n">
        <x:f>F47-E47</x:f>
        <x:v>124.83525942142448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44.26144909260417</x:v>
      </x:c>
      <x:c r="D135" s="10" t="n">
        <x:f>MAX(B135,C135,ABS(F47-(C47+D47)))</x:f>
        <x:v>124.83525942142448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123.9204986249643</x:v>
      </x:c>
      <x:c r="F135" s="10" t="n">
        <x:f>MAX(E135,F47)</x:f>
        <x:v>124.83525942142448</x:v>
      </x:c>
    </x:row>
    <x:row r="136" ht="40" customHeight="1">
      <x:c r="A136" s="10" t="str">
        <x:f>A48</x:f>
        <x:v>Обшивка L / 1</x:v>
      </x:c>
      <x:c r="B136" s="10" t="n">
        <x:f>F48-E48</x:f>
        <x:v>108.74685942142449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30.636123369691695</x:v>
      </x:c>
      <x:c r="D136" s="10" t="n">
        <x:f>MAX(B136,C136,ABS(F48-(C48+D48)))</x:f>
        <x:v>108.74685942142449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107.83209862496429</x:v>
      </x:c>
      <x:c r="F136" s="10" t="n">
        <x:f>MAX(E136,F48)</x:f>
        <x:v>108.74685942142449</x:v>
      </x:c>
    </x:row>
    <x:row r="137" ht="40" customHeight="1">
      <x:c r="A137" s="10" t="str">
        <x:f>A49</x:f>
        <x:v>Обшивка L / 2</x:v>
      </x:c>
      <x:c r="B137" s="10" t="n">
        <x:f>F49-E49</x:f>
        <x:v>92.65845942142448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23.979051782352716</x:v>
      </x:c>
      <x:c r="D137" s="10" t="n">
        <x:f>MAX(B137,C137,ABS(F49-(C49+D49)))</x:f>
        <x:v>92.65845942142448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91.74369862496431</x:v>
      </x:c>
      <x:c r="F137" s="10" t="n">
        <x:f>MAX(E137,F49)</x:f>
        <x:v>92.65845942142448</x:v>
      </x:c>
    </x:row>
    <x:row r="138" ht="40" customHeight="1">
      <x:c r="A138" s="10" t="str">
        <x:f>A50</x:f>
        <x:v>Обшивка L / 3</x:v>
      </x:c>
      <x:c r="B138" s="10" t="n">
        <x:f>F50-E50</x:f>
        <x:v>108.74685942142449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30.636123369691695</x:v>
      </x:c>
      <x:c r="D138" s="10" t="n">
        <x:f>MAX(B138,C138,ABS(F50-(C50+D50)))</x:f>
        <x:v>108.74685942142449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107.83209862496429</x:v>
      </x:c>
      <x:c r="F138" s="10" t="n">
        <x:f>MAX(E138,F50)</x:f>
        <x:v>108.74685942142449</x:v>
      </x:c>
    </x:row>
    <x:row r="139" ht="40" customHeight="1">
      <x:c r="A139" s="10" t="str">
        <x:f>A51</x:f>
        <x:v>Обшивка M / 1</x:v>
      </x:c>
      <x:c r="B139" s="10" t="n">
        <x:f>F51-E51</x:f>
        <x:v>92.65845942142448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23.979051782352716</x:v>
      </x:c>
      <x:c r="D139" s="10" t="n">
        <x:f>MAX(B139,C139,ABS(F51-(C51+D51)))</x:f>
        <x:v>92.65845942142448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91.74369862496431</x:v>
      </x:c>
      <x:c r="F139" s="10" t="n">
        <x:f>MAX(E139,F51)</x:f>
        <x:v>92.65845942142448</x:v>
      </x:c>
    </x:row>
    <x:row r="140" ht="40" customHeight="1">
      <x:c r="A140" s="10" t="str">
        <x:f>A52</x:f>
        <x:v>Обшивка M / 2</x:v>
      </x:c>
      <x:c r="B140" s="10" t="n">
        <x:f>F52-E52</x:f>
        <x:v>76.3933149042963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20.739853165157797</x:v>
      </x:c>
      <x:c r="D140" s="10" t="n">
        <x:f>MAX(B140,C140,ABS(F52-(C52+D52)))</x:f>
        <x:v>76.3933149042963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75.47855410783612</x:v>
      </x:c>
      <x:c r="F140" s="10" t="n">
        <x:f>MAX(E140,F52)</x:f>
        <x:v>76.3933149042963</x:v>
      </x:c>
    </x:row>
    <x:row r="141" ht="40" customHeight="1">
      <x:c r="A141" s="10" t="str">
        <x:f>A53</x:f>
        <x:v>Обшивка M / 3</x:v>
      </x:c>
      <x:c r="B141" s="10" t="n">
        <x:f>F53-E53</x:f>
        <x:v>92.65845942142448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23.979051782352716</x:v>
      </x:c>
      <x:c r="D141" s="10" t="n">
        <x:f>MAX(B141,C141,ABS(F53-(C53+D53)))</x:f>
        <x:v>92.65845942142448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91.74369862496431</x:v>
      </x:c>
      <x:c r="F141" s="10" t="n">
        <x:f>MAX(E141,F53)</x:f>
        <x:v>92.65845942142448</x:v>
      </x:c>
    </x:row>
    <x:row r="142" ht="40" customHeight="1">
      <x:c r="A142" s="10" t="str">
        <x:f>A54</x:f>
        <x:v>Обшивка N / 1</x:v>
      </x:c>
      <x:c r="B142" s="10" t="n">
        <x:f>F54-E54</x:f>
        <x:v>76.39331490429633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20.739853165157804</x:v>
      </x:c>
      <x:c r="D142" s="10" t="n">
        <x:f>MAX(B142,C142,ABS(F54-(C54+D54)))</x:f>
        <x:v>76.39331490429633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75.47855410783616</x:v>
      </x:c>
      <x:c r="F142" s="10" t="n">
        <x:f>MAX(E142,F54)</x:f>
        <x:v>76.39331490429633</x:v>
      </x:c>
    </x:row>
    <x:row r="143" ht="40" customHeight="1">
      <x:c r="A143" s="10" t="str">
        <x:f>A55</x:f>
        <x:v>Обшивка N / 2</x:v>
      </x:c>
      <x:c r="B143" s="10" t="n">
        <x:f>F55-E55</x:f>
        <x:v>60.12817038716813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17.50065454796288</x:v>
      </x:c>
      <x:c r="D143" s="10" t="n">
        <x:f>MAX(B143,C143,ABS(F55-(C55+D55)))</x:f>
        <x:v>60.12817038716813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59.21340959070795</x:v>
      </x:c>
      <x:c r="F143" s="10" t="n">
        <x:f>MAX(E143,F55)</x:f>
        <x:v>60.12817038716813</x:v>
      </x:c>
    </x:row>
    <x:row r="144" ht="40" customHeight="1">
      <x:c r="A144" s="10" t="str">
        <x:f>A56</x:f>
        <x:v>Обшивка N / 3</x:v>
      </x:c>
      <x:c r="B144" s="10" t="n">
        <x:f>F56-E56</x:f>
        <x:v>76.39331490429633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20.739853165157804</x:v>
      </x:c>
      <x:c r="D144" s="10" t="n">
        <x:f>MAX(B144,C144,ABS(F56-(C56+D56)))</x:f>
        <x:v>76.39331490429633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75.47855410783616</x:v>
      </x:c>
      <x:c r="F144" s="10" t="n">
        <x:f>MAX(E144,F56)</x:f>
        <x:v>76.39331490429633</x:v>
      </x:c>
    </x:row>
    <x:row r="145" ht="40" customHeight="1">
      <x:c r="A145" s="10" t="str">
        <x:f>A57</x:f>
        <x:v>Обшивка SH / 1</x:v>
      </x:c>
      <x:c r="B145" s="10" t="n">
        <x:f>F57-E57</x:f>
        <x:v>60.12817038716813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17.50065454796288</x:v>
      </x:c>
      <x:c r="D145" s="10" t="n">
        <x:f>MAX(B145,C145,ABS(F57-(C57+D57)))</x:f>
        <x:v>60.12817038716813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59.21340959070795</x:v>
      </x:c>
      <x:c r="F145" s="10" t="n">
        <x:f>MAX(E145,F57)</x:f>
        <x:v>60.12817038716813</x:v>
      </x:c>
    </x:row>
    <x:row r="146" ht="40" customHeight="1">
      <x:c r="A146" s="10" t="str">
        <x:f>A58</x:f>
        <x:v>Обшивка SH / 2</x:v>
      </x:c>
      <x:c r="B146" s="10" t="n">
        <x:f>F58-E58</x:f>
        <x:v>45.09557163716814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14.506917047962885</x:v>
      </x:c>
      <x:c r="D146" s="10" t="n">
        <x:f>MAX(B146,C146,ABS(F58-(C58+D58)))</x:f>
        <x:v>45.09557163716814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44.180810840707956</x:v>
      </x:c>
      <x:c r="F146" s="10" t="n">
        <x:f>MAX(E146,F58)</x:f>
        <x:v>45.09557163716814</x:v>
      </x:c>
    </x:row>
    <x:row r="147" ht="40" customHeight="1">
      <x:c r="A147" s="10" t="str">
        <x:f>A59</x:f>
        <x:v>Обшивка SH / 3</x:v>
      </x:c>
      <x:c r="B147" s="10" t="n">
        <x:f>F59-E59</x:f>
        <x:v>60.12817038716813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17.50065454796288</x:v>
      </x:c>
      <x:c r="D147" s="10" t="n">
        <x:f>MAX(B147,C147,ABS(F59-(C59+D59)))</x:f>
        <x:v>60.12817038716813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59.21340959070795</x:v>
      </x:c>
      <x:c r="F147" s="10" t="n">
        <x:f>MAX(E147,F59)</x:f>
        <x:v>60.12817038716813</x:v>
      </x:c>
    </x:row>
    <x:row r="148" ht="40" customHeight="1">
      <x:c r="A148" s="10" t="str">
        <x:f>A60</x:f>
        <x:v>ISG / 1</x:v>
      </x:c>
      <x:c r="B148" s="10" t="n">
        <x:f>F60-E60</x:f>
        <x:v>156.27415752682543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86.58379994338695</x:v>
      </x:c>
      <x:c r="D148" s="10" t="n">
        <x:f>MAX(B148,C148,ABS(F60-(C60+D60)))</x:f>
        <x:v>156.27415752682543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173.89353584070795</x:v>
      </x:c>
      <x:c r="F148" s="10" t="n">
        <x:f>MAX(E148,F60)</x:f>
        <x:v>174.80829663716816</x:v>
      </x:c>
    </x:row>
    <x:row r="149" ht="40" customHeight="1">
      <x:c r="A149" s="10" t="str">
        <x:f>A61</x:f>
        <x:v>ISG / 2</x:v>
      </x:c>
      <x:c r="B149" s="10" t="n">
        <x:f>F61-E61</x:f>
        <x:v>157.7143716371681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72.10689136279245</x:v>
      </x:c>
      <x:c r="D149" s="10" t="n">
        <x:f>MAX(B149,C149,ABS(F61-(C61+D61)))</x:f>
        <x:v>157.7143716371681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156.79961084070794</x:v>
      </x:c>
      <x:c r="F149" s="10" t="n">
        <x:f>MAX(E149,F61)</x:f>
        <x:v>157.7143716371681</x:v>
      </x:c>
    </x:row>
    <x:row r="150" ht="40" customHeight="1">
      <x:c r="A150" s="10" t="str">
        <x:f>A62</x:f>
        <x:v>ISG / 3</x:v>
      </x:c>
      <x:c r="B150" s="10" t="n">
        <x:f>F62-E62</x:f>
        <x:v>159.86753231591786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73.93041113988232</x:v>
      </x:c>
      <x:c r="D150" s="10" t="n">
        <x:f>MAX(B150,C150,ABS(F62-(C62+D62)))</x:f>
        <x:v>159.86753231591786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158.9527715194577</x:v>
      </x:c>
      <x:c r="F150" s="10" t="n">
        <x:f>MAX(E150,F62)</x:f>
        <x:v>159.86753231591786</x:v>
      </x:c>
    </x:row>
    <x:row r="151" ht="40" customHeight="1">
      <x:c r="A151" s="10" t="str">
        <x:f>A63</x:f>
        <x:v>ISF / 1</x:v>
      </x:c>
      <x:c r="B151" s="10" t="n">
        <x:f>F63-E63</x:f>
        <x:v>157.7143716371681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72.10689136279245</x:v>
      </x:c>
      <x:c r="D151" s="10" t="n">
        <x:f>MAX(B151,C151,ABS(F63-(C63+D63)))</x:f>
        <x:v>157.7143716371681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156.79961084070794</x:v>
      </x:c>
      <x:c r="F151" s="10" t="n">
        <x:f>MAX(E151,F63)</x:f>
        <x:v>157.7143716371681</x:v>
      </x:c>
    </x:row>
    <x:row r="152" ht="40" customHeight="1">
      <x:c r="A152" s="10" t="str">
        <x:f>A64</x:f>
        <x:v>ISF / 2</x:v>
      </x:c>
      <x:c r="B152" s="10" t="n">
        <x:f>F64-E64</x:f>
        <x:v>140.62044663716813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57.62998278219797</x:v>
      </x:c>
      <x:c r="D152" s="10" t="n">
        <x:f>MAX(B152,C152,ABS(F64-(C64+D64)))</x:f>
        <x:v>140.62044663716813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139.70568584070796</x:v>
      </x:c>
      <x:c r="F152" s="10" t="n">
        <x:f>MAX(E152,F64)</x:f>
        <x:v>140.62044663716813</x:v>
      </x:c>
    </x:row>
    <x:row r="153" ht="40" customHeight="1">
      <x:c r="A153" s="10" t="str">
        <x:f>A65</x:f>
        <x:v>ISF / 3</x:v>
      </x:c>
      <x:c r="B153" s="10" t="n">
        <x:f>F65-E65</x:f>
        <x:v>157.7143716371681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72.10689136279245</x:v>
      </x:c>
      <x:c r="D153" s="10" t="n">
        <x:f>MAX(B153,C153,ABS(F65-(C65+D65)))</x:f>
        <x:v>157.7143716371681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156.79961084070794</x:v>
      </x:c>
      <x:c r="F153" s="10" t="n">
        <x:f>MAX(E153,F65)</x:f>
        <x:v>157.7143716371681</x:v>
      </x:c>
    </x:row>
    <x:row r="154" ht="40" customHeight="1">
      <x:c r="A154" s="10" t="str">
        <x:f>A66</x:f>
        <x:v>ISE / 1</x:v>
      </x:c>
      <x:c r="B154" s="10" t="n">
        <x:f>F66-E66</x:f>
        <x:v>140.62044663716813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57.62998278219797</x:v>
      </x:c>
      <x:c r="D154" s="10" t="n">
        <x:f>MAX(B154,C154,ABS(F66-(C66+D66)))</x:f>
        <x:v>140.62044663716813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139.70568584070796</x:v>
      </x:c>
      <x:c r="F154" s="10" t="n">
        <x:f>MAX(E154,F66)</x:f>
        <x:v>140.62044663716813</x:v>
      </x:c>
    </x:row>
    <x:row r="155" ht="40" customHeight="1">
      <x:c r="A155" s="10" t="str">
        <x:f>A67</x:f>
        <x:v>ISE / 2</x:v>
      </x:c>
      <x:c r="B155" s="10" t="n">
        <x:f>F67-E67</x:f>
        <x:v>123.52652163716813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43.153074201603474</x:v>
      </x:c>
      <x:c r="D155" s="10" t="n">
        <x:f>MAX(B155,C155,ABS(F67-(C67+D67)))</x:f>
        <x:v>123.52652163716813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122.61176084070797</x:v>
      </x:c>
      <x:c r="F155" s="10" t="n">
        <x:f>MAX(E155,F67)</x:f>
        <x:v>123.52652163716813</x:v>
      </x:c>
    </x:row>
    <x:row r="156" ht="40" customHeight="1">
      <x:c r="A156" s="10" t="str">
        <x:f>A68</x:f>
        <x:v>ISE / 3</x:v>
      </x:c>
      <x:c r="B156" s="10" t="n">
        <x:f>F68-E68</x:f>
        <x:v>140.62044663716813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57.62998278219797</x:v>
      </x:c>
      <x:c r="D156" s="10" t="n">
        <x:f>MAX(B156,C156,ABS(F68-(C68+D68)))</x:f>
        <x:v>140.62044663716813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139.70568584070796</x:v>
      </x:c>
      <x:c r="F156" s="10" t="n">
        <x:f>MAX(E156,F68)</x:f>
        <x:v>140.62044663716813</x:v>
      </x:c>
    </x:row>
    <x:row r="157" ht="40" customHeight="1">
      <x:c r="A157" s="10" t="str">
        <x:f>A69</x:f>
        <x:v>ISD / 1</x:v>
      </x:c>
      <x:c r="B157" s="10" t="n">
        <x:f>F69-E69</x:f>
        <x:v>123.52652163716813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43.153074201603474</x:v>
      </x:c>
      <x:c r="D157" s="10" t="n">
        <x:f>MAX(B157,C157,ABS(F69-(C69+D69)))</x:f>
        <x:v>123.52652163716813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122.61176084070797</x:v>
      </x:c>
      <x:c r="F157" s="10" t="n">
        <x:f>MAX(E157,F69)</x:f>
        <x:v>123.52652163716813</x:v>
      </x:c>
    </x:row>
    <x:row r="158" ht="40" customHeight="1">
      <x:c r="A158" s="10" t="str">
        <x:f>A70</x:f>
        <x:v>ISD / 2</x:v>
      </x:c>
      <x:c r="B158" s="10" t="n">
        <x:f>F70-E70</x:f>
        <x:v>106.43259663716815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28.676165621008977</x:v>
      </x:c>
      <x:c r="D158" s="10" t="n">
        <x:f>MAX(B158,C158,ABS(F70-(C70+D70)))</x:f>
        <x:v>106.43259663716815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105.51783584070795</x:v>
      </x:c>
      <x:c r="F158" s="10" t="n">
        <x:f>MAX(E158,F70)</x:f>
        <x:v>106.43259663716815</x:v>
      </x:c>
    </x:row>
    <x:row r="159" ht="40" customHeight="1">
      <x:c r="A159" s="10" t="str">
        <x:f>A71</x:f>
        <x:v>ISD / 3</x:v>
      </x:c>
      <x:c r="B159" s="10" t="n">
        <x:f>F71-E71</x:f>
        <x:v>123.52652163716813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43.153074201603474</x:v>
      </x:c>
      <x:c r="D159" s="10" t="n">
        <x:f>MAX(B159,C159,ABS(F71-(C71+D71)))</x:f>
        <x:v>123.52652163716813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122.61176084070797</x:v>
      </x:c>
      <x:c r="F159" s="10" t="n">
        <x:f>MAX(E159,F71)</x:f>
        <x:v>123.52652163716813</x:v>
      </x:c>
    </x:row>
    <x:row r="160" ht="40" customHeight="1">
      <x:c r="A160" s="10" t="str">
        <x:f>A72</x:f>
        <x:v>ISC / 1</x:v>
      </x:c>
      <x:c r="B160" s="10" t="n">
        <x:f>F72-E72</x:f>
        <x:v>106.43259663716815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28.676165621008977</x:v>
      </x:c>
      <x:c r="D160" s="10" t="n">
        <x:f>MAX(B160,C160,ABS(F72-(C72+D72)))</x:f>
        <x:v>106.43259663716815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105.51783584070795</x:v>
      </x:c>
      <x:c r="F160" s="10" t="n">
        <x:f>MAX(E160,F72)</x:f>
        <x:v>106.43259663716815</x:v>
      </x:c>
    </x:row>
    <x:row r="161" ht="40" customHeight="1">
      <x:c r="A161" s="10" t="str">
        <x:f>A73</x:f>
        <x:v>ISC / 2</x:v>
      </x:c>
      <x:c r="B161" s="10" t="n">
        <x:f>F73-E73</x:f>
        <x:v>89.33867163716815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23.317917047962887</x:v>
      </x:c>
      <x:c r="D161" s="10" t="n">
        <x:f>MAX(B161,C161,ABS(F73-(C73+D73)))</x:f>
        <x:v>89.33867163716815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88.42391084070795</x:v>
      </x:c>
      <x:c r="F161" s="10" t="n">
        <x:f>MAX(E161,F73)</x:f>
        <x:v>89.33867163716815</x:v>
      </x:c>
    </x:row>
    <x:row r="162" ht="40" customHeight="1">
      <x:c r="A162" s="10" t="str">
        <x:f>A74</x:f>
        <x:v>ISC / 3</x:v>
      </x:c>
      <x:c r="B162" s="10" t="n">
        <x:f>F74-E74</x:f>
        <x:v>106.43259663716815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28.676165621008977</x:v>
      </x:c>
      <x:c r="D162" s="10" t="n">
        <x:f>MAX(B162,C162,ABS(F74-(C74+D74)))</x:f>
        <x:v>106.43259663716815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105.51783584070795</x:v>
      </x:c>
      <x:c r="F162" s="10" t="n">
        <x:f>MAX(E162,F74)</x:f>
        <x:v>106.43259663716815</x:v>
      </x:c>
    </x:row>
    <x:row r="163" ht="40" customHeight="1">
      <x:c r="A163" s="10" t="str">
        <x:f>A75</x:f>
        <x:v>ISB / 1</x:v>
      </x:c>
      <x:c r="B163" s="10" t="n">
        <x:f>F75-E75</x:f>
        <x:v>89.33867163716815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23.317917047962887</x:v>
      </x:c>
      <x:c r="D163" s="10" t="n">
        <x:f>MAX(B163,C163,ABS(F75-(C75+D75)))</x:f>
        <x:v>89.33867163716815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88.42391084070795</x:v>
      </x:c>
      <x:c r="F163" s="10" t="n">
        <x:f>MAX(E163,F75)</x:f>
        <x:v>89.33867163716815</x:v>
      </x:c>
    </x:row>
    <x:row r="164" ht="40" customHeight="1">
      <x:c r="A164" s="10" t="str">
        <x:f>A76</x:f>
        <x:v>ISB / 2</x:v>
      </x:c>
      <x:c r="B164" s="10" t="n">
        <x:f>F76-E76</x:f>
        <x:v>72.24474663716813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19.913667047962882</x:v>
      </x:c>
      <x:c r="D164" s="10" t="n">
        <x:f>MAX(B164,C164,ABS(F76-(C76+D76)))</x:f>
        <x:v>72.24474663716813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71.32998584070795</x:v>
      </x:c>
      <x:c r="F164" s="10" t="n">
        <x:f>MAX(E164,F76)</x:f>
        <x:v>72.24474663716813</x:v>
      </x:c>
    </x:row>
    <x:row r="165" ht="40" customHeight="1">
      <x:c r="A165" s="10" t="str">
        <x:f>A77</x:f>
        <x:v>ISB / 3</x:v>
      </x:c>
      <x:c r="B165" s="10" t="n">
        <x:f>F77-E77</x:f>
        <x:v>89.33867163716815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23.317917047962887</x:v>
      </x:c>
      <x:c r="D165" s="10" t="n">
        <x:f>MAX(B165,C165,ABS(F77-(C77+D77)))</x:f>
        <x:v>89.33867163716815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88.42391084070795</x:v>
      </x:c>
      <x:c r="F165" s="10" t="n">
        <x:f>MAX(E165,F77)</x:f>
        <x:v>89.33867163716815</x:v>
      </x:c>
    </x:row>
    <x:row r="166" ht="40" customHeight="1">
      <x:c r="A166" s="10" t="str">
        <x:f>A78</x:f>
        <x:v>ISA / 1</x:v>
      </x:c>
      <x:c r="B166" s="10" t="n">
        <x:f>F78-E78</x:f>
        <x:v>72.24474663716813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19.913667047962882</x:v>
      </x:c>
      <x:c r="D166" s="10" t="n">
        <x:f>MAX(B166,C166,ABS(F78-(C78+D78)))</x:f>
        <x:v>72.24474663716813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71.32998584070795</x:v>
      </x:c>
      <x:c r="F166" s="10" t="n">
        <x:f>MAX(E166,F78)</x:f>
        <x:v>72.24474663716813</x:v>
      </x:c>
    </x:row>
    <x:row r="167" ht="40" customHeight="1">
      <x:c r="A167" s="10" t="str">
        <x:f>A79</x:f>
        <x:v>ISA / 2</x:v>
      </x:c>
      <x:c r="B167" s="10" t="n">
        <x:f>F79-E79</x:f>
        <x:v>44.49225663716813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14.386767047962884</x:v>
      </x:c>
      <x:c r="D167" s="10" t="n">
        <x:f>MAX(B167,C167,ABS(F79-(C79+D79)))</x:f>
        <x:v>44.49225663716813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43.577495840707954</x:v>
      </x:c>
      <x:c r="F167" s="10" t="n">
        <x:f>MAX(E167,F79)</x:f>
        <x:v>44.49225663716813</x:v>
      </x:c>
    </x:row>
    <x:row r="168" ht="40" customHeight="1">
      <x:c r="A168" s="10" t="str">
        <x:f>A80</x:f>
        <x:v>ISA / 3</x:v>
      </x:c>
      <x:c r="B168" s="10" t="n">
        <x:f>F80-E80</x:f>
        <x:v>72.24474663716813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19.913667047962882</x:v>
      </x:c>
      <x:c r="D168" s="10" t="n">
        <x:f>MAX(B168,C168,ABS(F80-(C80+D80)))</x:f>
        <x:v>72.24474663716813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71.32998584070795</x:v>
      </x:c>
      <x:c r="F168" s="10" t="n">
        <x:f>MAX(E168,F80)</x:f>
        <x:v>72.24474663716813</x:v>
      </x:c>
    </x:row>
    <x:row r="169" ht="40" customHeight="1">
      <x:c r="A169" s="10" t="str">
        <x:f>A81</x:f>
        <x:v>OF1 / 1</x:v>
      </x:c>
      <x:c r="B169" s="10" t="n">
        <x:f>F81-E81</x:f>
        <x:v>158.21713413716813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72.53268279163348</x:v>
      </x:c>
      <x:c r="D169" s="10" t="n">
        <x:f>MAX(B169,C169,ABS(F81-(C81+D81)))</x:f>
        <x:v>158.21713413716813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157.30237334070796</x:v>
      </x:c>
      <x:c r="F169" s="10" t="n">
        <x:f>MAX(E169,F81)</x:f>
        <x:v>158.21713413716813</x:v>
      </x:c>
    </x:row>
    <x:row r="170" ht="40" customHeight="1">
      <x:c r="A170" s="10" t="str">
        <x:f>A82</x:f>
        <x:v>OF1 / 2</x:v>
      </x:c>
      <x:c r="B170" s="10" t="n">
        <x:f>F82-E82</x:f>
        <x:v>158.21713413716813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72.53268279163348</x:v>
      </x:c>
      <x:c r="D170" s="10" t="n">
        <x:f>MAX(B170,C170,ABS(F82-(C82+D82)))</x:f>
        <x:v>158.21713413716813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157.30237334070796</x:v>
      </x:c>
      <x:c r="F170" s="10" t="n">
        <x:f>MAX(E170,F82)</x:f>
        <x:v>158.21713413716813</x:v>
      </x:c>
    </x:row>
    <x:row r="171" ht="40" customHeight="1">
      <x:c r="A171" s="10" t="str">
        <x:f>A83</x:f>
        <x:v>OF1 / 3</x:v>
      </x:c>
      <x:c r="B171" s="10" t="n">
        <x:f>F83-E83</x:f>
        <x:v>158.21713413716813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72.53268279163348</x:v>
      </x:c>
      <x:c r="D171" s="10" t="n">
        <x:f>MAX(B171,C171,ABS(F83-(C83+D83)))</x:f>
        <x:v>158.21713413716813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157.30237334070796</x:v>
      </x:c>
      <x:c r="F171" s="10" t="n">
        <x:f>MAX(E171,F83)</x:f>
        <x:v>158.21713413716813</x:v>
      </x:c>
    </x:row>
    <x:row r="172" ht="40" customHeight="1">
      <x:c r="A172" s="10" t="str">
        <x:f>A84</x:f>
        <x:v>OF2 / 1</x:v>
      </x:c>
      <x:c r="B172" s="10" t="n">
        <x:f>F84-E84</x:f>
        <x:v>125.28619038716813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44.64334420254703</x:v>
      </x:c>
      <x:c r="D172" s="10" t="n">
        <x:f>MAX(B172,C172,ABS(F84-(C84+D84)))</x:f>
        <x:v>125.28619038716813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124.37142959070793</x:v>
      </x:c>
      <x:c r="F172" s="10" t="n">
        <x:f>MAX(E172,F84)</x:f>
        <x:v>125.28619038716813</x:v>
      </x:c>
    </x:row>
    <x:row r="173" ht="40" customHeight="1">
      <x:c r="A173" s="10" t="str">
        <x:f>A85</x:f>
        <x:v>OF2 / 2</x:v>
      </x:c>
      <x:c r="B173" s="10" t="n">
        <x:f>F85-E85</x:f>
        <x:v>125.28619038716813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44.64334420254703</x:v>
      </x:c>
      <x:c r="D173" s="10" t="n">
        <x:f>MAX(B173,C173,ABS(F85-(C85+D85)))</x:f>
        <x:v>125.28619038716813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124.37142959070793</x:v>
      </x:c>
      <x:c r="F173" s="10" t="n">
        <x:f>MAX(E173,F85)</x:f>
        <x:v>125.28619038716813</x:v>
      </x:c>
    </x:row>
    <x:row r="174" ht="40" customHeight="1">
      <x:c r="A174" s="10" t="str">
        <x:f>A86</x:f>
        <x:v>OF2 / 3</x:v>
      </x:c>
      <x:c r="B174" s="10" t="n">
        <x:f>F86-E86</x:f>
        <x:v>125.28619038716813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44.64334420254703</x:v>
      </x:c>
      <x:c r="D174" s="10" t="n">
        <x:f>MAX(B174,C174,ABS(F86-(C86+D86)))</x:f>
        <x:v>125.28619038716813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124.37142959070793</x:v>
      </x:c>
      <x:c r="F174" s="10" t="n">
        <x:f>MAX(E174,F86)</x:f>
        <x:v>125.28619038716813</x:v>
      </x:c>
    </x:row>
    <x:row r="175" ht="40" customHeight="1">
      <x:c r="A175" s="10" t="str">
        <x:f>A87</x:f>
        <x:v>OF3 / 1</x:v>
      </x:c>
      <x:c r="B175" s="10" t="n">
        <x:f>F87-E87</x:f>
        <x:v>92.60662788716814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23.968729547962884</x:v>
      </x:c>
      <x:c r="D175" s="10" t="n">
        <x:f>MAX(B175,C175,ABS(F87-(C87+D87)))</x:f>
        <x:v>92.60662788716814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91.69186709070794</x:v>
      </x:c>
      <x:c r="F175" s="10" t="n">
        <x:f>MAX(E175,F87)</x:f>
        <x:v>92.60662788716814</x:v>
      </x:c>
    </x:row>
    <x:row r="176" ht="40" customHeight="1">
      <x:c r="A176" s="10" t="str">
        <x:f>A88</x:f>
        <x:v>OF3 / 2</x:v>
      </x:c>
      <x:c r="B176" s="10" t="n">
        <x:f>F88-E88</x:f>
        <x:v>92.60662788716814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23.968729547962884</x:v>
      </x:c>
      <x:c r="D176" s="10" t="n">
        <x:f>MAX(B176,C176,ABS(F88-(C88+D88)))</x:f>
        <x:v>92.60662788716814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91.69186709070794</x:v>
      </x:c>
      <x:c r="F176" s="10" t="n">
        <x:f>MAX(E176,F88)</x:f>
        <x:v>92.60662788716814</x:v>
      </x:c>
    </x:row>
    <x:row r="177" ht="40" customHeight="1">
      <x:c r="A177" s="10" t="str">
        <x:f>A89</x:f>
        <x:v>OF3 / 3</x:v>
      </x:c>
      <x:c r="B177" s="10" t="n">
        <x:f>F89-E89</x:f>
        <x:v>92.60662788716814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23.968729547962884</x:v>
      </x:c>
      <x:c r="D177" s="10" t="n">
        <x:f>MAX(B177,C177,ABS(F89-(C89+D89)))</x:f>
        <x:v>92.60662788716814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91.69186709070794</x:v>
      </x:c>
      <x:c r="F177" s="10" t="n">
        <x:f>MAX(E177,F89)</x:f>
        <x:v>92.60662788716814</x:v>
      </x:c>
    </x:row>
    <x:row r="178" ht="40" customHeight="1">
      <x:c r="A178" s="10" t="str">
        <x:f>A90</x:f>
        <x:v>OF4 / 1</x:v>
      </x:c>
      <x:c r="B178" s="10" t="n">
        <x:f>F90-E90</x:f>
        <x:v>60.681209137168125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17.61079204796288</x:v>
      </x:c>
      <x:c r="D178" s="10" t="n">
        <x:f>MAX(B178,C178,ABS(F90-(C90+D90)))</x:f>
        <x:v>60.681209137168125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59.766448340707946</x:v>
      </x:c>
      <x:c r="F178" s="10" t="n">
        <x:f>MAX(E178,F90)</x:f>
        <x:v>60.681209137168125</x:v>
      </x:c>
    </x:row>
    <x:row r="179" ht="40" customHeight="1">
      <x:c r="A179" s="10" t="str">
        <x:f>A91</x:f>
        <x:v>OF4 / 2</x:v>
      </x:c>
      <x:c r="B179" s="10" t="n">
        <x:f>F91-E91</x:f>
        <x:v>60.681209137168125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17.61079204796288</x:v>
      </x:c>
      <x:c r="D179" s="10" t="n">
        <x:f>MAX(B179,C179,ABS(F91-(C91+D91)))</x:f>
        <x:v>60.681209137168125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59.766448340707946</x:v>
      </x:c>
      <x:c r="F179" s="10" t="n">
        <x:f>MAX(E179,F91)</x:f>
        <x:v>60.681209137168125</x:v>
      </x:c>
    </x:row>
    <x:row r="180" ht="40" customHeight="1">
      <x:c r="A180" s="10" t="str">
        <x:f>A92</x:f>
        <x:v>OF4 / 3</x:v>
      </x:c>
      <x:c r="B180" s="10" t="n">
        <x:f>F92-E92</x:f>
        <x:v>60.681209137168125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17.61079204796288</x:v>
      </x:c>
      <x:c r="D180" s="10" t="n">
        <x:f>MAX(B180,C180,ABS(F92-(C92+D92)))</x:f>
        <x:v>60.681209137168125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59.766448340707946</x:v>
      </x:c>
      <x:c r="F180" s="10" t="n">
        <x:f>MAX(E180,F92)</x:f>
        <x:v>60.681209137168125</x:v>
      </x:c>
    </x:row>
    <x:row r="181" ht="40" customHeight="1">
      <x:c r="A181" s="10" t="str">
        <x:f>A93</x:f>
        <x:v>IF1 / 1</x:v>
      </x:c>
      <x:c r="B181" s="10" t="n">
        <x:f>F93-E93</x:f>
        <x:v>158.21713413716813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72.53268279163348</x:v>
      </x:c>
      <x:c r="D181" s="10" t="n">
        <x:f>MAX(B181,C181,ABS(F93-(C93+D93)))</x:f>
        <x:v>158.21713413716813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157.30237334070796</x:v>
      </x:c>
      <x:c r="F181" s="10" t="n">
        <x:f>MAX(E181,F93)</x:f>
        <x:v>158.21713413716813</x:v>
      </x:c>
    </x:row>
    <x:row r="182" ht="40" customHeight="1">
      <x:c r="A182" s="10" t="str">
        <x:f>A94</x:f>
        <x:v>IF1 / 2</x:v>
      </x:c>
      <x:c r="B182" s="10" t="n">
        <x:f>F94-E94</x:f>
        <x:v>158.21713413716813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72.53268279163348</x:v>
      </x:c>
      <x:c r="D182" s="10" t="n">
        <x:f>MAX(B182,C182,ABS(F94-(C94+D94)))</x:f>
        <x:v>158.21713413716813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157.30237334070796</x:v>
      </x:c>
      <x:c r="F182" s="10" t="n">
        <x:f>MAX(E182,F94)</x:f>
        <x:v>158.21713413716813</x:v>
      </x:c>
    </x:row>
    <x:row r="183" ht="40" customHeight="1">
      <x:c r="A183" s="10" t="str">
        <x:f>A95</x:f>
        <x:v>IF1 / 3</x:v>
      </x:c>
      <x:c r="B183" s="10" t="n">
        <x:f>F95-E95</x:f>
        <x:v>158.21713413716813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72.53268279163348</x:v>
      </x:c>
      <x:c r="D183" s="10" t="n">
        <x:f>MAX(B183,C183,ABS(F95-(C95+D95)))</x:f>
        <x:v>158.21713413716813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157.30237334070796</x:v>
      </x:c>
      <x:c r="F183" s="10" t="n">
        <x:f>MAX(E183,F95)</x:f>
        <x:v>158.21713413716813</x:v>
      </x:c>
    </x:row>
    <x:row r="184" ht="40" customHeight="1">
      <x:c r="A184" s="10" t="str">
        <x:f>A96</x:f>
        <x:v>IF2 / 1</x:v>
      </x:c>
      <x:c r="B184" s="10" t="n">
        <x:f>F96-E96</x:f>
        <x:v>125.28619038716813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44.64334420254703</x:v>
      </x:c>
      <x:c r="D184" s="10" t="n">
        <x:f>MAX(B184,C184,ABS(F96-(C96+D96)))</x:f>
        <x:v>125.28619038716813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124.37142959070793</x:v>
      </x:c>
      <x:c r="F184" s="10" t="n">
        <x:f>MAX(E184,F96)</x:f>
        <x:v>125.28619038716813</x:v>
      </x:c>
    </x:row>
    <x:row r="185" ht="40" customHeight="1">
      <x:c r="A185" s="10" t="str">
        <x:f>A97</x:f>
        <x:v>IF2 / 2</x:v>
      </x:c>
      <x:c r="B185" s="10" t="n">
        <x:f>F97-E97</x:f>
        <x:v>125.28619038716813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44.64334420254703</x:v>
      </x:c>
      <x:c r="D185" s="10" t="n">
        <x:f>MAX(B185,C185,ABS(F97-(C97+D97)))</x:f>
        <x:v>125.28619038716813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124.37142959070793</x:v>
      </x:c>
      <x:c r="F185" s="10" t="n">
        <x:f>MAX(E185,F97)</x:f>
        <x:v>125.28619038716813</x:v>
      </x:c>
    </x:row>
    <x:row r="186" ht="40" customHeight="1">
      <x:c r="A186" s="10" t="str">
        <x:f>A98</x:f>
        <x:v>IF2 / 3</x:v>
      </x:c>
      <x:c r="B186" s="10" t="n">
        <x:f>F98-E98</x:f>
        <x:v>125.28619038716813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44.64334420254703</x:v>
      </x:c>
      <x:c r="D186" s="10" t="n">
        <x:f>MAX(B186,C186,ABS(F98-(C98+D98)))</x:f>
        <x:v>125.28619038716813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124.37142959070793</x:v>
      </x:c>
      <x:c r="F186" s="10" t="n">
        <x:f>MAX(E186,F98)</x:f>
        <x:v>125.28619038716813</x:v>
      </x:c>
    </x:row>
    <x:row r="187" ht="40" customHeight="1">
      <x:c r="A187" s="10" t="str">
        <x:f>A99</x:f>
        <x:v>IF3 / 1</x:v>
      </x:c>
      <x:c r="B187" s="10" t="n">
        <x:f>F99-E99</x:f>
        <x:v>92.60662788716814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23.968729547962884</x:v>
      </x:c>
      <x:c r="D187" s="10" t="n">
        <x:f>MAX(B187,C187,ABS(F99-(C99+D99)))</x:f>
        <x:v>92.60662788716814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91.69186709070794</x:v>
      </x:c>
      <x:c r="F187" s="10" t="n">
        <x:f>MAX(E187,F99)</x:f>
        <x:v>92.60662788716814</x:v>
      </x:c>
    </x:row>
    <x:row r="188" ht="40" customHeight="1">
      <x:c r="A188" s="10" t="str">
        <x:f>A100</x:f>
        <x:v>IF3 / 2</x:v>
      </x:c>
      <x:c r="B188" s="10" t="n">
        <x:f>F100-E100</x:f>
        <x:v>92.60662788716814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23.968729547962884</x:v>
      </x:c>
      <x:c r="D188" s="10" t="n">
        <x:f>MAX(B188,C188,ABS(F100-(C100+D100)))</x:f>
        <x:v>92.60662788716814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91.69186709070794</x:v>
      </x:c>
      <x:c r="F188" s="10" t="n">
        <x:f>MAX(E188,F100)</x:f>
        <x:v>92.60662788716814</x:v>
      </x:c>
    </x:row>
    <x:row r="189" ht="40" customHeight="1">
      <x:c r="A189" s="10" t="str">
        <x:f>A101</x:f>
        <x:v>IF3 / 3</x:v>
      </x:c>
      <x:c r="B189" s="10" t="n">
        <x:f>F101-E101</x:f>
        <x:v>92.60662788716814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23.968729547962884</x:v>
      </x:c>
      <x:c r="D189" s="10" t="n">
        <x:f>MAX(B189,C189,ABS(F101-(C101+D101)))</x:f>
        <x:v>92.60662788716814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91.69186709070794</x:v>
      </x:c>
      <x:c r="F189" s="10" t="n">
        <x:f>MAX(E189,F101)</x:f>
        <x:v>92.60662788716814</x:v>
      </x:c>
    </x:row>
    <x:row r="190" ht="40" customHeight="1">
      <x:c r="A190" s="10" t="str">
        <x:f>A102</x:f>
        <x:v>IF4 / 1</x:v>
      </x:c>
      <x:c r="B190" s="10" t="n">
        <x:f>F102-E102</x:f>
        <x:v>60.379551637168134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17.550717047962884</x:v>
      </x:c>
      <x:c r="D190" s="10" t="n">
        <x:f>MAX(B190,C190,ABS(F102-(C102+D102)))</x:f>
        <x:v>60.379551637168134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59.464790840707956</x:v>
      </x:c>
      <x:c r="F190" s="10" t="n">
        <x:f>MAX(E190,F102)</x:f>
        <x:v>60.379551637168134</x:v>
      </x:c>
    </x:row>
    <x:row r="191" ht="40" customHeight="1">
      <x:c r="A191" s="10" t="str">
        <x:f>A103</x:f>
        <x:v>IF4 / 2</x:v>
      </x:c>
      <x:c r="B191" s="10" t="n">
        <x:f>F103-E103</x:f>
        <x:v>60.379551637168134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17.550717047962884</x:v>
      </x:c>
      <x:c r="D191" s="10" t="n">
        <x:f>MAX(B191,C191,ABS(F103-(C103+D103)))</x:f>
        <x:v>60.379551637168134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59.464790840707956</x:v>
      </x:c>
      <x:c r="F191" s="10" t="n">
        <x:f>MAX(E191,F103)</x:f>
        <x:v>60.379551637168134</x:v>
      </x:c>
    </x:row>
    <x:row r="192" ht="40" customHeight="1">
      <x:c r="A192" s="10" t="str">
        <x:f>A104</x:f>
        <x:v>IF4 / 3</x:v>
      </x:c>
      <x:c r="B192" s="10" t="n">
        <x:f>F104-E104</x:f>
        <x:v>60.379551637168134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17.550717047962884</x:v>
      </x:c>
      <x:c r="D192" s="10" t="n">
        <x:f>MAX(B192,C192,ABS(F104-(C104+D104)))</x:f>
        <x:v>60.379551637168134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59.464790840707956</x:v>
      </x:c>
      <x:c r="F192" s="10" t="n">
        <x:f>MAX(E192,F104)</x:f>
        <x:v>60.379551637168134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13.4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173.89353584070795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3.5999999999999996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9.48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16.728668125958816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17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0.9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40" t="n">
        <x:v>0.5</x:v>
      </x:c>
      <x:c r="C22" s="10" t="n">
        <x:f>B5*100</x:f>
        <x:v>1340</x:v>
      </x:c>
      <x:c r="D22" s="10" t="n">
        <x:f>B13/10</x:f>
        <x:v>1.7</x:v>
      </x:c>
      <x:c r="E22" s="10" t="n">
        <x:f>('Балластные случаи'!B10+'Исходные данные'!B14)*50</x:f>
        <x:v>840</x:v>
      </x:c>
      <x:c r="F22" s="10" t="n">
        <x:f>B22*C22*D22</x:f>
        <x:v>1139</x:v>
      </x:c>
    </x:row>
    <x:row r="23" ht="40" customHeight="1">
      <x:c r="A23" s="10" t="str">
        <x:v>PL1</x:v>
      </x:c>
      <x:c r="B23" s="40" t="n">
        <x:v>1</x:v>
      </x:c>
      <x:c r="C23" s="10" t="n">
        <x:f>B17*100</x:f>
        <x:v>90</x:v>
      </x:c>
      <x:c r="D23" s="10" t="n">
        <x:f>B15/10</x:f>
        <x:v>1.2</x:v>
      </x:c>
      <x:c r="E23" s="10" t="n">
        <x:f>'Исходные данные'!B23*100</x:f>
        <x:v>500</x:v>
      </x:c>
      <x:c r="F23" s="10" t="n">
        <x:f>B23*C23*D23</x:f>
        <x:v>108</x:v>
      </x:c>
    </x:row>
    <x:row r="24" ht="40" customHeight="1">
      <x:c r="A24" s="10" t="str">
        <x:v>PL2</x:v>
      </x:c>
      <x:c r="B24" s="40" t="n">
        <x:v>1</x:v>
      </x:c>
      <x:c r="C24" s="10" t="n">
        <x:f>B17*100</x:f>
        <x:v>90</x:v>
      </x:c>
      <x:c r="D24" s="10" t="n">
        <x:f>B15/10</x:f>
        <x:v>1.2</x:v>
      </x:c>
      <x:c r="E24" s="10" t="n">
        <x:f>'Исходные данные'!B24*100</x:f>
        <x:v>825</x:v>
      </x:c>
      <x:c r="F24" s="10" t="n">
        <x:f>B24*C24*D24</x:f>
        <x:v>108</x:v>
      </x:c>
    </x:row>
    <x:row r="25" ht="40" customHeight="1">
      <x:c r="A25" s="10" t="str">
        <x:v>PL3</x:v>
      </x:c>
      <x:c r="B25" s="40" t="n">
        <x:v>1</x:v>
      </x:c>
      <x:c r="C25" s="10" t="n">
        <x:f>B17*100</x:f>
        <x:v>90</x:v>
      </x:c>
      <x:c r="D25" s="10" t="n">
        <x:f>B15/10</x:f>
        <x:v>1.2</x:v>
      </x:c>
      <x:c r="E25" s="10" t="n">
        <x:f>'Исходные данные'!B25*100</x:f>
        <x:v>1150</x:v>
      </x:c>
      <x:c r="F25" s="10" t="n">
        <x:f>B25*C25*D25</x:f>
        <x:v>108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956760</x:v>
      </x:c>
      <x:c r="C29" s="10" t="n">
        <x:f>F22*E22^2</x:f>
        <x:v>803678400</x:v>
      </x:c>
      <x:c r="D29" s="10" t="n">
        <x:f>B22*D22*C22^3/12</x:f>
        <x:v>170432366.66666666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54000</x:v>
      </x:c>
      <x:c r="C30" s="10" t="n">
        <x:f>F23*E23^2</x:f>
        <x:v>27000000</x:v>
      </x:c>
      <x:c r="D30" s="10" t="n">
        <x:f>B23*C23*D23^3/12</x:f>
        <x:v>12.959999999999999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89100</x:v>
      </x:c>
      <x:c r="C31" s="10" t="n">
        <x:f>F24*E24^2</x:f>
        <x:v>73507500</x:v>
      </x:c>
      <x:c r="D31" s="10" t="n">
        <x:f>B24*C24*D24^3/12</x:f>
        <x:v>12.959999999999999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124200</x:v>
      </x:c>
      <x:c r="C32" s="10" t="n">
        <x:f>F25*E25^2</x:f>
        <x:v>142830000</x:v>
      </x:c>
      <x:c r="D32" s="10" t="n">
        <x:f>B25*C25*D25^3/12</x:f>
        <x:v>12.959999999999999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3.3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157.30237334070796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740.366973943278</x:v>
      </x:c>
      <x:c r="E37" s="10" t="str">
        <x:v>HP 320x12</x:v>
      </x:c>
      <x:c r="F37" s="10" t="n">
        <x:f>F48/D37</x:f>
        <x:v>1.1064104086094646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3.25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124.37142959070793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573.8296853407726</x:v>
      </x:c>
      <x:c r="E38" s="10" t="str">
        <x:v>HP 280x12</x:v>
      </x:c>
      <x:c r="F38" s="10" t="n">
        <x:f>F49/D38</x:f>
        <x:v>1.0277335229232305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3.25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91.69186709070794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429.8831656266769</x:v>
      </x:c>
      <x:c r="E39" s="10" t="str">
        <x:v>HP 260x10</x:v>
      </x:c>
      <x:c r="F39" s="10" t="n">
        <x:f>F50/D39</x:f>
        <x:v>1.0590687240137704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3.5999999999999996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57.252635840707946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335.4273520364525</x:v>
      </x:c>
      <x:c r="E40" s="10" t="str">
        <x:v>HP 240x10</x:v>
      </x:c>
      <x:c r="F40" s="10" t="n">
        <x:f>F51/D40</x:f>
        <x:v>1.1062945710000782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54.99999999999999</x:v>
      </x:c>
      <x:c r="C48" s="10" t="n">
        <x:f>B48*$B$13/10</x:f>
        <x:v>93.49999999999999</x:v>
      </x:c>
      <x:c r="D48" s="10" t="n">
        <x:f>'HP DIN1019'!F27*('HP DIN1019'!C58+$B$13/20)/('HP DIN1019'!F27+C48)</x:f>
        <x:v>7.687813134732568</x:v>
      </x:c>
      <x:c r="E48" s="10" t="n">
        <x:f>'HP DIN1019'!D58+B48*($B$13/10)^3/12+'HP DIN1019'!F27*('HP DIN1019'!C58+$B$13/20)^2-('HP DIN1019'!F27+C48)*D48^2</x:f>
        <x:v>20611.598480309192</x:v>
      </x:c>
      <x:c r="F48" s="10" t="n">
        <x:f>MIN(E48/('HP DIN1019'!B27/10+$B$13/20-D48),E48/(D48+$B$13/20))</x:f>
        <x:v>819.1497261615351</x:v>
      </x:c>
    </x:row>
    <x:row r="49" ht="40" customHeight="1">
      <x:c r="A49" s="10" t="str">
        <x:v>CL-F2</x:v>
      </x:c>
      <x:c r="B49" s="10" t="n">
        <x:f>MIN(B38/6,$B$7)*100</x:f>
        <x:v>54.166666666666664</x:v>
      </x:c>
      <x:c r="C49" s="10" t="n">
        <x:f>B49*$B$13/10</x:f>
        <x:v>92.08333333333333</x:v>
      </x:c>
      <x:c r="D49" s="10" t="n">
        <x:f>'HP DIN1019'!F23*('HP DIN1019'!C54+$B$13/20)/('HP DIN1019'!F23+C49)</x:f>
        <x:v>5.969291338582678</x:v>
      </x:c>
      <x:c r="E49" s="10" t="n">
        <x:f>'HP DIN1019'!D54+B49*($B$13/10)^3/12+'HP DIN1019'!F23*('HP DIN1019'!C54+$B$13/20)^2-('HP DIN1019'!F23+C49)*D49^2</x:f>
        <x:v>13493.760742016624</x:v>
      </x:c>
      <x:c r="F49" s="10" t="n">
        <x:f>MIN(E49/('HP DIN1019'!B23/10+$B$13/20-D49),E49/(D49+$B$13/20))</x:f>
        <x:v>589.744004073201</x:v>
      </x:c>
    </x:row>
    <x:row r="50" ht="40" customHeight="1">
      <x:c r="A50" s="10" t="str">
        <x:v>CL-F3</x:v>
      </x:c>
      <x:c r="B50" s="10" t="n">
        <x:f>MIN(B39/6,$B$7)*100</x:f>
        <x:v>54.166666666666664</x:v>
      </x:c>
      <x:c r="C50" s="10" t="n">
        <x:f>B50*$B$13/10</x:f>
        <x:v>92.08333333333333</x:v>
      </x:c>
      <x:c r="D50" s="10" t="n">
        <x:f>'HP DIN1019'!F19*('HP DIN1019'!C50+$B$13/20)/('HP DIN1019'!F19+C50)</x:f>
        <x:v>4.801755298400728</x:v>
      </x:c>
      <x:c r="E50" s="10" t="n">
        <x:f>'HP DIN1019'!D50+B50*($B$13/10)^3/12+'HP DIN1019'!F19*('HP DIN1019'!C50+$B$13/20)^2-('HP DIN1019'!F19+C50)*D50^2</x:f>
        <x:v>10038.032591168972</x:v>
      </x:c>
      <x:c r="F50" s="10" t="n">
        <x:f>MIN(E50/('HP DIN1019'!B19/10+$B$13/20-D50),E50/(D50+$B$13/20))</x:f>
        <x:v>455.275815695245</x:v>
      </x:c>
    </x:row>
    <x:row r="51" ht="40" customHeight="1">
      <x:c r="A51" s="10" t="str">
        <x:v>CL-F4</x:v>
      </x:c>
      <x:c r="B51" s="10" t="n">
        <x:f>MIN(B40/6,$B$7)*100</x:f>
        <x:v>60</x:v>
      </x:c>
      <x:c r="C51" s="10" t="n">
        <x:f>B51*$B$13/10</x:f>
        <x:v>102</x:v>
      </x:c>
      <x:c r="D51" s="10" t="n">
        <x:f>'HP DIN1019'!F16*('HP DIN1019'!C47+$B$13/20)/('HP DIN1019'!F16+C51)</x:f>
        <x:v>3.748660714285714</x:v>
      </x:c>
      <x:c r="E51" s="10" t="n">
        <x:f>'HP DIN1019'!D47+B51*($B$13/10)^3/12+'HP DIN1019'!F16*('HP DIN1019'!C47+$B$13/20)^2-('HP DIN1019'!F16+C51)*D51^2</x:f>
        <x:v>7830.31575892857</x:v>
      </x:c>
      <x:c r="F51" s="10" t="n">
        <x:f>MIN(E51/('HP DIN1019'!B16/10+$B$13/20-D51),E51/(D51+$B$13/20))</x:f>
        <x:v>371.0814585228594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