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e849551434c38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Расчёт" sheetId="1" ns1:id="R2c788acfb57a4d31"/>
    <sheet name="Сортамент HP" sheetId="2" ns1:id="Ra5985a3e93b04297"/>
  </sheets>
  <definedNames>
    <definedName name="_xlnm.Print_Area" localSheetId="0">'Расчёт'!$A$1:$L$705</definedName>
    <definedName name="_xlnm.Print_Titles" localSheetId="0">'Расчёт'!$1:$3</definedName>
    <definedName name="_xlnm.Print_Area" localSheetId="1">'Сортамент HP'!$A$1:$L$28</definedName>
    <definedName name="_xlnm.Print_Titles" localSheetId="1">'Сортамент HP'!$1:$2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"/>
    <x:numFmt numFmtId="201" formatCode="0.00"/>
    <x:numFmt numFmtId="202" formatCode="0"/>
    <x:numFmt numFmtId="203" formatCode="0.###"/>
    <x:numFmt numFmtId="204" formatCode="#,##0.000"/>
    <x:numFmt numFmtId="205" formatCode="0.000E+00"/>
    <x:numFmt numFmtId="206" formatCode="0.0"/>
    <x:numFmt numFmtId="207" formatCode="0.000000E+00"/>
    <x:numFmt numFmtId="208" formatCode="#,##0"/>
  </x:numFmts>
  <x:fonts count="5">
    <x:font>
      <x:sz val="11"/>
      <x:name val="Carlito"/>
    </x:font>
    <x:font>
      <x:sz val="12"/>
      <x:color rgb="FF000000"/>
      <x:name val="Arial"/>
    </x:font>
    <x:font>
      <x:b/>
      <x:sz val="12"/>
      <x:color rgb="FF000000"/>
      <x:name val="Arial"/>
    </x:font>
    <x:font>
      <x:b/>
      <x:sz val="14"/>
      <x:color rgb="FF000000"/>
      <x:name val="Arial"/>
    </x:font>
    <x:font>
      <x:sz val="12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A6A6A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6" fontId="1" fillId="0" borderId="0" xfId="0" applyNumberFormat="1" applyFont="1" applyFill="1" applyBorder="1" applyAlignment="1">
      <x:alignment horizontal="right" vertical="center" wrapText="1"/>
    </x:xf>
    <x:xf numFmtId="207" fontId="1" fillId="0" borderId="0" xfId="0" applyNumberFormat="1" applyFont="1" applyFill="1" applyBorder="1" applyAlignment="1">
      <x:alignment horizontal="right" vertical="center" wrapText="1"/>
    </x:xf>
    <x:xf numFmtId="208" fontId="1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4af617b714d4a" /><Relationship Type="http://schemas.openxmlformats.org/officeDocument/2006/relationships/theme" Target="/xl/theme/theme1.xml" Id="R284ca3cbefd04835" /><Relationship Type="http://schemas.openxmlformats.org/officeDocument/2006/relationships/sharedStrings" Target="/xl/sharedStrings.xml" Id="R83972050ac674546" /><Relationship Type="http://schemas.openxmlformats.org/officeDocument/2006/relationships/worksheet" Target="/xl/worksheets/sheet1.xml" Id="R2c788acfb57a4d31" /><Relationship Type="http://schemas.openxmlformats.org/officeDocument/2006/relationships/worksheet" Target="/xl/worksheets/sheet2.xml" Id="Ra5985a3e93b0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/>
    <pageSetUpPr fitToPage="1"/>
  </sheetPr>
  <sheetViews>
    <sheetView showGridLines="0" workbookViewId="0" zoomScale="100" showOutlineSymbols="1">
      <pane ySplit="3" topLeftCell="A4" activePane="bottomLeft" state="frozen"/>
    </sheetView>
  </sheetViews>
  <sheetFormatPr defaultRowHeight="15" outlineLevelRow="1"/>
  <cols>
    <col min="1" max="1" width="11.880000114440918" hidden="0" customWidth="1"/>
    <col min="2" max="2" width="11.880000114440918" hidden="0" customWidth="1"/>
    <col min="3" max="3" width="11.880000114440918" hidden="0" customWidth="1"/>
    <col min="4" max="4" width="11.880000114440918" hidden="0" customWidth="1"/>
    <col min="5" max="5" width="11.880000114440918" hidden="0" customWidth="1"/>
    <col min="6" max="6" width="11.880000114440918" hidden="0" customWidth="1"/>
    <col min="7" max="7" width="11.880000114440918" hidden="0" customWidth="1"/>
    <col min="8" max="8" width="11.880000114440918" hidden="0" customWidth="1"/>
    <col min="9" max="9" width="11.880000114440918" hidden="0" customWidth="1"/>
    <col min="10" max="10" width="11.880000114440918" hidden="0" customWidth="1"/>
    <col min="11" max="11" width="11.880000114440918" hidden="0" customWidth="1"/>
    <col min="12" max="12" width="11.880000114440918" hidden="0" customWidth="1"/>
  </cols>
  <sheetData>
    <row r="1" ht="27" customHeight="1">
      <c r="A1" s="7" t="str">
        <v>Женя — танкер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17" customHeight="1">
      <c r="A2" s="23" t="str">
        <v>1. Параметры</v>
      </c>
      <c r="B2" s="23"/>
      <c r="C2" s="23"/>
      <c r="D2" s="23" t="str">
        <v>2. Нагрузки</v>
      </c>
      <c r="E2" s="23"/>
      <c r="F2" s="23"/>
      <c r="G2" s="23" t="str">
        <v>3. Изгиб</v>
      </c>
      <c r="H2" s="23"/>
      <c r="I2" s="23"/>
      <c r="J2" s="23" t="str">
        <v>4. Листы</v>
      </c>
      <c r="K2" s="23"/>
      <c r="L2" s="23"/>
    </row>
    <row r="3" ht="17" customHeight="1">
      <c r="A3" s="23" t="str">
        <v>5. Днище</v>
      </c>
      <c r="B3" s="23"/>
      <c r="C3" s="23"/>
      <c r="D3" s="23" t="str">
        <v>6. Борт и палуба</v>
      </c>
      <c r="E3" s="23"/>
      <c r="F3" s="23"/>
      <c r="G3" s="23" t="str">
        <v>7. Общая прочность</v>
      </c>
      <c r="H3" s="23"/>
      <c r="I3" s="23"/>
      <c r="J3" s="23" t="str">
        <v>Результаты</v>
      </c>
      <c r="K3" s="23"/>
      <c r="L3" s="23"/>
    </row>
    <row r="4" ht="17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7" customHeight="1">
      <c r="A5" s="10" t="str">
        <v>L, м</v>
      </c>
      <c r="B5" s="10"/>
      <c r="C5" s="13" t="n">
        <f>'Расчёт'!$F$20</f>
        <v>150</v>
      </c>
      <c r="D5" s="11"/>
      <c r="E5" s="10" t="str">
        <v>B, м</v>
      </c>
      <c r="F5" s="10"/>
      <c r="G5" s="13" t="n">
        <f>'Расчёт'!$F$21</f>
        <v>27</v>
      </c>
      <c r="H5" s="11"/>
      <c r="I5" s="10" t="str">
        <v>D, м</v>
      </c>
      <c r="J5" s="10"/>
      <c r="K5" s="13" t="n">
        <f>'Расчёт'!$F$22</f>
        <v>15.5</v>
      </c>
      <c r="L5" s="11"/>
    </row>
    <row r="6" ht="17" customHeight="1">
      <c r="A6" s="10" t="str">
        <v>d, м</v>
      </c>
      <c r="B6" s="10"/>
      <c r="C6" s="13" t="n">
        <f>'Расчёт'!$F$23</f>
        <v>9.4</v>
      </c>
      <c r="D6" s="11"/>
      <c r="E6" s="10" t="str">
        <v>Cb</v>
      </c>
      <c r="F6" s="10"/>
      <c r="G6" s="13" t="n">
        <f>'Расчёт'!$F$24</f>
        <v>0.8</v>
      </c>
      <c r="H6" s="11"/>
      <c r="I6" s="10" t="str">
        <v>v, уз</v>
      </c>
      <c r="J6" s="10"/>
      <c r="K6" s="13" t="n">
        <f>'Расчёт'!$F$25</f>
        <v>15.5</v>
      </c>
      <c r="L6" s="11"/>
    </row>
    <row r="7" ht="1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8" customHeight="1">
      <c r="A8" s="7" t="str">
        <v>Характеристики полного сечения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ht="17" customHeight="1">
      <c r="A9" s="10" t="str">
        <v>Параметр</v>
      </c>
      <c r="B9" s="10"/>
      <c r="C9" s="10"/>
      <c r="D9" s="10"/>
      <c r="E9" s="10" t="str">
        <v>Фактическое</v>
      </c>
      <c r="F9" s="10"/>
      <c r="G9" s="10"/>
      <c r="H9" s="10" t="str">
        <v>Требуемое</v>
      </c>
      <c r="I9" s="10"/>
      <c r="J9" s="10"/>
      <c r="K9" s="10" t="str">
        <v>Факт./треб.</v>
      </c>
      <c r="L9" s="10"/>
    </row>
    <row r="10" ht="17" customHeight="1">
      <c r="A10" s="4" t="str">
        <v>Нейтральная ось над ОП, см</v>
      </c>
      <c r="B10" s="4"/>
      <c r="C10" s="4"/>
      <c r="D10" s="4"/>
      <c r="E10" s="12" t="n">
        <f>'Расчёт'!$F$694</f>
        <v>601.8531284443042</v>
      </c>
      <c r="F10" s="11"/>
      <c r="G10" s="11"/>
      <c r="H10" s="3"/>
      <c r="I10" s="3"/>
      <c r="J10" s="3"/>
      <c r="K10" s="3"/>
      <c r="L10" s="3"/>
    </row>
    <row r="11" ht="17" customHeight="1">
      <c r="A11" s="4" t="str">
        <v>Момент инерции I, см⁴</v>
      </c>
      <c r="B11" s="4"/>
      <c r="C11" s="4"/>
      <c r="D11" s="4"/>
      <c r="E11" s="21" t="n">
        <f>'Расчёт'!$F$695</f>
        <v>9683007885.692648</v>
      </c>
      <c r="F11" s="11"/>
      <c r="G11" s="11"/>
      <c r="H11" s="21" t="n">
        <f>'Расчёт'!$G$703</f>
        <v>1218279653.0874932</v>
      </c>
      <c r="I11" s="11"/>
      <c r="J11" s="11"/>
      <c r="K11" s="12" t="n">
        <f>'Расчёт'!$I$703</f>
        <v>7.9480994869716035</v>
      </c>
      <c r="L11" s="11"/>
    </row>
    <row r="12" ht="17" customHeight="1">
      <c r="A12" s="4" t="str">
        <v>Момент сопротивления днища WB, см³</v>
      </c>
      <c r="B12" s="4"/>
      <c r="C12" s="4"/>
      <c r="D12" s="4"/>
      <c r="E12" s="21" t="n">
        <f>'Расчёт'!$F$697</f>
        <v>16088655.899690516</v>
      </c>
      <c r="F12" s="11"/>
      <c r="G12" s="11"/>
      <c r="H12" s="21" t="n">
        <f>'Расчёт'!$G$701</f>
        <v>8121864.353916622</v>
      </c>
      <c r="I12" s="11"/>
      <c r="J12" s="11"/>
      <c r="K12" s="12" t="n">
        <f>'Расчёт'!$I$701</f>
        <v>1.9809067473445372</v>
      </c>
      <c r="L12" s="11"/>
    </row>
    <row r="13" ht="17" customHeight="1">
      <c r="A13" s="4" t="str">
        <v>Момент сопротивления палубы WD, см³</v>
      </c>
      <c r="B13" s="4"/>
      <c r="C13" s="4"/>
      <c r="D13" s="4"/>
      <c r="E13" s="21" t="n">
        <f>'Расчёт'!$F$698</f>
        <v>9662264.245420538</v>
      </c>
      <c r="F13" s="11"/>
      <c r="G13" s="11"/>
      <c r="H13" s="21" t="n">
        <f>'Расчёт'!$G$702</f>
        <v>8121864.353916622</v>
      </c>
      <c r="I13" s="11"/>
      <c r="J13" s="11"/>
      <c r="K13" s="12" t="n">
        <f>'Расчёт'!$I$702</f>
        <v>1.1896608739545234</v>
      </c>
      <c r="L13" s="11"/>
    </row>
    <row r="14" ht="17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7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7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7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25" customHeight="1">
      <c r="A18" s="7" t="str">
        <v>1. Исходные данные, геометрия и материал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28" customHeight="1">
      <c r="A19" s="10" t="str">
        <v>Параметр</v>
      </c>
      <c r="B19" s="10"/>
      <c r="C19" s="10"/>
      <c r="D19" s="10"/>
      <c r="E19" s="10"/>
      <c r="F19" s="10" t="str">
        <v>Значение</v>
      </c>
      <c r="G19" s="10"/>
      <c r="H19" s="10"/>
      <c r="I19" s="10" t="str">
        <v>Ед.</v>
      </c>
      <c r="J19" s="10"/>
      <c r="K19" s="3"/>
      <c r="L19" s="3"/>
    </row>
    <row r="20" ht="17" customHeight="1">
      <c r="A20" s="4" t="str">
        <v>L</v>
      </c>
      <c r="B20" s="4"/>
      <c r="C20" s="4"/>
      <c r="D20" s="4"/>
      <c r="E20" s="4"/>
      <c r="F20" s="12" t="n">
        <v>150</v>
      </c>
      <c r="G20" s="11"/>
      <c r="H20" s="11"/>
      <c r="I20" s="4" t="str">
        <v>м</v>
      </c>
      <c r="J20" s="4"/>
      <c r="K20" s="3"/>
      <c r="L20" s="3"/>
    </row>
    <row r="21" ht="17" customHeight="1">
      <c r="A21" s="4" t="str">
        <v>B</v>
      </c>
      <c r="B21" s="4"/>
      <c r="C21" s="4"/>
      <c r="D21" s="4"/>
      <c r="E21" s="4"/>
      <c r="F21" s="12" t="n">
        <v>27</v>
      </c>
      <c r="G21" s="11"/>
      <c r="H21" s="11"/>
      <c r="I21" s="4" t="str">
        <v>м</v>
      </c>
      <c r="J21" s="4"/>
      <c r="K21" s="3"/>
      <c r="L21" s="3"/>
    </row>
    <row r="22" ht="17" customHeight="1">
      <c r="A22" s="4" t="str">
        <v>D</v>
      </c>
      <c r="B22" s="4"/>
      <c r="C22" s="4"/>
      <c r="D22" s="4"/>
      <c r="E22" s="4"/>
      <c r="F22" s="12" t="n">
        <v>15.5</v>
      </c>
      <c r="G22" s="11"/>
      <c r="H22" s="11"/>
      <c r="I22" s="4" t="str">
        <v>м</v>
      </c>
      <c r="J22" s="4"/>
      <c r="K22" s="3"/>
      <c r="L22" s="3"/>
    </row>
    <row r="23" ht="17" customHeight="1">
      <c r="A23" s="4" t="str">
        <v>d</v>
      </c>
      <c r="B23" s="4"/>
      <c r="C23" s="4"/>
      <c r="D23" s="4"/>
      <c r="E23" s="4"/>
      <c r="F23" s="12" t="n">
        <v>9.4</v>
      </c>
      <c r="G23" s="11"/>
      <c r="H23" s="11"/>
      <c r="I23" s="4" t="str">
        <v>м</v>
      </c>
      <c r="J23" s="4"/>
      <c r="K23" s="3"/>
      <c r="L23" s="3"/>
    </row>
    <row r="24" ht="17" customHeight="1">
      <c r="A24" s="4" t="str">
        <v>Cb</v>
      </c>
      <c r="B24" s="4"/>
      <c r="C24" s="4"/>
      <c r="D24" s="4"/>
      <c r="E24" s="4"/>
      <c r="F24" s="13" t="n">
        <v>0.8</v>
      </c>
      <c r="G24" s="11"/>
      <c r="H24" s="11"/>
      <c r="I24" s="4" t="str">
        <v>—</v>
      </c>
      <c r="J24" s="4"/>
      <c r="K24" s="3"/>
      <c r="L24" s="3"/>
    </row>
    <row r="25" ht="17" customHeight="1">
      <c r="A25" s="4" t="str">
        <v>v</v>
      </c>
      <c r="B25" s="4"/>
      <c r="C25" s="4"/>
      <c r="D25" s="4"/>
      <c r="E25" s="4"/>
      <c r="F25" s="12" t="n">
        <v>15.5</v>
      </c>
      <c r="G25" s="11"/>
      <c r="H25" s="11"/>
      <c r="I25" s="4" t="str">
        <v>уз</v>
      </c>
      <c r="J25" s="4"/>
      <c r="K25" s="3"/>
      <c r="L25" s="3"/>
    </row>
    <row r="26" ht="17" customHeight="1">
      <c r="A26" s="4" t="str">
        <v>hдд</v>
      </c>
      <c r="B26" s="4"/>
      <c r="C26" s="4"/>
      <c r="D26" s="4"/>
      <c r="E26" s="4"/>
      <c r="F26" s="12" t="n">
        <v>1.8</v>
      </c>
      <c r="G26" s="11"/>
      <c r="H26" s="11"/>
      <c r="I26" s="4" t="str">
        <v>м</v>
      </c>
      <c r="J26" s="4"/>
      <c r="K26" s="3"/>
      <c r="L26" s="3"/>
    </row>
    <row r="27" ht="17" customHeight="1">
      <c r="A27" s="4" t="str">
        <v>bдв.борта</v>
      </c>
      <c r="B27" s="4"/>
      <c r="C27" s="4"/>
      <c r="D27" s="4"/>
      <c r="E27" s="4"/>
      <c r="F27" s="12" t="n">
        <v>2</v>
      </c>
      <c r="G27" s="11"/>
      <c r="H27" s="11"/>
      <c r="I27" s="4" t="str">
        <v>м</v>
      </c>
      <c r="J27" s="4"/>
      <c r="K27" s="3"/>
      <c r="L27" s="3"/>
    </row>
    <row r="28" ht="17" customHeight="1">
      <c r="A28" s="4" t="str">
        <v>R скулы</v>
      </c>
      <c r="B28" s="4"/>
      <c r="C28" s="4"/>
      <c r="D28" s="4"/>
      <c r="E28" s="4"/>
      <c r="F28" s="12" t="n">
        <v>1.55</v>
      </c>
      <c r="G28" s="11"/>
      <c r="H28" s="11"/>
      <c r="I28" s="4" t="str">
        <v>м</v>
      </c>
      <c r="J28" s="4"/>
      <c r="K28" s="3"/>
      <c r="L28" s="3"/>
    </row>
    <row r="29" ht="17" customHeight="1">
      <c r="A29" s="4" t="str">
        <v>Погибь</v>
      </c>
      <c r="B29" s="4"/>
      <c r="C29" s="4"/>
      <c r="D29" s="4"/>
      <c r="E29" s="4"/>
      <c r="F29" s="12" t="n">
        <f>0.02*'Расчёт'!$F$21</f>
        <v>0.54</v>
      </c>
      <c r="G29" s="11"/>
      <c r="H29" s="11"/>
      <c r="I29" s="4" t="str">
        <v>м</v>
      </c>
      <c r="J29" s="4"/>
      <c r="K29" s="3"/>
      <c r="L29" s="3"/>
    </row>
    <row r="30" ht="17" customHeight="1">
      <c r="A30" s="4" t="str">
        <v>Шпация</v>
      </c>
      <c r="B30" s="4"/>
      <c r="C30" s="4"/>
      <c r="D30" s="4"/>
      <c r="E30" s="4"/>
      <c r="F30" s="12" t="n">
        <v>0.75</v>
      </c>
      <c r="G30" s="11"/>
      <c r="H30" s="11"/>
      <c r="I30" s="4" t="str">
        <v>м</v>
      </c>
      <c r="J30" s="4"/>
      <c r="K30" s="3"/>
      <c r="L30" s="3"/>
    </row>
    <row r="31" ht="17" customHeight="1">
      <c r="A31" s="4" t="str">
        <v>Шпаций между флорами</v>
      </c>
      <c r="B31" s="4"/>
      <c r="C31" s="4"/>
      <c r="D31" s="4"/>
      <c r="E31" s="4"/>
      <c r="F31" s="12" t="n">
        <v>3</v>
      </c>
      <c r="G31" s="11"/>
      <c r="H31" s="11"/>
      <c r="I31" s="4" t="str">
        <v>—</v>
      </c>
      <c r="J31" s="4"/>
      <c r="K31" s="3"/>
      <c r="L31" s="3"/>
    </row>
    <row r="32" ht="17" customHeight="1">
      <c r="A32" s="4" t="str">
        <v>Пролёт продольной балки</v>
      </c>
      <c r="B32" s="4"/>
      <c r="C32" s="4"/>
      <c r="D32" s="4"/>
      <c r="E32" s="4"/>
      <c r="F32" s="12" t="n">
        <f>'Расчёт'!$F$30*'Расчёт'!$F$31</f>
        <v>2.25</v>
      </c>
      <c r="G32" s="11"/>
      <c r="H32" s="11"/>
      <c r="I32" s="4" t="str">
        <v>м</v>
      </c>
      <c r="J32" s="4"/>
      <c r="K32" s="3"/>
      <c r="L32" s="3"/>
    </row>
    <row r="33" ht="17" customHeight="1">
      <c r="A33" s="4" t="str">
        <v>Число интервалов в полуширине танка</v>
      </c>
      <c r="B33" s="4"/>
      <c r="C33" s="4"/>
      <c r="D33" s="4"/>
      <c r="E33" s="4"/>
      <c r="F33" s="12" t="n">
        <v>15</v>
      </c>
      <c r="G33" s="11"/>
      <c r="H33" s="11"/>
      <c r="I33" s="4" t="str">
        <v>—</v>
      </c>
      <c r="J33" s="4"/>
      <c r="K33" s="3"/>
      <c r="L33" s="3"/>
    </row>
    <row r="34" ht="17" customHeight="1">
      <c r="A34" s="4" t="str">
        <v>Максимальный шаг a</v>
      </c>
      <c r="B34" s="4"/>
      <c r="C34" s="4"/>
      <c r="D34" s="4"/>
      <c r="E34" s="4"/>
      <c r="F34" s="12" t="n">
        <v>0.8</v>
      </c>
      <c r="G34" s="11"/>
      <c r="H34" s="11"/>
      <c r="I34" s="4" t="str">
        <v>м</v>
      </c>
      <c r="J34" s="4"/>
      <c r="K34" s="3"/>
      <c r="L34" s="3"/>
    </row>
    <row r="35" ht="17" customHeight="1">
      <c r="A35" s="4" t="str">
        <v>Платформа 1</v>
      </c>
      <c r="B35" s="4"/>
      <c r="C35" s="4"/>
      <c r="D35" s="4"/>
      <c r="E35" s="4"/>
      <c r="F35" s="12" t="n">
        <v>5.2</v>
      </c>
      <c r="G35" s="11"/>
      <c r="H35" s="11"/>
      <c r="I35" s="4" t="str">
        <v>м</v>
      </c>
      <c r="J35" s="4"/>
      <c r="K35" s="3"/>
      <c r="L35" s="3"/>
    </row>
    <row r="36" ht="17" customHeight="1">
      <c r="A36" s="4" t="str">
        <v>Платформа 2</v>
      </c>
      <c r="B36" s="4"/>
      <c r="C36" s="4"/>
      <c r="D36" s="4"/>
      <c r="E36" s="4"/>
      <c r="F36" s="12" t="n">
        <v>8.6</v>
      </c>
      <c r="G36" s="11"/>
      <c r="H36" s="11"/>
      <c r="I36" s="4" t="str">
        <v>м</v>
      </c>
      <c r="J36" s="4"/>
      <c r="K36" s="3"/>
      <c r="L36" s="3"/>
    </row>
    <row r="37" ht="17" customHeight="1">
      <c r="A37" s="4" t="str">
        <v>Платформа 3</v>
      </c>
      <c r="B37" s="4"/>
      <c r="C37" s="4"/>
      <c r="D37" s="4"/>
      <c r="E37" s="4"/>
      <c r="F37" s="12" t="n">
        <v>12</v>
      </c>
      <c r="G37" s="11"/>
      <c r="H37" s="11"/>
      <c r="I37" s="4" t="str">
        <v>м</v>
      </c>
      <c r="J37" s="4"/>
      <c r="K37" s="3"/>
      <c r="L37" s="3"/>
    </row>
    <row r="38" ht="17" customHeight="1">
      <c r="A38" s="4" t="str">
        <v>Длина танка</v>
      </c>
      <c r="B38" s="4"/>
      <c r="C38" s="4"/>
      <c r="D38" s="4"/>
      <c r="E38" s="4"/>
      <c r="F38" s="12" t="n">
        <v>18</v>
      </c>
      <c r="G38" s="11"/>
      <c r="H38" s="11"/>
      <c r="I38" s="4" t="str">
        <v>м</v>
      </c>
      <c r="J38" s="4"/>
      <c r="K38" s="3"/>
      <c r="L38" s="3"/>
    </row>
    <row r="39" ht="17" customHeight="1">
      <c r="A39" s="4" t="str">
        <v>Расчётная ширина цистерны</v>
      </c>
      <c r="B39" s="4"/>
      <c r="C39" s="4"/>
      <c r="D39" s="4"/>
      <c r="E39" s="4"/>
      <c r="F39" s="12" t="n">
        <f>'Расчёт'!$F$93</f>
        <v>13.5</v>
      </c>
      <c r="G39" s="11"/>
      <c r="H39" s="11"/>
      <c r="I39" s="4" t="str">
        <v>м</v>
      </c>
      <c r="J39" s="4"/>
      <c r="K39" s="3"/>
      <c r="L39" s="3"/>
    </row>
    <row r="40" ht="17" customHeight="1">
      <c r="A40" s="4" t="str">
        <v>ρ</v>
      </c>
      <c r="B40" s="4"/>
      <c r="C40" s="4"/>
      <c r="D40" s="4"/>
      <c r="E40" s="4"/>
      <c r="F40" s="12" t="n">
        <v>1.025</v>
      </c>
      <c r="G40" s="11"/>
      <c r="H40" s="11"/>
      <c r="I40" s="4" t="str">
        <v>т/м3</v>
      </c>
      <c r="J40" s="4"/>
      <c r="K40" s="3"/>
      <c r="L40" s="3"/>
    </row>
    <row r="41" ht="17" customHeight="1">
      <c r="A41" s="4" t="str">
        <v>Δz воздушной трубы</v>
      </c>
      <c r="B41" s="4"/>
      <c r="C41" s="4"/>
      <c r="D41" s="4"/>
      <c r="E41" s="4"/>
      <c r="F41" s="12" t="n">
        <v>2.5</v>
      </c>
      <c r="G41" s="11"/>
      <c r="H41" s="11"/>
      <c r="I41" s="4" t="str">
        <v>м</v>
      </c>
      <c r="J41" s="4"/>
      <c r="K41" s="3"/>
      <c r="L41" s="3"/>
    </row>
    <row r="42" ht="17" customHeight="1">
      <c r="A42" s="4" t="str">
        <v>p клапана</v>
      </c>
      <c r="B42" s="4"/>
      <c r="C42" s="4"/>
      <c r="D42" s="4"/>
      <c r="E42" s="4"/>
      <c r="F42" s="12" t="n">
        <v>25</v>
      </c>
      <c r="G42" s="11"/>
      <c r="H42" s="11"/>
      <c r="I42" s="4" t="str">
        <v>кПа</v>
      </c>
      <c r="J42" s="4"/>
      <c r="K42" s="3"/>
      <c r="L42" s="3"/>
    </row>
    <row r="43" ht="17" customHeight="1">
      <c r="A43" s="4" t="str">
        <v>Срок службы</v>
      </c>
      <c r="B43" s="4"/>
      <c r="C43" s="4"/>
      <c r="D43" s="4"/>
      <c r="E43" s="4"/>
      <c r="F43" s="12" t="n">
        <v>25</v>
      </c>
      <c r="G43" s="11"/>
      <c r="H43" s="11"/>
      <c r="I43" s="4" t="str">
        <v>лет</v>
      </c>
      <c r="J43" s="4"/>
      <c r="K43" s="3"/>
      <c r="L43" s="3"/>
    </row>
    <row r="44" ht="17" customHeight="1">
      <c r="A44" s="4" t="str">
        <v>Начало учёта коррозии</v>
      </c>
      <c r="B44" s="4"/>
      <c r="C44" s="4"/>
      <c r="D44" s="4"/>
      <c r="E44" s="4"/>
      <c r="F44" s="12" t="n">
        <v>12</v>
      </c>
      <c r="G44" s="11"/>
      <c r="H44" s="11"/>
      <c r="I44" s="4" t="str">
        <v>лет</v>
      </c>
      <c r="J44" s="4"/>
      <c r="K44" s="3"/>
      <c r="L44" s="3"/>
    </row>
    <row r="45" ht="17" customHeight="1">
      <c r="A45" s="4" t="str">
        <v>ReH</v>
      </c>
      <c r="B45" s="4"/>
      <c r="C45" s="4"/>
      <c r="D45" s="4"/>
      <c r="E45" s="4"/>
      <c r="F45" s="12" t="n">
        <v>235</v>
      </c>
      <c r="G45" s="11"/>
      <c r="H45" s="11"/>
      <c r="I45" s="4" t="str">
        <v>МПа</v>
      </c>
      <c r="J45" s="4"/>
      <c r="K45" s="3"/>
      <c r="L45" s="3"/>
    </row>
    <row r="46" ht="17" customHeight="1">
      <c r="A46" s="4" t="str">
        <v>η</v>
      </c>
      <c r="B46" s="4"/>
      <c r="C46" s="4"/>
      <c r="D46" s="4"/>
      <c r="E46" s="4"/>
      <c r="F46" s="12" t="n">
        <v>1</v>
      </c>
      <c r="G46" s="11"/>
      <c r="H46" s="11"/>
      <c r="I46" s="4" t="str">
        <v>—</v>
      </c>
      <c r="J46" s="4"/>
      <c r="K46" s="3"/>
      <c r="L46" s="3"/>
    </row>
    <row r="47" ht="17" customHeight="1">
      <c r="A47" s="4" t="str">
        <v>σn</v>
      </c>
      <c r="B47" s="4"/>
      <c r="C47" s="4"/>
      <c r="D47" s="4"/>
      <c r="E47" s="4"/>
      <c r="F47" s="12" t="n">
        <f>235/'Расчёт'!$F$46</f>
        <v>235</v>
      </c>
      <c r="G47" s="11"/>
      <c r="H47" s="11"/>
      <c r="I47" s="4" t="str">
        <v>МПа</v>
      </c>
      <c r="J47" s="4"/>
      <c r="K47" s="3"/>
      <c r="L47" s="3"/>
    </row>
    <row r="48" ht="17" customHeight="1">
      <c r="A48" s="4" t="str">
        <v>ax</v>
      </c>
      <c r="B48" s="4"/>
      <c r="C48" s="4"/>
      <c r="D48" s="4"/>
      <c r="E48" s="4"/>
      <c r="F48" s="12" t="n">
        <v>0.267</v>
      </c>
      <c r="G48" s="11"/>
      <c r="H48" s="11"/>
      <c r="I48" s="4" t="str">
        <v>—</v>
      </c>
      <c r="J48" s="4"/>
      <c r="K48" s="3"/>
      <c r="L48" s="3"/>
    </row>
    <row r="49" ht="17" customHeight="1">
      <c r="A49" s="4" t="str">
        <v>avax</v>
      </c>
      <c r="B49" s="4"/>
      <c r="C49" s="4"/>
      <c r="D49" s="4"/>
      <c r="E49" s="4"/>
      <c r="F49" s="12" t="n">
        <v>0.6</v>
      </c>
      <c r="G49" s="11"/>
      <c r="H49" s="11"/>
      <c r="I49" s="4" t="str">
        <v>—</v>
      </c>
      <c r="J49" s="4"/>
      <c r="K49" s="3"/>
      <c r="L49" s="3"/>
    </row>
    <row r="50" ht="17" customHeight="1">
      <c r="A50" s="4" t="str">
        <v>g</v>
      </c>
      <c r="B50" s="4"/>
      <c r="C50" s="4"/>
      <c r="D50" s="4"/>
      <c r="E50" s="4"/>
      <c r="F50" s="12" t="n">
        <v>9.81</v>
      </c>
      <c r="G50" s="11"/>
      <c r="H50" s="11"/>
      <c r="I50" s="4" t="str">
        <v>м/с2</v>
      </c>
      <c r="J50" s="4"/>
      <c r="K50" s="3"/>
      <c r="L50" s="3"/>
    </row>
    <row r="51" ht="17" customHeight="1">
      <c r="A51" s="4" t="str">
        <v>Cm для оценки R</v>
      </c>
      <c r="B51" s="4"/>
      <c r="C51" s="4"/>
      <c r="D51" s="4"/>
      <c r="E51" s="4"/>
      <c r="F51" s="12" t="n">
        <v>0.996</v>
      </c>
      <c r="G51" s="11"/>
      <c r="H51" s="11"/>
      <c r="I51" s="4" t="str">
        <v>—</v>
      </c>
      <c r="J51" s="4"/>
      <c r="K51" s="3"/>
      <c r="L51" s="3"/>
    </row>
    <row r="52" ht="17" customHeight="1">
      <c r="A52" s="4" t="str">
        <v>R расчётный</v>
      </c>
      <c r="B52" s="4"/>
      <c r="C52" s="4"/>
      <c r="D52" s="4"/>
      <c r="E52" s="4"/>
      <c r="F52" s="12" t="n">
        <f>1.527*('Расчёт'!$F$21*'Расчёт'!$F$23*(1-'Расчёт'!$F$51))^0.5</f>
        <v>1.53856143224767</v>
      </c>
      <c r="G52" s="11"/>
      <c r="H52" s="11"/>
      <c r="I52" s="4" t="str">
        <v>м</v>
      </c>
      <c r="J52" s="4"/>
      <c r="K52" s="3"/>
      <c r="L52" s="3"/>
    </row>
    <row r="53" ht="17" customHeight="1">
      <c r="A53" s="4" t="str">
        <v>hдд по Правилам</v>
      </c>
      <c r="B53" s="4"/>
      <c r="C53" s="4"/>
      <c r="D53" s="4"/>
      <c r="E53" s="4"/>
      <c r="F53" s="12" t="n">
        <f>('Расчёт'!$F$20-40)/570+0.04*'Расчёт'!$F$21+3.5*'Расчёт'!$F$23/'Расчёт'!$F$20</f>
        <v>1.4923157894736843</v>
      </c>
      <c r="G53" s="11"/>
      <c r="H53" s="11"/>
      <c r="I53" s="4" t="str">
        <v>м</v>
      </c>
      <c r="J53" s="4"/>
      <c r="K53" s="3"/>
      <c r="L53" s="3"/>
    </row>
    <row r="54" ht="17" customHeight="1">
      <c r="A54" s="4" t="str">
        <v>hдд минимальная</v>
      </c>
      <c r="B54" s="4"/>
      <c r="C54" s="4"/>
      <c r="D54" s="4"/>
      <c r="E54" s="4"/>
      <c r="F54" s="12" t="n">
        <f>MAX('Расчёт'!$F$21/15,'Расчёт'!$F$53,1)</f>
        <v>1.8</v>
      </c>
      <c r="G54" s="11"/>
      <c r="H54" s="11"/>
      <c r="I54" s="4" t="str">
        <v>м</v>
      </c>
      <c r="J54" s="4"/>
      <c r="K54" s="3"/>
      <c r="L54" s="3"/>
    </row>
    <row r="55" ht="17" customHeight="1">
      <c r="A55" s="4" t="str">
        <v>Водоизмещение</v>
      </c>
      <c r="B55" s="4"/>
      <c r="C55" s="4"/>
      <c r="D55" s="4"/>
      <c r="E55" s="4"/>
      <c r="F55" s="12" t="n">
        <f>1.025*'Расчёт'!$F$20*'Расчёт'!$F$21*'Расчёт'!$F$23*'Расчёт'!$F$24</f>
        <v>31217.4</v>
      </c>
      <c r="G55" s="11"/>
      <c r="H55" s="11"/>
      <c r="I55" s="4" t="str">
        <v>т</v>
      </c>
      <c r="J55" s="4"/>
      <c r="K55" s="3"/>
      <c r="L55" s="3"/>
    </row>
    <row r="56" ht="17" customHeight="1">
      <c r="A56" s="4" t="str">
        <v>Коэффициент массы</v>
      </c>
      <c r="B56" s="4"/>
      <c r="C56" s="4"/>
      <c r="D56" s="4"/>
      <c r="E56" s="4"/>
      <c r="F56" s="12" t="n">
        <f>6.05*'Расчёт'!$F$20^-0.66</f>
        <v>0.22158233963764434</v>
      </c>
      <c r="G56" s="11"/>
      <c r="H56" s="11"/>
      <c r="I56" s="4" t="str">
        <v>—</v>
      </c>
      <c r="J56" s="4"/>
      <c r="K56" s="3"/>
      <c r="L56" s="3"/>
    </row>
    <row r="57" ht="17" customHeight="1">
      <c r="A57" s="4" t="str">
        <v>Дедвейт</v>
      </c>
      <c r="B57" s="4"/>
      <c r="C57" s="4"/>
      <c r="D57" s="4"/>
      <c r="E57" s="4"/>
      <c r="F57" s="12" t="n">
        <f>'Расчёт'!$F$55*(1-'Расчёт'!$F$56)</f>
        <v>24300.1754705958</v>
      </c>
      <c r="G57" s="11"/>
      <c r="H57" s="11"/>
      <c r="I57" s="4" t="str">
        <v>т</v>
      </c>
      <c r="J57" s="4"/>
      <c r="K57" s="3"/>
      <c r="L57" s="3"/>
    </row>
    <row r="58" ht="17" customHeight="1">
      <c r="A58" s="4" t="str">
        <v>bдв.борта минимальная</v>
      </c>
      <c r="B58" s="4"/>
      <c r="C58" s="4"/>
      <c r="D58" s="4"/>
      <c r="E58" s="4"/>
      <c r="F58" s="12" t="n">
        <f>MAX(1,0.5+'Расчёт'!$F$57/20000)</f>
        <v>1.71500877352979</v>
      </c>
      <c r="G58" s="11"/>
      <c r="H58" s="11"/>
      <c r="I58" s="4" t="str">
        <v>м</v>
      </c>
      <c r="J58" s="4"/>
      <c r="K58" s="3"/>
      <c r="L58" s="3"/>
    </row>
    <row r="59" ht="17" customHeight="1">
      <c r="A59" s="4" t="str">
        <v>Проверка hдд</v>
      </c>
      <c r="B59" s="4"/>
      <c r="C59" s="4"/>
      <c r="D59" s="4"/>
      <c r="E59" s="4"/>
      <c r="F59" s="14" t="str">
        <f>IF('Расчёт'!$F$26&gt;='Расчёт'!$F$54,"Выполнено","Недостаточно")</f>
        <v>Выполнено</v>
      </c>
      <c r="G59" s="4"/>
      <c r="H59" s="4"/>
      <c r="I59" s="4"/>
      <c r="J59" s="4"/>
      <c r="K59" s="3"/>
      <c r="L59" s="3"/>
    </row>
    <row r="60" ht="17" customHeight="1">
      <c r="A60" s="4" t="str">
        <v>Проверка двойного борта</v>
      </c>
      <c r="B60" s="4"/>
      <c r="C60" s="4"/>
      <c r="D60" s="4"/>
      <c r="E60" s="4"/>
      <c r="F60" s="14" t="str">
        <f>IF('Расчёт'!$F$27&gt;='Расчёт'!$F$58,"Выполнено","Недостаточно")</f>
        <v>Выполнено</v>
      </c>
      <c r="G60" s="4"/>
      <c r="H60" s="4"/>
      <c r="I60" s="4"/>
      <c r="J60" s="4"/>
      <c r="K60" s="3"/>
      <c r="L60" s="3"/>
    </row>
    <row r="61" ht="17" customHeight="1">
      <c r="A61" s="4" t="str">
        <v>Ширина киля / ширстрека</v>
      </c>
      <c r="B61" s="4"/>
      <c r="C61" s="4"/>
      <c r="D61" s="4"/>
      <c r="E61" s="4"/>
      <c r="F61" s="12" t="n">
        <f>(800+5*'Расчёт'!$F$20)/1000</f>
        <v>1.55</v>
      </c>
      <c r="G61" s="11"/>
      <c r="H61" s="11"/>
      <c r="I61" s="4" t="str">
        <v>м</v>
      </c>
      <c r="J61" s="4"/>
      <c r="K61" s="3"/>
      <c r="L61" s="3"/>
    </row>
    <row r="62" ht="17" customHeight="1">
      <c r="A62" s="4" t="str">
        <v>Верх цистерны для нагрузки</v>
      </c>
      <c r="B62" s="4"/>
      <c r="C62" s="4"/>
      <c r="D62" s="4"/>
      <c r="E62" s="4"/>
      <c r="F62" s="12" t="n">
        <f>'Расчёт'!$F$22+'Расчёт'!$F$29</f>
        <v>16.04</v>
      </c>
      <c r="G62" s="11"/>
      <c r="H62" s="11"/>
      <c r="I62" s="4" t="str">
        <v>м</v>
      </c>
      <c r="J62" s="4"/>
      <c r="K62" s="3"/>
      <c r="L62" s="3"/>
    </row>
    <row r="63" ht="17" customHeight="1">
      <c r="A63" s="4" t="str">
        <v>k1 флора</v>
      </c>
      <c r="B63" s="4"/>
      <c r="C63" s="4"/>
      <c r="D63" s="4"/>
      <c r="E63" s="4"/>
      <c r="F63" s="12" t="n">
        <v>1.45</v>
      </c>
      <c r="G63" s="11"/>
      <c r="H63" s="11"/>
      <c r="I63" s="4" t="str">
        <v>—</v>
      </c>
      <c r="J63" s="4"/>
      <c r="K63" s="3"/>
      <c r="L63" s="3"/>
    </row>
    <row r="64" ht="17" customHeight="1">
      <c r="A64" s="4" t="str">
        <v>k2 флора</v>
      </c>
      <c r="B64" s="4"/>
      <c r="C64" s="4"/>
      <c r="D64" s="4"/>
      <c r="E64" s="4"/>
      <c r="F64" s="12" t="n">
        <v>0.93</v>
      </c>
      <c r="G64" s="11"/>
      <c r="H64" s="11"/>
      <c r="I64" s="4" t="str">
        <v>—</v>
      </c>
      <c r="J64" s="4"/>
      <c r="K64" s="3"/>
      <c r="L64" s="3"/>
    </row>
    <row r="65" ht="25" customHeight="1">
      <c r="A65" s="7" t="str">
        <v>Расстановка продольных балок в полуширине грузового танка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28" customHeight="1">
      <c r="A66" s="10" t="str">
        <v>Интервал</v>
      </c>
      <c r="B66" s="10"/>
      <c r="C66" s="10"/>
      <c r="D66" s="10" t="str">
        <v>a, мм</v>
      </c>
      <c r="E66" s="10"/>
      <c r="F66" s="10"/>
      <c r="G66" s="10" t="str">
        <v>Начало, мм</v>
      </c>
      <c r="H66" s="10"/>
      <c r="I66" s="10"/>
      <c r="J66" s="10" t="str">
        <v>Конец, мм</v>
      </c>
      <c r="K66" s="10"/>
      <c r="L66" s="10"/>
    </row>
    <row r="67" ht="17" customHeight="1">
      <c r="A67" s="15" t="n">
        <v>1</v>
      </c>
      <c r="B67" s="11"/>
      <c r="C67" s="11"/>
      <c r="D67" s="15" t="n">
        <v>800</v>
      </c>
      <c r="E67" s="11"/>
      <c r="F67" s="11"/>
      <c r="G67" s="15" t="n">
        <v>0</v>
      </c>
      <c r="H67" s="11"/>
      <c r="I67" s="11"/>
      <c r="J67" s="15" t="n">
        <f>'Расчёт'!$G$67+'Расчёт'!$D$67</f>
        <v>800</v>
      </c>
      <c r="K67" s="11"/>
      <c r="L67" s="11"/>
    </row>
    <row r="68" ht="17" customHeight="1">
      <c r="A68" s="15" t="n">
        <v>2</v>
      </c>
      <c r="B68" s="11"/>
      <c r="C68" s="11"/>
      <c r="D68" s="15" t="n">
        <v>800</v>
      </c>
      <c r="E68" s="11"/>
      <c r="F68" s="11"/>
      <c r="G68" s="15" t="n">
        <f>'Расчёт'!$J$67</f>
        <v>800</v>
      </c>
      <c r="H68" s="11"/>
      <c r="I68" s="11"/>
      <c r="J68" s="15" t="n">
        <f>'Расчёт'!$G$68+'Расчёт'!$D$68</f>
        <v>1600</v>
      </c>
      <c r="K68" s="11"/>
      <c r="L68" s="11"/>
    </row>
    <row r="69" ht="17" customHeight="1">
      <c r="A69" s="15" t="n">
        <v>3</v>
      </c>
      <c r="B69" s="11"/>
      <c r="C69" s="11"/>
      <c r="D69" s="15" t="n">
        <v>750</v>
      </c>
      <c r="E69" s="11"/>
      <c r="F69" s="11"/>
      <c r="G69" s="15" t="n">
        <f>'Расчёт'!$J$68</f>
        <v>1600</v>
      </c>
      <c r="H69" s="11"/>
      <c r="I69" s="11"/>
      <c r="J69" s="15" t="n">
        <f>'Расчёт'!$G$69+'Расчёт'!$D$69</f>
        <v>2350</v>
      </c>
      <c r="K69" s="11"/>
      <c r="L69" s="11"/>
    </row>
    <row r="70" ht="17" customHeight="1">
      <c r="A70" s="15" t="n">
        <v>4</v>
      </c>
      <c r="B70" s="11"/>
      <c r="C70" s="11"/>
      <c r="D70" s="15" t="n">
        <v>750</v>
      </c>
      <c r="E70" s="11"/>
      <c r="F70" s="11"/>
      <c r="G70" s="15" t="n">
        <f>'Расчёт'!$J$69</f>
        <v>2350</v>
      </c>
      <c r="H70" s="11"/>
      <c r="I70" s="11"/>
      <c r="J70" s="15" t="n">
        <f>'Расчёт'!$G$70+'Расчёт'!$D$70</f>
        <v>3100</v>
      </c>
      <c r="K70" s="11"/>
      <c r="L70" s="11"/>
    </row>
    <row r="71" ht="17" customHeight="1">
      <c r="A71" s="15" t="n">
        <v>5</v>
      </c>
      <c r="B71" s="11"/>
      <c r="C71" s="11"/>
      <c r="D71" s="15" t="n">
        <v>750</v>
      </c>
      <c r="E71" s="11"/>
      <c r="F71" s="11"/>
      <c r="G71" s="15" t="n">
        <f>'Расчёт'!$J$70</f>
        <v>3100</v>
      </c>
      <c r="H71" s="11"/>
      <c r="I71" s="11"/>
      <c r="J71" s="15" t="n">
        <f>'Расчёт'!$G$71+'Расчёт'!$D$71</f>
        <v>3850</v>
      </c>
      <c r="K71" s="11"/>
      <c r="L71" s="11"/>
    </row>
    <row r="72" ht="17" customHeight="1">
      <c r="A72" s="15" t="n">
        <v>6</v>
      </c>
      <c r="B72" s="11"/>
      <c r="C72" s="11"/>
      <c r="D72" s="15" t="n">
        <v>750</v>
      </c>
      <c r="E72" s="11"/>
      <c r="F72" s="11"/>
      <c r="G72" s="15" t="n">
        <f>'Расчёт'!$J$71</f>
        <v>3850</v>
      </c>
      <c r="H72" s="11"/>
      <c r="I72" s="11"/>
      <c r="J72" s="15" t="n">
        <f>'Расчёт'!$G$72+'Расчёт'!$D$72</f>
        <v>4600</v>
      </c>
      <c r="K72" s="11"/>
      <c r="L72" s="11"/>
    </row>
    <row r="73" ht="17" customHeight="1">
      <c r="A73" s="15" t="n">
        <v>7</v>
      </c>
      <c r="B73" s="11"/>
      <c r="C73" s="11"/>
      <c r="D73" s="15" t="n">
        <v>750</v>
      </c>
      <c r="E73" s="11"/>
      <c r="F73" s="11"/>
      <c r="G73" s="15" t="n">
        <f>'Расчёт'!$J$72</f>
        <v>4600</v>
      </c>
      <c r="H73" s="11"/>
      <c r="I73" s="11"/>
      <c r="J73" s="15" t="n">
        <f>'Расчёт'!$G$73+'Расчёт'!$D$73</f>
        <v>5350</v>
      </c>
      <c r="K73" s="11"/>
      <c r="L73" s="11"/>
    </row>
    <row r="74" ht="17" customHeight="1">
      <c r="A74" s="15" t="n">
        <v>8</v>
      </c>
      <c r="B74" s="11"/>
      <c r="C74" s="11"/>
      <c r="D74" s="15" t="n">
        <v>800</v>
      </c>
      <c r="E74" s="11"/>
      <c r="F74" s="11"/>
      <c r="G74" s="15" t="n">
        <f>'Расчёт'!$J$73</f>
        <v>5350</v>
      </c>
      <c r="H74" s="11"/>
      <c r="I74" s="11"/>
      <c r="J74" s="15" t="n">
        <f>'Расчёт'!$G$74+'Расчёт'!$D$74</f>
        <v>6150</v>
      </c>
      <c r="K74" s="11"/>
      <c r="L74" s="11"/>
    </row>
    <row r="75" ht="17" customHeight="1">
      <c r="A75" s="15" t="n">
        <v>9</v>
      </c>
      <c r="B75" s="11"/>
      <c r="C75" s="11"/>
      <c r="D75" s="15" t="n">
        <v>750</v>
      </c>
      <c r="E75" s="11"/>
      <c r="F75" s="11"/>
      <c r="G75" s="15" t="n">
        <f>'Расчёт'!$J$74</f>
        <v>6150</v>
      </c>
      <c r="H75" s="11"/>
      <c r="I75" s="11"/>
      <c r="J75" s="15" t="n">
        <f>'Расчёт'!$G$75+'Расчёт'!$D$75</f>
        <v>6900</v>
      </c>
      <c r="K75" s="11"/>
      <c r="L75" s="11"/>
    </row>
    <row r="76" ht="17" customHeight="1">
      <c r="A76" s="15" t="n">
        <v>10</v>
      </c>
      <c r="B76" s="11"/>
      <c r="C76" s="11"/>
      <c r="D76" s="15" t="n">
        <v>750</v>
      </c>
      <c r="E76" s="11"/>
      <c r="F76" s="11"/>
      <c r="G76" s="15" t="n">
        <f>'Расчёт'!$J$75</f>
        <v>6900</v>
      </c>
      <c r="H76" s="11"/>
      <c r="I76" s="11"/>
      <c r="J76" s="15" t="n">
        <f>'Расчёт'!$G$76+'Расчёт'!$D$76</f>
        <v>7650</v>
      </c>
      <c r="K76" s="11"/>
      <c r="L76" s="11"/>
    </row>
    <row r="77" ht="17" customHeight="1">
      <c r="A77" s="15" t="n">
        <v>11</v>
      </c>
      <c r="B77" s="11"/>
      <c r="C77" s="11"/>
      <c r="D77" s="15" t="n">
        <v>750</v>
      </c>
      <c r="E77" s="11"/>
      <c r="F77" s="11"/>
      <c r="G77" s="15" t="n">
        <f>'Расчёт'!$J$76</f>
        <v>7650</v>
      </c>
      <c r="H77" s="11"/>
      <c r="I77" s="11"/>
      <c r="J77" s="15" t="n">
        <f>'Расчёт'!$G$77+'Расчёт'!$D$77</f>
        <v>8400</v>
      </c>
      <c r="K77" s="11"/>
      <c r="L77" s="11"/>
    </row>
    <row r="78" ht="17" customHeight="1">
      <c r="A78" s="15" t="n">
        <v>12</v>
      </c>
      <c r="B78" s="11"/>
      <c r="C78" s="11"/>
      <c r="D78" s="15" t="n">
        <v>750</v>
      </c>
      <c r="E78" s="11"/>
      <c r="F78" s="11"/>
      <c r="G78" s="15" t="n">
        <f>'Расчёт'!$J$77</f>
        <v>8400</v>
      </c>
      <c r="H78" s="11"/>
      <c r="I78" s="11"/>
      <c r="J78" s="15" t="n">
        <f>'Расчёт'!$G$78+'Расчёт'!$D$78</f>
        <v>9150</v>
      </c>
      <c r="K78" s="11"/>
      <c r="L78" s="11"/>
    </row>
    <row r="79" ht="17" customHeight="1">
      <c r="A79" s="15" t="n">
        <v>13</v>
      </c>
      <c r="B79" s="11"/>
      <c r="C79" s="11"/>
      <c r="D79" s="15" t="n">
        <v>750</v>
      </c>
      <c r="E79" s="11"/>
      <c r="F79" s="11"/>
      <c r="G79" s="15" t="n">
        <f>'Расчёт'!$J$78</f>
        <v>9150</v>
      </c>
      <c r="H79" s="11"/>
      <c r="I79" s="11"/>
      <c r="J79" s="15" t="n">
        <f>'Расчёт'!$G$79+'Расчёт'!$D$79</f>
        <v>9900</v>
      </c>
      <c r="K79" s="11"/>
      <c r="L79" s="11"/>
    </row>
    <row r="80" ht="17" customHeight="1">
      <c r="A80" s="15" t="n">
        <v>14</v>
      </c>
      <c r="B80" s="11"/>
      <c r="C80" s="11"/>
      <c r="D80" s="15" t="n">
        <v>800</v>
      </c>
      <c r="E80" s="11"/>
      <c r="F80" s="11"/>
      <c r="G80" s="15" t="n">
        <f>'Расчёт'!$J$79</f>
        <v>9900</v>
      </c>
      <c r="H80" s="11"/>
      <c r="I80" s="11"/>
      <c r="J80" s="15" t="n">
        <f>'Расчёт'!$G$80+'Расчёт'!$D$80</f>
        <v>10700</v>
      </c>
      <c r="K80" s="11"/>
      <c r="L80" s="11"/>
    </row>
    <row r="81" ht="17" customHeight="1">
      <c r="A81" s="15" t="n">
        <v>15</v>
      </c>
      <c r="B81" s="11"/>
      <c r="C81" s="11"/>
      <c r="D81" s="15" t="n">
        <v>800</v>
      </c>
      <c r="E81" s="11"/>
      <c r="F81" s="11"/>
      <c r="G81" s="15" t="n">
        <f>'Расчёт'!$J$80</f>
        <v>10700</v>
      </c>
      <c r="H81" s="11"/>
      <c r="I81" s="11"/>
      <c r="J81" s="15" t="n">
        <f>'Расчёт'!$G$81+'Расчёт'!$D$81</f>
        <v>11500</v>
      </c>
      <c r="K81" s="11"/>
      <c r="L81" s="11"/>
    </row>
    <row r="82" ht="25" customHeight="1">
      <c r="A82" s="7" t="str">
        <v>2. Нагрузки и расчётные состояния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28" customHeight="1">
      <c r="A83" s="10" t="str">
        <v>Коэффициент / параметр</v>
      </c>
      <c r="B83" s="10"/>
      <c r="C83" s="10"/>
      <c r="D83" s="10"/>
      <c r="E83" s="10"/>
      <c r="F83" s="10" t="str">
        <v>Значение</v>
      </c>
      <c r="G83" s="10"/>
      <c r="H83" s="10"/>
      <c r="I83" s="10" t="str">
        <v>Ед.</v>
      </c>
      <c r="J83" s="10"/>
      <c r="K83" s="3"/>
      <c r="L83" s="3"/>
    </row>
    <row r="84" ht="17" customHeight="1">
      <c r="A84" s="4" t="str">
        <v>cW</v>
      </c>
      <c r="B84" s="4"/>
      <c r="C84" s="4"/>
      <c r="D84" s="4"/>
      <c r="E84" s="4"/>
      <c r="F84" s="12" t="n">
        <f>IF('Расчёт'!$F$20&lt;=90,0.0856*'Расчёт'!$F$20,10.75-((300-'Расчёт'!$F$20)/100)^1.5)</f>
        <v>8.912882692912616</v>
      </c>
      <c r="G84" s="11"/>
      <c r="H84" s="11"/>
      <c r="I84" s="4" t="str">
        <v>—</v>
      </c>
      <c r="J84" s="4"/>
      <c r="K84" s="3"/>
      <c r="L84" s="3"/>
    </row>
    <row r="85" ht="17" customHeight="1">
      <c r="A85" s="4" t="str">
        <v>pw0</v>
      </c>
      <c r="B85" s="4"/>
      <c r="C85" s="4"/>
      <c r="D85" s="4"/>
      <c r="E85" s="4"/>
      <c r="F85" s="12" t="n">
        <f>5*'Расчёт'!$F$84*'Расчёт'!$F$49</f>
        <v>26.73864807873785</v>
      </c>
      <c r="G85" s="11"/>
      <c r="H85" s="11"/>
      <c r="I85" s="4" t="str">
        <v>кПа</v>
      </c>
      <c r="J85" s="4"/>
      <c r="K85" s="3"/>
      <c r="L85" s="3"/>
    </row>
    <row r="86" ht="17" customHeight="1">
      <c r="A86" s="4" t="str">
        <v>az</v>
      </c>
      <c r="B86" s="4"/>
      <c r="C86" s="4"/>
      <c r="D86" s="4"/>
      <c r="E86" s="4"/>
      <c r="F86" s="12" t="n">
        <f>'Расчёт'!$F$50*0.9/'Расчёт'!$F$20^0.333</f>
        <v>1.6644590986648897</v>
      </c>
      <c r="G86" s="11"/>
      <c r="H86" s="11"/>
      <c r="I86" s="4" t="str">
        <v>м/с²</v>
      </c>
      <c r="J86" s="4"/>
      <c r="K86" s="3"/>
      <c r="L86" s="3"/>
    </row>
    <row r="87" ht="17" customHeight="1">
      <c r="A87" s="4" t="str">
        <v>θ</v>
      </c>
      <c r="B87" s="4"/>
      <c r="C87" s="4"/>
      <c r="D87" s="4"/>
      <c r="E87" s="4"/>
      <c r="F87" s="12" t="n">
        <f>0.6/(1+0.5*'Расчёт'!$F$20*10^-2)</f>
        <v>0.34285714285714286</v>
      </c>
      <c r="G87" s="11"/>
      <c r="H87" s="11"/>
      <c r="I87" s="4" t="str">
        <v>—</v>
      </c>
      <c r="J87" s="4"/>
      <c r="K87" s="3"/>
      <c r="L87" s="3"/>
    </row>
    <row r="88" ht="17" customHeight="1">
      <c r="A88" s="4" t="str">
        <v>ψ</v>
      </c>
      <c r="B88" s="4"/>
      <c r="C88" s="4"/>
      <c r="D88" s="4"/>
      <c r="E88" s="4"/>
      <c r="F88" s="12" t="n">
        <f>0.23/(1+'Расчёт'!$F$20*10^-2)</f>
        <v>0.092</v>
      </c>
      <c r="G88" s="11"/>
      <c r="H88" s="11"/>
      <c r="I88" s="4" t="str">
        <v>—</v>
      </c>
      <c r="J88" s="4"/>
      <c r="K88" s="3"/>
      <c r="L88" s="3"/>
    </row>
    <row r="89" ht="25" customHeight="1">
      <c r="A89" s="7" t="str">
        <v>Параметры балластного и грузового состояний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28" customHeight="1">
      <c r="A90" s="10" t="str">
        <v>Параметр</v>
      </c>
      <c r="B90" s="10"/>
      <c r="C90" s="10"/>
      <c r="D90" s="10"/>
      <c r="E90" s="10"/>
      <c r="F90" s="10" t="str">
        <v>Значение</v>
      </c>
      <c r="G90" s="10"/>
      <c r="H90" s="10"/>
      <c r="I90" s="10" t="str">
        <v>Ед.</v>
      </c>
      <c r="J90" s="10"/>
      <c r="K90" s="3"/>
      <c r="L90" s="3"/>
    </row>
    <row r="91" ht="17" customHeight="1">
      <c r="A91" s="14" t="str">
        <v>dB</v>
      </c>
      <c r="B91" s="4"/>
      <c r="C91" s="4"/>
      <c r="D91" s="4"/>
      <c r="E91" s="4"/>
      <c r="F91" s="12" t="n">
        <f>2+0.02*'Расчёт'!$F$20</f>
        <v>5</v>
      </c>
      <c r="G91" s="11"/>
      <c r="H91" s="11"/>
      <c r="I91" s="14" t="str">
        <v>m</v>
      </c>
      <c r="J91" s="4"/>
      <c r="K91" s="3"/>
      <c r="L91" s="3"/>
    </row>
    <row r="92" ht="17" customHeight="1">
      <c r="A92" s="14" t="str">
        <v>dL</v>
      </c>
      <c r="B92" s="4"/>
      <c r="C92" s="4"/>
      <c r="D92" s="4"/>
      <c r="E92" s="4"/>
      <c r="F92" s="12" t="n">
        <f>'Расчёт'!$F$23</f>
        <v>9.4</v>
      </c>
      <c r="G92" s="11"/>
      <c r="H92" s="11"/>
      <c r="I92" s="14" t="str">
        <v>m</v>
      </c>
      <c r="J92" s="4"/>
      <c r="K92" s="3"/>
      <c r="L92" s="3"/>
    </row>
    <row r="93" ht="17" customHeight="1">
      <c r="A93" s="14" t="str">
        <v>bB</v>
      </c>
      <c r="B93" s="4"/>
      <c r="C93" s="4"/>
      <c r="D93" s="4"/>
      <c r="E93" s="4"/>
      <c r="F93" s="12" t="n">
        <f>'Расчёт'!$F$21/2</f>
        <v>13.5</v>
      </c>
      <c r="G93" s="11"/>
      <c r="H93" s="11"/>
      <c r="I93" s="14" t="str">
        <v>m</v>
      </c>
      <c r="J93" s="4"/>
      <c r="K93" s="3"/>
      <c r="L93" s="3"/>
    </row>
    <row r="94" ht="17" customHeight="1">
      <c r="A94" s="14" t="str">
        <v>bC</v>
      </c>
      <c r="B94" s="4"/>
      <c r="C94" s="4"/>
      <c r="D94" s="4"/>
      <c r="E94" s="4"/>
      <c r="F94" s="12" t="n">
        <f>'Расчёт'!$F$21/2-'Расчёт'!$F$27</f>
        <v>11.5</v>
      </c>
      <c r="G94" s="11"/>
      <c r="H94" s="11"/>
      <c r="I94" s="14" t="str">
        <v>m</v>
      </c>
      <c r="J94" s="4"/>
      <c r="K94" s="3"/>
      <c r="L94" s="3"/>
    </row>
    <row r="95" ht="17" customHeight="1">
      <c r="A95" s="14" t="str">
        <v>zB</v>
      </c>
      <c r="B95" s="4"/>
      <c r="C95" s="4"/>
      <c r="D95" s="4"/>
      <c r="E95" s="4"/>
      <c r="F95" s="12" t="n">
        <f>'Расчёт'!$F$22+'Расчёт'!$F$29*'Расчёт'!$F$27/('Расчёт'!$F$21/2)</f>
        <v>15.58</v>
      </c>
      <c r="G95" s="11"/>
      <c r="H95" s="11"/>
      <c r="I95" s="14" t="str">
        <v>m</v>
      </c>
      <c r="J95" s="4"/>
      <c r="K95" s="3"/>
      <c r="L95" s="3"/>
    </row>
    <row r="96" ht="17" customHeight="1">
      <c r="A96" s="14" t="str">
        <v>zC</v>
      </c>
      <c r="B96" s="4"/>
      <c r="C96" s="4"/>
      <c r="D96" s="4"/>
      <c r="E96" s="4"/>
      <c r="F96" s="12" t="n">
        <f>'Расчёт'!$F$22+'Расчёт'!$F$29</f>
        <v>16.04</v>
      </c>
      <c r="G96" s="11"/>
      <c r="H96" s="11"/>
      <c r="I96" s="14" t="str">
        <v>m</v>
      </c>
      <c r="J96" s="4"/>
      <c r="K96" s="3"/>
      <c r="L96" s="3"/>
    </row>
    <row r="97" ht="17" customHeight="1">
      <c r="A97" s="14" t="str">
        <v>ρ</v>
      </c>
      <c r="B97" s="4"/>
      <c r="C97" s="4"/>
      <c r="D97" s="4"/>
      <c r="E97" s="4"/>
      <c r="F97" s="12" t="n">
        <f>'Расчёт'!$F$40</f>
        <v>1.025</v>
      </c>
      <c r="G97" s="11"/>
      <c r="H97" s="11"/>
      <c r="I97" s="14" t="str">
        <v>t/m³</v>
      </c>
      <c r="J97" s="4"/>
      <c r="K97" s="3"/>
      <c r="L97" s="3"/>
    </row>
    <row r="98" ht="17" customHeight="1">
      <c r="A98" s="14" t="str">
        <v>l</v>
      </c>
      <c r="B98" s="4"/>
      <c r="C98" s="4"/>
      <c r="D98" s="4"/>
      <c r="E98" s="4"/>
      <c r="F98" s="12" t="n">
        <f>'Расчёт'!$F$38</f>
        <v>18</v>
      </c>
      <c r="G98" s="11"/>
      <c r="H98" s="11"/>
      <c r="I98" s="14" t="str">
        <v>m</v>
      </c>
      <c r="J98" s="4"/>
      <c r="K98" s="3"/>
      <c r="L98" s="3"/>
    </row>
    <row r="99" ht="17" customHeight="1">
      <c r="A99" s="14" t="str">
        <v>Δz</v>
      </c>
      <c r="B99" s="4"/>
      <c r="C99" s="4"/>
      <c r="D99" s="4"/>
      <c r="E99" s="4"/>
      <c r="F99" s="12" t="n">
        <f>'Расчёт'!$F$41</f>
        <v>2.5</v>
      </c>
      <c r="G99" s="11"/>
      <c r="H99" s="11"/>
      <c r="I99" s="14" t="str">
        <v>m</v>
      </c>
      <c r="J99" s="4"/>
      <c r="K99" s="3"/>
      <c r="L99" s="3"/>
    </row>
    <row r="100" ht="17" customHeight="1">
      <c r="A100" s="14" t="str">
        <v>pк</v>
      </c>
      <c r="B100" s="4"/>
      <c r="C100" s="4"/>
      <c r="D100" s="4"/>
      <c r="E100" s="4"/>
      <c r="F100" s="12" t="n">
        <f>'Расчёт'!$F$42</f>
        <v>25</v>
      </c>
      <c r="G100" s="11"/>
      <c r="H100" s="11"/>
      <c r="I100" s="14" t="str">
        <v>kPa</v>
      </c>
      <c r="J100" s="4"/>
      <c r="K100" s="3"/>
      <c r="L100" s="3"/>
    </row>
    <row r="101" ht="17" customHeight="1">
      <c r="A101" s="14" t="str">
        <v>z*</v>
      </c>
      <c r="B101" s="4"/>
      <c r="C101" s="4"/>
      <c r="D101" s="4"/>
      <c r="E101" s="4"/>
      <c r="F101" s="12" t="n">
        <f>'Расчёт'!$F$91-'Расчёт'!$F$85/(10+1.5*'Расчёт'!$F$84/'Расчёт'!$F$91)</f>
        <v>2.8902530140509186</v>
      </c>
      <c r="G101" s="11"/>
      <c r="H101" s="11"/>
      <c r="I101" s="14" t="str">
        <v>m</v>
      </c>
      <c r="J101" s="4"/>
      <c r="K101" s="3"/>
      <c r="L101" s="3"/>
    </row>
    <row r="102" ht="25" customHeight="1">
      <c r="A102" s="7" t="str">
        <v>Давление моря и высота жидкости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28" customHeight="1">
      <c r="A103" s="10" t="str">
        <v>Точка</v>
      </c>
      <c r="B103" s="10"/>
      <c r="C103" s="10"/>
      <c r="D103" s="10" t="str">
        <v>z, м</v>
      </c>
      <c r="E103" s="10"/>
      <c r="F103" s="10" t="str">
        <v>pст, кПа</v>
      </c>
      <c r="G103" s="10"/>
      <c r="H103" s="10" t="str">
        <v>pв, кПа</v>
      </c>
      <c r="I103" s="10"/>
      <c r="J103" s="10" t="str">
        <v>pморе</v>
      </c>
      <c r="K103" s="10" t="str">
        <v>h балласта, м</v>
      </c>
      <c r="L103" s="10"/>
    </row>
    <row r="104" ht="17" customHeight="1">
      <c r="A104" s="4" t="str">
        <v>Днище</v>
      </c>
      <c r="B104" s="4"/>
      <c r="C104" s="4"/>
      <c r="D104" s="12" t="n">
        <v>0</v>
      </c>
      <c r="E104" s="11"/>
      <c r="F104" s="12" t="n">
        <f>10*MAX('Расчёт'!$F$23-'Расчёт'!$D$104,0)</f>
        <v>94</v>
      </c>
      <c r="G104" s="11"/>
      <c r="H104" s="12" t="n">
        <f>MAX(0,IF('Расчёт'!$D$104&lt;='Расчёт'!$F$23,'Расчёт'!$F$85-1.5*'Расчёт'!$F$84*('Расчёт'!$F$23-'Расчёт'!$D$104)/'Расчёт'!$F$23,'Расчёт'!$F$85-7.5*'Расчёт'!$F$48*('Расчёт'!$D$104-'Расчёт'!$F$23)))</f>
        <v>13.369324039368927</v>
      </c>
      <c r="I104" s="11"/>
      <c r="J104" s="12" t="n">
        <f>'Расчёт'!$F$104+'Расчёт'!$H$104</f>
        <v>107.36932403936893</v>
      </c>
      <c r="K104" s="12" t="n">
        <f>MAX('Расчёт'!$F$95-'Расчёт'!$D$104,0)</f>
        <v>15.58</v>
      </c>
      <c r="L104" s="11"/>
    </row>
    <row r="105" ht="17" customHeight="1">
      <c r="A105" s="4" t="str">
        <v>Второе дно</v>
      </c>
      <c r="B105" s="4"/>
      <c r="C105" s="4"/>
      <c r="D105" s="12" t="n">
        <f>'Расчёт'!$F$26</f>
        <v>1.8</v>
      </c>
      <c r="E105" s="11"/>
      <c r="F105" s="12" t="n">
        <f>10*MAX('Расчёт'!$F$23-'Расчёт'!$D$105,0)</f>
        <v>76</v>
      </c>
      <c r="G105" s="11"/>
      <c r="H105" s="12" t="n">
        <f>MAX(0,IF('Расчёт'!$D$105&lt;='Расчёт'!$F$23,'Расчёт'!$F$85-1.5*'Расчёт'!$F$84*('Расчёт'!$F$23-'Расчёт'!$D$105)/'Расчёт'!$F$23,'Расчёт'!$F$85-7.5*'Расчёт'!$F$48*('Расчёт'!$D$105-'Расчёт'!$F$23)))</f>
        <v>15.929407366056592</v>
      </c>
      <c r="I105" s="11"/>
      <c r="J105" s="12" t="n">
        <f>'Расчёт'!$F$105+'Расчёт'!$H$105</f>
        <v>91.9294073660566</v>
      </c>
      <c r="K105" s="12" t="n">
        <f>MAX('Расчёт'!$F$95-'Расчёт'!$D$105,0)</f>
        <v>13.78</v>
      </c>
      <c r="L105" s="11"/>
    </row>
    <row r="106" ht="17" customHeight="1">
      <c r="A106" s="4" t="str">
        <v>Верхняя палуба</v>
      </c>
      <c r="B106" s="4"/>
      <c r="C106" s="4"/>
      <c r="D106" s="12" t="n">
        <f>'Расчёт'!$F$22</f>
        <v>15.5</v>
      </c>
      <c r="E106" s="11"/>
      <c r="F106" s="12" t="n">
        <f>10*MAX('Расчёт'!$F$23-'Расчёт'!$D$106,0)</f>
        <v>0</v>
      </c>
      <c r="G106" s="11"/>
      <c r="H106" s="12" t="n">
        <f>MAX(0,IF('Расчёт'!$D$106&lt;='Расчёт'!$F$23,'Расчёт'!$F$85-1.5*'Расчёт'!$F$84*('Расчёт'!$F$23-'Расчёт'!$D$106)/'Расчёт'!$F$23,'Расчёт'!$F$85-7.5*'Расчёт'!$F$48*('Расчёт'!$D$106-'Расчёт'!$F$23)))</f>
        <v>14.52339807873785</v>
      </c>
      <c r="I106" s="11"/>
      <c r="J106" s="12" t="n">
        <f>'Расчёт'!$F$106+'Расчёт'!$H$106</f>
        <v>14.52339807873785</v>
      </c>
      <c r="K106" s="12" t="n">
        <f>MAX('Расчёт'!$F$95-'Расчёт'!$D$106,0)</f>
        <v>0.08000000000000007</v>
      </c>
      <c r="L106" s="11"/>
    </row>
    <row r="107" ht="17" customHeight="1">
      <c r="A107" s="4" t="str">
        <v>Обшивка F</v>
      </c>
      <c r="B107" s="4"/>
      <c r="C107" s="4"/>
      <c r="D107" s="12" t="n">
        <f>'Расчёт'!$K$585/100</f>
        <v>0.0721557815344689</v>
      </c>
      <c r="E107" s="11"/>
      <c r="F107" s="12" t="n">
        <f>10*MAX('Расчёт'!$F$23-'Расчёт'!$D$107,0)</f>
        <v>93.2784421846553</v>
      </c>
      <c r="G107" s="11"/>
      <c r="H107" s="12" t="n">
        <f>MAX(0,IF('Расчёт'!$D$107&lt;='Расчёт'!$F$23,'Расчёт'!$F$85-1.5*'Расчёт'!$F$84*('Расчёт'!$F$23-'Расчёт'!$D$107)/'Расчёт'!$F$23,'Расчёт'!$F$85-7.5*'Расчёт'!$F$48*('Расчёт'!$D$107-'Расчёт'!$F$23)))</f>
        <v>13.4719489356081</v>
      </c>
      <c r="I107" s="11"/>
      <c r="J107" s="12" t="n">
        <f>'Расчёт'!$F$107+'Расчёт'!$H$107</f>
        <v>106.7503911202634</v>
      </c>
      <c r="K107" s="12" t="n">
        <f>MAX('Расчёт'!$F$95-'Расчёт'!$D$107,0)</f>
        <v>15.50784421846553</v>
      </c>
      <c r="L107" s="11"/>
    </row>
    <row r="108" ht="17" customHeight="1">
      <c r="A108" s="4" t="str">
        <v>Обшивка G</v>
      </c>
      <c r="B108" s="4"/>
      <c r="C108" s="4"/>
      <c r="D108" s="12" t="n">
        <f>'Расчёт'!$K$586/100</f>
        <v>0.8149230901246568</v>
      </c>
      <c r="E108" s="11"/>
      <c r="F108" s="12" t="n">
        <f>10*MAX('Расчёт'!$F$23-'Расчёт'!$D$108,0)</f>
        <v>85.85076909875343</v>
      </c>
      <c r="G108" s="11"/>
      <c r="H108" s="12" t="n">
        <f>MAX(0,IF('Расчёт'!$D$108&lt;='Расчёт'!$F$23,'Расчёт'!$F$85-1.5*'Расчёт'!$F$84*('Расчёт'!$F$23-'Расчёт'!$D$108)/'Расчёт'!$F$23,'Расчёт'!$F$85-7.5*'Расчёт'!$F$48*('Расчёт'!$D$108-'Расчёт'!$F$23)))</f>
        <v>14.528363492458329</v>
      </c>
      <c r="I108" s="11"/>
      <c r="J108" s="12" t="n">
        <f>'Расчёт'!$F$108+'Расчёт'!$H$108</f>
        <v>100.37913259121176</v>
      </c>
      <c r="K108" s="12" t="n">
        <f>MAX('Расчёт'!$F$95-'Расчёт'!$D$108,0)</f>
        <v>14.765076909875344</v>
      </c>
      <c r="L108" s="11"/>
    </row>
    <row r="109" ht="17" customHeight="1">
      <c r="A109" s="4" t="str">
        <v>Обшивка H</v>
      </c>
      <c r="B109" s="4"/>
      <c r="C109" s="4"/>
      <c r="D109" s="12" t="n">
        <f>'Расчёт'!$K$588/100</f>
        <v>2.94026569346791</v>
      </c>
      <c r="E109" s="11"/>
      <c r="F109" s="12" t="n">
        <f>10*MAX('Расчёт'!$F$23-'Расчёт'!$D$109,0)</f>
        <v>64.5973430653209</v>
      </c>
      <c r="G109" s="11"/>
      <c r="H109" s="12" t="n">
        <f>MAX(0,IF('Расчёт'!$D$109&lt;='Расчёт'!$F$23,'Расчёт'!$F$85-1.5*'Расчёт'!$F$84*('Расчёт'!$F$23-'Расчёт'!$D$109)/'Расчёт'!$F$23,'Расчёт'!$F$85-7.5*'Расчёт'!$F$48*('Расчёт'!$D$109-'Расчёт'!$F$23)))</f>
        <v>17.551171360412784</v>
      </c>
      <c r="I109" s="11"/>
      <c r="J109" s="12" t="n">
        <f>'Расчёт'!$F$109+'Расчёт'!$H$109</f>
        <v>82.14851442573368</v>
      </c>
      <c r="K109" s="12" t="n">
        <f>MAX('Расчёт'!$F$95-'Расчёт'!$D$109,0)</f>
        <v>12.639734306532091</v>
      </c>
      <c r="L109" s="11"/>
    </row>
    <row r="110" ht="17" customHeight="1">
      <c r="A110" s="4" t="str">
        <v>Обшивка I</v>
      </c>
      <c r="B110" s="4"/>
      <c r="C110" s="4"/>
      <c r="D110" s="12" t="n">
        <f>'Расчёт'!$K$589/100</f>
        <v>4.94026569346791</v>
      </c>
      <c r="E110" s="11"/>
      <c r="F110" s="12" t="n">
        <f>10*MAX('Расчёт'!$F$23-'Расчёт'!$D$110,0)</f>
        <v>44.597343065320906</v>
      </c>
      <c r="G110" s="11"/>
      <c r="H110" s="12" t="n">
        <f>MAX(0,IF('Расчёт'!$D$110&lt;='Расчёт'!$F$23,'Расчёт'!$F$85-1.5*'Расчёт'!$F$84*('Расчёт'!$F$23-'Расчёт'!$D$110)/'Расчёт'!$F$23,'Расчёт'!$F$85-7.5*'Расчёт'!$F$48*('Расчёт'!$D$110-'Расчёт'!$F$23)))</f>
        <v>20.395708390065746</v>
      </c>
      <c r="I110" s="11"/>
      <c r="J110" s="12" t="n">
        <f>'Расчёт'!$F$110+'Расчёт'!$H$110</f>
        <v>64.99305145538665</v>
      </c>
      <c r="K110" s="12" t="n">
        <f>MAX('Расчёт'!$F$95-'Расчёт'!$D$110,0)</f>
        <v>10.639734306532091</v>
      </c>
      <c r="L110" s="11"/>
    </row>
    <row r="111" ht="17" customHeight="1">
      <c r="A111" s="4" t="str">
        <v>Обшивка J</v>
      </c>
      <c r="B111" s="4"/>
      <c r="C111" s="4"/>
      <c r="D111" s="12" t="n">
        <f>'Расчёт'!$K$590/100</f>
        <v>6.94026569346791</v>
      </c>
      <c r="E111" s="11"/>
      <c r="F111" s="12" t="n">
        <f>10*MAX('Расчёт'!$F$23-'Расчёт'!$D$111,0)</f>
        <v>24.597343065320906</v>
      </c>
      <c r="G111" s="11"/>
      <c r="H111" s="12" t="n">
        <f>MAX(0,IF('Расчёт'!$D$111&lt;='Расчёт'!$F$23,'Расчёт'!$F$85-1.5*'Расчёт'!$F$84*('Расчёт'!$F$23-'Расчёт'!$D$111)/'Расчёт'!$F$23,'Расчёт'!$F$85-7.5*'Расчёт'!$F$48*('Расчёт'!$D$111-'Расчёт'!$F$23)))</f>
        <v>23.240245419718708</v>
      </c>
      <c r="I111" s="11"/>
      <c r="J111" s="12" t="n">
        <f>'Расчёт'!$F$111+'Расчёт'!$H$111</f>
        <v>47.83758848503962</v>
      </c>
      <c r="K111" s="12" t="n">
        <f>MAX('Расчёт'!$F$95-'Расчёт'!$D$111,0)</f>
        <v>8.639734306532091</v>
      </c>
      <c r="L111" s="11"/>
    </row>
    <row r="112" ht="17" customHeight="1">
      <c r="A112" s="4" t="str">
        <v>Обшивка K</v>
      </c>
      <c r="B112" s="4"/>
      <c r="C112" s="4"/>
      <c r="D112" s="12" t="n">
        <f>'Расчёт'!$K$591/100</f>
        <v>8.94026569346791</v>
      </c>
      <c r="E112" s="11"/>
      <c r="F112" s="12" t="n">
        <f>10*MAX('Расчёт'!$F$23-'Расчёт'!$D$112,0)</f>
        <v>4.597343065320896</v>
      </c>
      <c r="G112" s="11"/>
      <c r="H112" s="12" t="n">
        <f>MAX(0,IF('Расчёт'!$D$112&lt;='Расчёт'!$F$23,'Расчёт'!$F$85-1.5*'Расчёт'!$F$84*('Расчёт'!$F$23-'Расчёт'!$D$112)/'Расчёт'!$F$23,'Расчёт'!$F$85-7.5*'Расчёт'!$F$48*('Расчёт'!$D$112-'Расчёт'!$F$23)))</f>
        <v>26.084782449371673</v>
      </c>
      <c r="I112" s="11"/>
      <c r="J112" s="12" t="n">
        <f>'Расчёт'!$F$112+'Расчёт'!$H$112</f>
        <v>30.68212551469257</v>
      </c>
      <c r="K112" s="12" t="n">
        <f>MAX('Расчёт'!$F$95-'Расчёт'!$D$112,0)</f>
        <v>6.639734306532089</v>
      </c>
      <c r="L112" s="11"/>
    </row>
    <row r="113" ht="17" customHeight="1">
      <c r="A113" s="4" t="str">
        <v>Обшивка L</v>
      </c>
      <c r="B113" s="4"/>
      <c r="C113" s="4"/>
      <c r="D113" s="12" t="n">
        <f>'Расчёт'!$K$592/100</f>
        <v>10.940265693467909</v>
      </c>
      <c r="E113" s="11"/>
      <c r="F113" s="12" t="n">
        <f>10*MAX('Расчёт'!$F$23-'Расчёт'!$D$113,0)</f>
        <v>0</v>
      </c>
      <c r="G113" s="11"/>
      <c r="H113" s="12" t="n">
        <f>MAX(0,IF('Расчёт'!$D$113&lt;='Расчёт'!$F$23,'Расчёт'!$F$85-1.5*'Расчёт'!$F$84*('Расчёт'!$F$23-'Расчёт'!$D$113)/'Расчёт'!$F$23,'Расчёт'!$F$85-7.5*'Расчёт'!$F$48*('Расчёт'!$D$113-'Расчёт'!$F$23)))</f>
        <v>23.65426602756836</v>
      </c>
      <c r="I113" s="11"/>
      <c r="J113" s="12" t="n">
        <f>'Расчёт'!$F$113+'Расчёт'!$H$113</f>
        <v>23.65426602756836</v>
      </c>
      <c r="K113" s="12" t="n">
        <f>MAX('Расчёт'!$F$95-'Расчёт'!$D$113,0)</f>
        <v>4.639734306532091</v>
      </c>
      <c r="L113" s="11"/>
    </row>
    <row r="114" ht="17" customHeight="1">
      <c r="A114" s="4" t="str">
        <v>Обшивка M</v>
      </c>
      <c r="B114" s="4"/>
      <c r="C114" s="4"/>
      <c r="D114" s="12" t="n">
        <f>'Расчёт'!$K$593/100</f>
        <v>12.442699270100931</v>
      </c>
      <c r="E114" s="11"/>
      <c r="F114" s="12" t="n">
        <f>10*MAX('Расчёт'!$F$23-'Расчёт'!$D$114,0)</f>
        <v>0</v>
      </c>
      <c r="G114" s="11"/>
      <c r="H114" s="12" t="n">
        <f>MAX(0,IF('Расчёт'!$D$114&lt;='Расчёт'!$F$23,'Расчёт'!$F$85-1.5*'Расчёт'!$F$84*('Расчёт'!$F$23-'Расчёт'!$D$114)/'Расчёт'!$F$23,'Расчёт'!$F$85-7.5*'Расчёт'!$F$48*('Расчёт'!$D$114-'Расчёт'!$F$23)))</f>
        <v>20.645642790360736</v>
      </c>
      <c r="I114" s="11"/>
      <c r="J114" s="12" t="n">
        <f>'Расчёт'!$F$114+'Расчёт'!$H$114</f>
        <v>20.645642790360736</v>
      </c>
      <c r="K114" s="12" t="n">
        <f>MAX('Расчёт'!$F$95-'Расчёт'!$D$114,0)</f>
        <v>3.137300729899069</v>
      </c>
      <c r="L114" s="11"/>
    </row>
    <row r="115" ht="17" customHeight="1">
      <c r="A115" s="4" t="str">
        <v>Обшивка N</v>
      </c>
      <c r="B115" s="4"/>
      <c r="C115" s="4"/>
      <c r="D115" s="12" t="n">
        <f>'Расчёт'!$K$594/100</f>
        <v>13.447566423366977</v>
      </c>
      <c r="E115" s="11"/>
      <c r="F115" s="12" t="n">
        <f>10*MAX('Расчёт'!$F$23-'Расчёт'!$D$115,0)</f>
        <v>0</v>
      </c>
      <c r="G115" s="11"/>
      <c r="H115" s="12" t="n">
        <f>MAX(0,IF('Расчёт'!$D$115&lt;='Расчёт'!$F$23,'Расчёт'!$F$85-1.5*'Расчёт'!$F$84*('Расчёт'!$F$23-'Расчёт'!$D$115)/'Расчёт'!$F$23,'Расчёт'!$F$85-7.5*'Расчёт'!$F$48*('Расчёт'!$D$115-'Расчёт'!$F$23)))</f>
        <v>18.63339631594548</v>
      </c>
      <c r="I115" s="11"/>
      <c r="J115" s="12" t="n">
        <f>'Расчёт'!$F$115+'Расчёт'!$H$115</f>
        <v>18.63339631594548</v>
      </c>
      <c r="K115" s="12" t="n">
        <f>MAX('Расчёт'!$F$95-'Расчёт'!$D$115,0)</f>
        <v>2.132433576633023</v>
      </c>
      <c r="L115" s="11"/>
    </row>
    <row r="116" ht="17" customHeight="1">
      <c r="A116" s="4" t="str">
        <v>Обшивка SH</v>
      </c>
      <c r="B116" s="4"/>
      <c r="C116" s="4"/>
      <c r="D116" s="12" t="n">
        <f>'Расчёт'!$K$595/100</f>
        <v>14.725</v>
      </c>
      <c r="E116" s="11"/>
      <c r="F116" s="12" t="n">
        <f>10*MAX('Расчёт'!$F$23-'Расчёт'!$D$116,0)</f>
        <v>0</v>
      </c>
      <c r="G116" s="11"/>
      <c r="H116" s="12" t="n">
        <f>MAX(0,IF('Расчёт'!$D$116&lt;='Расчёт'!$F$23,'Расчёт'!$F$85-1.5*'Расчёт'!$F$84*('Расчёт'!$F$23-'Расчёт'!$D$116)/'Расчёт'!$F$23,'Расчёт'!$F$85-7.5*'Расчёт'!$F$48*('Расчёт'!$D$116-'Расчёт'!$F$23)))</f>
        <v>16.07533557873785</v>
      </c>
      <c r="I116" s="11"/>
      <c r="J116" s="12" t="n">
        <f>'Расчёт'!$F$116+'Расчёт'!$H$116</f>
        <v>16.07533557873785</v>
      </c>
      <c r="K116" s="12" t="n">
        <f>MAX('Расчёт'!$F$95-'Расчёт'!$D$116,0)</f>
        <v>0.8550000000000004</v>
      </c>
      <c r="L116" s="11"/>
    </row>
    <row r="117" ht="17" customHeight="1">
      <c r="A117" s="4" t="str">
        <v>ISG</v>
      </c>
      <c r="B117" s="4"/>
      <c r="C117" s="4"/>
      <c r="D117" s="12" t="n">
        <f>'Расчёт'!$K$599/100</f>
        <v>2.8</v>
      </c>
      <c r="E117" s="11"/>
      <c r="F117" s="12" t="n">
        <f>10*MAX('Расчёт'!$F$23-'Расчёт'!$D$117,0)</f>
        <v>66</v>
      </c>
      <c r="G117" s="11"/>
      <c r="H117" s="12" t="n">
        <f>MAX(0,IF('Расчёт'!$D$117&lt;='Расчёт'!$F$23,'Расчёт'!$F$85-1.5*'Расчёт'!$F$84*('Расчёт'!$F$23-'Расчёт'!$D$117)/'Расчёт'!$F$23,'Расчёт'!$F$85-7.5*'Расчёт'!$F$48*('Расчёт'!$D$117-'Расчёт'!$F$23)))</f>
        <v>17.35167588088307</v>
      </c>
      <c r="I117" s="11"/>
      <c r="J117" s="12" t="n">
        <f>'Расчёт'!$F$117+'Расчёт'!$H$117</f>
        <v>83.35167588088308</v>
      </c>
      <c r="K117" s="12" t="n">
        <f>MAX('Расчёт'!$F$95-'Расчёт'!$D$117,0)</f>
        <v>12.780000000000001</v>
      </c>
      <c r="L117" s="11"/>
    </row>
    <row r="118" ht="17" customHeight="1">
      <c r="A118" s="4" t="str">
        <v>ISF</v>
      </c>
      <c r="B118" s="4"/>
      <c r="C118" s="4"/>
      <c r="D118" s="12" t="n">
        <f>'Расчёт'!$K$600/100</f>
        <v>4.8</v>
      </c>
      <c r="E118" s="11"/>
      <c r="F118" s="12" t="n">
        <f>10*MAX('Расчёт'!$F$23-'Расчёт'!$D$118,0)</f>
        <v>46.00000000000001</v>
      </c>
      <c r="G118" s="11"/>
      <c r="H118" s="12" t="n">
        <f>MAX(0,IF('Расчёт'!$D$118&lt;='Расчёт'!$F$23,'Расчёт'!$F$85-1.5*'Расчёт'!$F$84*('Расчёт'!$F$23-'Расчёт'!$D$118)/'Расчёт'!$F$23,'Расчёт'!$F$85-7.5*'Расчёт'!$F$48*('Расчёт'!$D$118-'Расчёт'!$F$23)))</f>
        <v>20.196212910536037</v>
      </c>
      <c r="I118" s="11"/>
      <c r="J118" s="12" t="n">
        <f>'Расчёт'!$F$118+'Расчёт'!$H$118</f>
        <v>66.19621291053605</v>
      </c>
      <c r="K118" s="12" t="n">
        <f>MAX('Расчёт'!$F$95-'Расчёт'!$D$118,0)</f>
        <v>10.780000000000001</v>
      </c>
      <c r="L118" s="11"/>
    </row>
    <row r="119" ht="17" customHeight="1">
      <c r="A119" s="4" t="str">
        <v>ISE</v>
      </c>
      <c r="B119" s="4"/>
      <c r="C119" s="4"/>
      <c r="D119" s="12" t="n">
        <f>'Расчёт'!$K$601/100</f>
        <v>6.8</v>
      </c>
      <c r="E119" s="11"/>
      <c r="F119" s="12" t="n">
        <f>10*MAX('Расчёт'!$F$23-'Расчёт'!$D$119,0)</f>
        <v>26.000000000000007</v>
      </c>
      <c r="G119" s="11"/>
      <c r="H119" s="12" t="n">
        <f>MAX(0,IF('Расчёт'!$D$119&lt;='Расчёт'!$F$23,'Расчёт'!$F$85-1.5*'Расчёт'!$F$84*('Расчёт'!$F$23-'Расчёт'!$D$119)/'Расчёт'!$F$23,'Расчёт'!$F$85-7.5*'Расчёт'!$F$48*('Расчёт'!$D$119-'Расчёт'!$F$23)))</f>
        <v>23.040749940189</v>
      </c>
      <c r="I119" s="11"/>
      <c r="J119" s="12" t="n">
        <f>'Расчёт'!$F$119+'Расчёт'!$H$119</f>
        <v>49.040749940189</v>
      </c>
      <c r="K119" s="12" t="n">
        <f>MAX('Расчёт'!$F$95-'Расчёт'!$D$119,0)</f>
        <v>8.780000000000001</v>
      </c>
      <c r="L119" s="11"/>
    </row>
    <row r="120" ht="17" customHeight="1">
      <c r="A120" s="4" t="str">
        <v>ISD</v>
      </c>
      <c r="B120" s="4"/>
      <c r="C120" s="4"/>
      <c r="D120" s="12" t="n">
        <f>'Расчёт'!$K$602/100</f>
        <v>8.8</v>
      </c>
      <c r="E120" s="11"/>
      <c r="F120" s="12" t="n">
        <f>10*MAX('Расчёт'!$F$23-'Расчёт'!$D$120,0)</f>
        <v>5.9999999999999964</v>
      </c>
      <c r="G120" s="11"/>
      <c r="H120" s="12" t="n">
        <f>MAX(0,IF('Расчёт'!$D$120&lt;='Расчёт'!$F$23,'Расчёт'!$F$85-1.5*'Расчёт'!$F$84*('Расчёт'!$F$23-'Расчёт'!$D$120)/'Расчёт'!$F$23,'Расчёт'!$F$85-7.5*'Расчёт'!$F$48*('Расчёт'!$D$120-'Расчёт'!$F$23)))</f>
        <v>25.88528696984196</v>
      </c>
      <c r="I120" s="11"/>
      <c r="J120" s="12" t="n">
        <f>'Расчёт'!$F$120+'Расчёт'!$H$120</f>
        <v>31.885286969841957</v>
      </c>
      <c r="K120" s="12" t="n">
        <f>MAX('Расчёт'!$F$95-'Расчёт'!$D$120,0)</f>
        <v>6.779999999999999</v>
      </c>
      <c r="L120" s="11"/>
    </row>
    <row r="121" ht="17" customHeight="1">
      <c r="A121" s="4" t="str">
        <v>ISC</v>
      </c>
      <c r="B121" s="4"/>
      <c r="C121" s="4"/>
      <c r="D121" s="12" t="n">
        <f>'Расчёт'!$K$603/100</f>
        <v>10.8</v>
      </c>
      <c r="E121" s="11"/>
      <c r="F121" s="12" t="n">
        <f>10*MAX('Расчёт'!$F$23-'Расчёт'!$D$121,0)</f>
        <v>0</v>
      </c>
      <c r="G121" s="11"/>
      <c r="H121" s="12" t="n">
        <f>MAX(0,IF('Расчёт'!$D$121&lt;='Расчёт'!$F$23,'Расчёт'!$F$85-1.5*'Расчёт'!$F$84*('Расчёт'!$F$23-'Расчёт'!$D$121)/'Расчёт'!$F$23,'Расчёт'!$F$85-7.5*'Расчёт'!$F$48*('Расчёт'!$D$121-'Расчёт'!$F$23)))</f>
        <v>23.93514807873785</v>
      </c>
      <c r="I121" s="11"/>
      <c r="J121" s="12" t="n">
        <f>'Расчёт'!$F$121+'Расчёт'!$H$121</f>
        <v>23.93514807873785</v>
      </c>
      <c r="K121" s="12" t="n">
        <f>MAX('Расчёт'!$F$95-'Расчёт'!$D$121,0)</f>
        <v>4.779999999999999</v>
      </c>
      <c r="L121" s="11"/>
    </row>
    <row r="122" ht="17" customHeight="1">
      <c r="A122" s="4" t="str">
        <v>ISB</v>
      </c>
      <c r="B122" s="4"/>
      <c r="C122" s="4"/>
      <c r="D122" s="12" t="n">
        <f>'Расчёт'!$K$604/100</f>
        <v>12.8</v>
      </c>
      <c r="E122" s="11"/>
      <c r="F122" s="12" t="n">
        <f>10*MAX('Расчёт'!$F$23-'Расчёт'!$D$122,0)</f>
        <v>0</v>
      </c>
      <c r="G122" s="11"/>
      <c r="H122" s="12" t="n">
        <f>MAX(0,IF('Расчёт'!$D$122&lt;='Расчёт'!$F$23,'Расчёт'!$F$85-1.5*'Расчёт'!$F$84*('Расчёт'!$F$23-'Расчёт'!$D$122)/'Расчёт'!$F$23,'Расчёт'!$F$85-7.5*'Расчёт'!$F$48*('Расчёт'!$D$122-'Расчёт'!$F$23)))</f>
        <v>19.93014807873785</v>
      </c>
      <c r="I122" s="11"/>
      <c r="J122" s="12" t="n">
        <f>'Расчёт'!$F$122+'Расчёт'!$H$122</f>
        <v>19.93014807873785</v>
      </c>
      <c r="K122" s="12" t="n">
        <f>MAX('Расчёт'!$F$95-'Расчёт'!$D$122,0)</f>
        <v>2.7799999999999994</v>
      </c>
      <c r="L122" s="11"/>
    </row>
    <row r="123" ht="17" customHeight="1">
      <c r="A123" s="4" t="str">
        <v>ISA</v>
      </c>
      <c r="B123" s="4"/>
      <c r="C123" s="4"/>
      <c r="D123" s="12" t="n">
        <f>'Расчёт'!$K$605/100</f>
        <v>14.69</v>
      </c>
      <c r="E123" s="11"/>
      <c r="F123" s="12" t="n">
        <f>10*MAX('Расчёт'!$F$23-'Расчёт'!$D$123,0)</f>
        <v>0</v>
      </c>
      <c r="G123" s="11"/>
      <c r="H123" s="12" t="n">
        <f>MAX(0,IF('Расчёт'!$D$123&lt;='Расчёт'!$F$23,'Расчёт'!$F$85-1.5*'Расчёт'!$F$84*('Расчёт'!$F$23-'Расчёт'!$D$123)/'Расчёт'!$F$23,'Расчёт'!$F$85-7.5*'Расчёт'!$F$48*('Расчёт'!$D$123-'Расчёт'!$F$23)))</f>
        <v>16.14542307873785</v>
      </c>
      <c r="I123" s="11"/>
      <c r="J123" s="12" t="n">
        <f>'Расчёт'!$F$123+'Расчёт'!$H$123</f>
        <v>16.14542307873785</v>
      </c>
      <c r="K123" s="12" t="n">
        <f>MAX('Расчёт'!$F$95-'Расчёт'!$D$123,0)</f>
        <v>0.8900000000000006</v>
      </c>
      <c r="L123" s="11"/>
    </row>
    <row r="124" ht="17" customHeight="1">
      <c r="A124" s="4" t="str">
        <v>OF1</v>
      </c>
      <c r="B124" s="4"/>
      <c r="C124" s="4"/>
      <c r="D124" s="12" t="n">
        <f>('Расчёт'!$F$26+'Расчёт'!$F$35)/2</f>
        <v>3.5</v>
      </c>
      <c r="E124" s="11"/>
      <c r="F124" s="12" t="n">
        <f>10*MAX('Расчёт'!$F$23-'Расчёт'!$D$124,0)</f>
        <v>59</v>
      </c>
      <c r="G124" s="11"/>
      <c r="H124" s="12" t="n">
        <f>MAX(0,IF('Расчёт'!$D$124&lt;='Расчёт'!$F$23,'Расчёт'!$F$85-1.5*'Расчёт'!$F$84*('Расчёт'!$F$23-'Расчёт'!$D$124)/'Расчёт'!$F$23,'Расчёт'!$F$85-7.5*'Расчёт'!$F$48*('Расчёт'!$D$124-'Расчёт'!$F$23)))</f>
        <v>18.34726384126161</v>
      </c>
      <c r="I124" s="11"/>
      <c r="J124" s="12" t="n">
        <f>'Расчёт'!$F$124+'Расчёт'!$H$124</f>
        <v>77.34726384126161</v>
      </c>
      <c r="K124" s="12" t="n">
        <f>MAX('Расчёт'!$F$95-'Расчёт'!$D$124,0)</f>
        <v>12.08</v>
      </c>
      <c r="L124" s="11"/>
    </row>
    <row r="125" ht="17" customHeight="1">
      <c r="A125" s="4" t="str">
        <v>OF2</v>
      </c>
      <c r="B125" s="4"/>
      <c r="C125" s="4"/>
      <c r="D125" s="12" t="n">
        <f>('Расчёт'!$F$35+'Расчёт'!$F$36)/2</f>
        <v>6.9</v>
      </c>
      <c r="E125" s="11"/>
      <c r="F125" s="12" t="n">
        <f>10*MAX('Расчёт'!$F$23-'Расчёт'!$D$125,0)</f>
        <v>25</v>
      </c>
      <c r="G125" s="11"/>
      <c r="H125" s="12" t="n">
        <f>MAX(0,IF('Расчёт'!$D$125&lt;='Расчёт'!$F$23,'Расчёт'!$F$85-1.5*'Расчёт'!$F$84*('Расчёт'!$F$23-'Расчёт'!$D$125)/'Расчёт'!$F$23,'Расчёт'!$F$85-7.5*'Расчёт'!$F$48*('Расчёт'!$D$125-'Расчёт'!$F$23)))</f>
        <v>23.182976791671646</v>
      </c>
      <c r="I125" s="11"/>
      <c r="J125" s="12" t="n">
        <f>'Расчёт'!$F$125+'Расчёт'!$H$125</f>
        <v>48.18297679167165</v>
      </c>
      <c r="K125" s="12" t="n">
        <f>MAX('Расчёт'!$F$95-'Расчёт'!$D$125,0)</f>
        <v>8.68</v>
      </c>
      <c r="L125" s="11"/>
    </row>
    <row r="126" ht="17" customHeight="1">
      <c r="A126" s="4" t="str">
        <v>OF3</v>
      </c>
      <c r="B126" s="4"/>
      <c r="C126" s="4"/>
      <c r="D126" s="12" t="n">
        <f>('Расчёт'!$F$36+'Расчёт'!$F$37)/2</f>
        <v>10.3</v>
      </c>
      <c r="E126" s="11"/>
      <c r="F126" s="12" t="n">
        <f>10*MAX('Расчёт'!$F$23-'Расчёт'!$D$126,0)</f>
        <v>0</v>
      </c>
      <c r="G126" s="11"/>
      <c r="H126" s="12" t="n">
        <f>MAX(0,IF('Расчёт'!$D$126&lt;='Расчёт'!$F$23,'Расчёт'!$F$85-1.5*'Расчёт'!$F$84*('Расчёт'!$F$23-'Расчёт'!$D$126)/'Расчёт'!$F$23,'Расчёт'!$F$85-7.5*'Расчёт'!$F$48*('Расчёт'!$D$126-'Расчёт'!$F$23)))</f>
        <v>24.93639807873785</v>
      </c>
      <c r="I126" s="11"/>
      <c r="J126" s="12" t="n">
        <f>'Расчёт'!$F$126+'Расчёт'!$H$126</f>
        <v>24.93639807873785</v>
      </c>
      <c r="K126" s="12" t="n">
        <f>MAX('Расчёт'!$F$95-'Расчёт'!$D$126,0)</f>
        <v>5.279999999999999</v>
      </c>
      <c r="L126" s="11"/>
    </row>
    <row r="127" ht="17" customHeight="1">
      <c r="A127" s="4" t="str">
        <v>OF4</v>
      </c>
      <c r="B127" s="4"/>
      <c r="C127" s="4"/>
      <c r="D127" s="12" t="n">
        <f>('Расчёт'!$F$37+'Расчёт'!$F$22)/2</f>
        <v>13.75</v>
      </c>
      <c r="E127" s="11"/>
      <c r="F127" s="12" t="n">
        <f>10*MAX('Расчёт'!$F$23-'Расчёт'!$D$127,0)</f>
        <v>0</v>
      </c>
      <c r="G127" s="11"/>
      <c r="H127" s="12" t="n">
        <f>MAX(0,IF('Расчёт'!$D$127&lt;='Расчёт'!$F$23,'Расчёт'!$F$85-1.5*'Расчёт'!$F$84*('Расчёт'!$F$23-'Расчёт'!$D$127)/'Расчёт'!$F$23,'Расчёт'!$F$85-7.5*'Расчёт'!$F$48*('Расчёт'!$D$127-'Расчёт'!$F$23)))</f>
        <v>18.02777307873785</v>
      </c>
      <c r="I127" s="11"/>
      <c r="J127" s="12" t="n">
        <f>'Расчёт'!$F$127+'Расчёт'!$H$127</f>
        <v>18.02777307873785</v>
      </c>
      <c r="K127" s="12" t="n">
        <f>MAX('Расчёт'!$F$95-'Расчёт'!$D$127,0)</f>
        <v>1.83</v>
      </c>
      <c r="L127" s="11"/>
    </row>
    <row r="128" ht="17" customHeight="1">
      <c r="A128" s="4" t="str">
        <v>IF1</v>
      </c>
      <c r="B128" s="4"/>
      <c r="C128" s="4"/>
      <c r="D128" s="12" t="n">
        <f>('Расчёт'!$F$26+'Расчёт'!$F$35)/2</f>
        <v>3.5</v>
      </c>
      <c r="E128" s="11"/>
      <c r="F128" s="12" t="n">
        <f>10*MAX('Расчёт'!$F$23-'Расчёт'!$D$128,0)</f>
        <v>59</v>
      </c>
      <c r="G128" s="11"/>
      <c r="H128" s="12" t="n">
        <f>MAX(0,IF('Расчёт'!$D$128&lt;='Расчёт'!$F$23,'Расчёт'!$F$85-1.5*'Расчёт'!$F$84*('Расчёт'!$F$23-'Расчёт'!$D$128)/'Расчёт'!$F$23,'Расчёт'!$F$85-7.5*'Расчёт'!$F$48*('Расчёт'!$D$128-'Расчёт'!$F$23)))</f>
        <v>18.34726384126161</v>
      </c>
      <c r="I128" s="11"/>
      <c r="J128" s="12" t="n">
        <f>'Расчёт'!$F$128+'Расчёт'!$H$128</f>
        <v>77.34726384126161</v>
      </c>
      <c r="K128" s="12" t="n">
        <f>MAX('Расчёт'!$F$95-'Расчёт'!$D$128,0)</f>
        <v>12.08</v>
      </c>
      <c r="L128" s="11"/>
    </row>
    <row r="129" ht="17" customHeight="1">
      <c r="A129" s="4" t="str">
        <v>IF2</v>
      </c>
      <c r="B129" s="4"/>
      <c r="C129" s="4"/>
      <c r="D129" s="12" t="n">
        <f>('Расчёт'!$F$35+'Расчёт'!$F$36)/2</f>
        <v>6.9</v>
      </c>
      <c r="E129" s="11"/>
      <c r="F129" s="12" t="n">
        <f>10*MAX('Расчёт'!$F$23-'Расчёт'!$D$129,0)</f>
        <v>25</v>
      </c>
      <c r="G129" s="11"/>
      <c r="H129" s="12" t="n">
        <f>MAX(0,IF('Расчёт'!$D$129&lt;='Расчёт'!$F$23,'Расчёт'!$F$85-1.5*'Расчёт'!$F$84*('Расчёт'!$F$23-'Расчёт'!$D$129)/'Расчёт'!$F$23,'Расчёт'!$F$85-7.5*'Расчёт'!$F$48*('Расчёт'!$D$129-'Расчёт'!$F$23)))</f>
        <v>23.182976791671646</v>
      </c>
      <c r="I129" s="11"/>
      <c r="J129" s="12" t="n">
        <f>'Расчёт'!$F$129+'Расчёт'!$H$129</f>
        <v>48.18297679167165</v>
      </c>
      <c r="K129" s="12" t="n">
        <f>MAX('Расчёт'!$F$95-'Расчёт'!$D$129,0)</f>
        <v>8.68</v>
      </c>
      <c r="L129" s="11"/>
    </row>
    <row r="130" ht="17" customHeight="1">
      <c r="A130" s="4" t="str">
        <v>IF3</v>
      </c>
      <c r="B130" s="4"/>
      <c r="C130" s="4"/>
      <c r="D130" s="12" t="n">
        <f>('Расчёт'!$F$36+'Расчёт'!$F$37)/2</f>
        <v>10.3</v>
      </c>
      <c r="E130" s="11"/>
      <c r="F130" s="12" t="n">
        <f>10*MAX('Расчёт'!$F$23-'Расчёт'!$D$130,0)</f>
        <v>0</v>
      </c>
      <c r="G130" s="11"/>
      <c r="H130" s="12" t="n">
        <f>MAX(0,IF('Расчёт'!$D$130&lt;='Расчёт'!$F$23,'Расчёт'!$F$85-1.5*'Расчёт'!$F$84*('Расчёт'!$F$23-'Расчёт'!$D$130)/'Расчёт'!$F$23,'Расчёт'!$F$85-7.5*'Расчёт'!$F$48*('Расчёт'!$D$130-'Расчёт'!$F$23)))</f>
        <v>24.93639807873785</v>
      </c>
      <c r="I130" s="11"/>
      <c r="J130" s="12" t="n">
        <f>'Расчёт'!$F$130+'Расчёт'!$H$130</f>
        <v>24.93639807873785</v>
      </c>
      <c r="K130" s="12" t="n">
        <f>MAX('Расчёт'!$F$95-'Расчёт'!$D$130,0)</f>
        <v>5.279999999999999</v>
      </c>
      <c r="L130" s="11"/>
    </row>
    <row r="131" ht="17" customHeight="1">
      <c r="A131" s="4" t="str">
        <v>IF4</v>
      </c>
      <c r="B131" s="4"/>
      <c r="C131" s="4"/>
      <c r="D131" s="12" t="n">
        <f>('Расчёт'!$F$37+('Расчёт'!$F$22+'Расчёт'!$F$29*'Расчёт'!$F$27/('Расчёт'!$F$21/2)))/2</f>
        <v>13.79</v>
      </c>
      <c r="E131" s="11"/>
      <c r="F131" s="12" t="n">
        <f>10*MAX('Расчёт'!$F$23-'Расчёт'!$D$131,0)</f>
        <v>0</v>
      </c>
      <c r="G131" s="11"/>
      <c r="H131" s="12" t="n">
        <f>MAX(0,IF('Расчёт'!$D$131&lt;='Расчёт'!$F$23,'Расчёт'!$F$85-1.5*'Расчёт'!$F$84*('Расчёт'!$F$23-'Расчёт'!$D$131)/'Расчёт'!$F$23,'Расчёт'!$F$85-7.5*'Расчёт'!$F$48*('Расчёт'!$D$131-'Расчёт'!$F$23)))</f>
        <v>17.94767307873785</v>
      </c>
      <c r="I131" s="11"/>
      <c r="J131" s="12" t="n">
        <f>'Расчёт'!$F$131+'Расчёт'!$H$131</f>
        <v>17.94767307873785</v>
      </c>
      <c r="K131" s="12" t="n">
        <f>MAX('Расчёт'!$F$95-'Расчёт'!$D$131,0)</f>
        <v>1.790000000000001</v>
      </c>
      <c r="L131" s="11"/>
    </row>
    <row r="132" ht="25" customHeight="1">
      <c r="A132" s="7" t="str">
        <v>Внутреннее давление: случаи 1–5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28" customHeight="1">
      <c r="A133" s="10" t="str">
        <v>Марка</v>
      </c>
      <c r="B133" s="10"/>
      <c r="C133" s="10"/>
      <c r="D133" s="10" t="str">
        <v>p1, кПа</v>
      </c>
      <c r="E133" s="10"/>
      <c r="F133" s="10" t="str">
        <v>p2, кПа</v>
      </c>
      <c r="G133" s="10"/>
      <c r="H133" s="10" t="str">
        <v>p3, кПа</v>
      </c>
      <c r="I133" s="10"/>
      <c r="J133" s="10" t="str">
        <v>p4, кПа</v>
      </c>
      <c r="K133" s="10" t="str">
        <v>p5, кПа</v>
      </c>
      <c r="L133" s="10"/>
    </row>
    <row r="134" ht="17" customHeight="1">
      <c r="A134" s="16" t="str">
        <f>'Расчёт'!$A$104</f>
        <v>Днище</v>
      </c>
      <c r="B134" s="4"/>
      <c r="C134" s="4"/>
      <c r="D134" s="12" t="n">
        <f>'Расчёт'!$F$40*'Расчёт'!$F$50*(1+'Расчёт'!$F$86/'Расчёт'!$F$50)*'Расчёт'!$K$104</f>
        <v>183.24137457612892</v>
      </c>
      <c r="E134" s="11"/>
      <c r="F134" s="12" t="n">
        <f>'Расчёт'!$F$40*'Расчёт'!$F$50*('Расчёт'!$K$104+'Расчёт'!$F$39*'Расчёт'!$F$87)</f>
        <v>203.20223785714285</v>
      </c>
      <c r="G134" s="11"/>
      <c r="H134" s="12" t="n">
        <f>'Расчёт'!$F$40*'Расчёт'!$F$50*('Расчёт'!$K$104+'Расчёт'!$F$38*'Расчёт'!$F$88)</f>
        <v>173.312289</v>
      </c>
      <c r="I134" s="11"/>
      <c r="J134" s="12" t="n">
        <f>0.75*'Расчёт'!$F$40*'Расчёт'!$F$50*('Расчёт'!$K$104+'Расчёт'!$F$41)</f>
        <v>136.34919</v>
      </c>
      <c r="K134" s="12" t="n">
        <f>'Расчёт'!$F$40*'Расчёт'!$F$50*'Расчёт'!$K$104+'Расчёт'!$F$42</f>
        <v>181.66079499999998</v>
      </c>
      <c r="L134" s="11"/>
    </row>
    <row r="135" ht="17" customHeight="1">
      <c r="A135" s="16" t="str">
        <f>'Расчёт'!$A$105</f>
        <v>Второе дно</v>
      </c>
      <c r="B135" s="4"/>
      <c r="C135" s="4"/>
      <c r="D135" s="12" t="n">
        <f>'Расчёт'!$F$40*'Расчёт'!$F$50*(1+'Расчёт'!$F$86/'Расчёт'!$F$50)*'Расчёт'!$K$105</f>
        <v>162.0709975390922</v>
      </c>
      <c r="E135" s="11"/>
      <c r="F135" s="12" t="n">
        <f>'Расчёт'!$F$40*'Расчёт'!$F$50*('Расчёт'!$K$105+'Расчёт'!$F$39*'Расчёт'!$F$87)</f>
        <v>185.10278785714283</v>
      </c>
      <c r="G135" s="11"/>
      <c r="H135" s="12" t="n">
        <f>'Расчёт'!$F$40*'Расчёт'!$F$50*('Расчёт'!$K$105+'Расчёт'!$F$38*'Расчёт'!$F$88)</f>
        <v>155.21283899999997</v>
      </c>
      <c r="I135" s="11"/>
      <c r="J135" s="12" t="n">
        <f>0.75*'Расчёт'!$F$40*'Расчёт'!$F$50*('Расчёт'!$K$105+'Расчёт'!$F$41)</f>
        <v>122.7746025</v>
      </c>
      <c r="K135" s="12" t="n">
        <f>'Расчёт'!$F$40*'Расчёт'!$F$50*'Расчёт'!$K$105+'Расчёт'!$F$42</f>
        <v>163.561345</v>
      </c>
      <c r="L135" s="11"/>
    </row>
    <row r="136" ht="17" customHeight="1">
      <c r="A136" s="16" t="str">
        <f>'Расчёт'!$A$106</f>
        <v>Верхняя палуба</v>
      </c>
      <c r="B136" s="4"/>
      <c r="C136" s="4"/>
      <c r="D136" s="12" t="n">
        <f>'Расчёт'!$F$40*'Расчёт'!$F$50*(1+'Расчёт'!$F$86/'Расчёт'!$F$50)*'Расчёт'!$K$106</f>
        <v>0.9409056460905216</v>
      </c>
      <c r="E136" s="11"/>
      <c r="F136" s="12" t="n">
        <f>'Расчёт'!$F$40*'Расчёт'!$F$50*('Расчёт'!$K$106+'Расчёт'!$F$39*'Расчёт'!$F$87)</f>
        <v>47.345862857142855</v>
      </c>
      <c r="G136" s="11"/>
      <c r="H136" s="12" t="n">
        <f>'Расчёт'!$F$40*'Расчёт'!$F$50*('Расчёт'!$K$106+'Расчёт'!$F$38*'Расчёт'!$F$88)</f>
        <v>17.455914</v>
      </c>
      <c r="I136" s="11"/>
      <c r="J136" s="12" t="n">
        <f>0.75*'Расчёт'!$F$40*'Расчёт'!$F$50*('Расчёт'!$K$106+'Расчёт'!$F$41)</f>
        <v>19.45690875</v>
      </c>
      <c r="K136" s="12" t="n">
        <f>'Расчёт'!$F$40*'Расчёт'!$F$50*'Расчёт'!$K$106+'Расчёт'!$F$42</f>
        <v>25.80442</v>
      </c>
      <c r="L136" s="11"/>
    </row>
    <row r="137" ht="17" customHeight="1">
      <c r="A137" s="16" t="str">
        <f>'Расчёт'!$A$107</f>
        <v>Обшивка F</v>
      </c>
      <c r="B137" s="4"/>
      <c r="C137" s="4"/>
      <c r="D137" s="12" t="n">
        <f>'Расчёт'!$F$40*'Расчёт'!$F$50*(1+'Расчёт'!$F$86/'Расчёт'!$F$50)*'Расчёт'!$K$107</f>
        <v>182.39272729808073</v>
      </c>
      <c r="E137" s="11"/>
      <c r="F137" s="12" t="n">
        <f>'Расчёт'!$F$40*'Расчёт'!$F$50*('Расчёт'!$K$107+'Расчёт'!$F$39*'Расчёт'!$F$87)</f>
        <v>202.47669343486837</v>
      </c>
      <c r="G137" s="11"/>
      <c r="H137" s="12" t="n">
        <f>'Расчёт'!$F$40*'Расчёт'!$F$50*('Расчёт'!$K$107+'Расчёт'!$F$38*'Расчёт'!$F$88)</f>
        <v>172.5867445777255</v>
      </c>
      <c r="I137" s="11"/>
      <c r="J137" s="12" t="n">
        <f>0.75*'Расчёт'!$F$40*'Расчёт'!$F$50*('Расчёт'!$K$107+'Расчёт'!$F$41)</f>
        <v>135.80503168329412</v>
      </c>
      <c r="K137" s="12" t="n">
        <f>'Расчёт'!$F$40*'Расчёт'!$F$50*'Расчёт'!$K$107+'Расчёт'!$F$42</f>
        <v>180.93525057772553</v>
      </c>
      <c r="L137" s="11"/>
    </row>
    <row r="138" ht="17" customHeight="1">
      <c r="A138" s="16" t="str">
        <f>'Расчёт'!$A$108</f>
        <v>Обшивка G</v>
      </c>
      <c r="B138" s="4"/>
      <c r="C138" s="4"/>
      <c r="D138" s="12" t="n">
        <f>'Расчёт'!$F$40*'Расчёт'!$F$50*(1+'Расчёт'!$F$86/'Расчёт'!$F$50)*'Расчёт'!$K$108</f>
        <v>173.65680286828112</v>
      </c>
      <c r="E138" s="11"/>
      <c r="F138" s="12" t="n">
        <f>'Расчёт'!$F$40*'Расчёт'!$F$50*('Расчёт'!$K$108+'Расчёт'!$F$39*'Расчёт'!$F$87)</f>
        <v>195.0079824551669</v>
      </c>
      <c r="G138" s="11"/>
      <c r="H138" s="12" t="n">
        <f>'Расчёт'!$F$40*'Расчёт'!$F$50*('Расчёт'!$K$108+'Расчёт'!$F$38*'Расчёт'!$F$88)</f>
        <v>165.11803359802403</v>
      </c>
      <c r="I138" s="11"/>
      <c r="J138" s="12" t="n">
        <f>0.75*'Расчёт'!$F$40*'Расчёт'!$F$50*('Расчёт'!$K$108+'Расчёт'!$F$41)</f>
        <v>130.20349844851802</v>
      </c>
      <c r="K138" s="12" t="n">
        <f>'Расчёт'!$F$40*'Расчёт'!$F$50*'Расчёт'!$K$108+'Расчёт'!$F$42</f>
        <v>173.46653959802404</v>
      </c>
      <c r="L138" s="11"/>
    </row>
    <row r="139" ht="17" customHeight="1">
      <c r="A139" s="16" t="str">
        <f>'Расчёт'!$A$109</f>
        <v>Обшивка H</v>
      </c>
      <c r="B139" s="4"/>
      <c r="C139" s="4"/>
      <c r="D139" s="12" t="n">
        <f>'Расчёт'!$F$40*'Расчёт'!$F$50*(1+'Расчёт'!$F$86/'Расчёт'!$F$50)*'Расчёт'!$K$109</f>
        <v>148.65996717625123</v>
      </c>
      <c r="E139" s="11"/>
      <c r="F139" s="12" t="n">
        <f>'Расчёт'!$F$40*'Расчёт'!$F$50*('Расчёт'!$K$109+'Расчёт'!$F$39*'Расчёт'!$F$87)</f>
        <v>173.63713124289967</v>
      </c>
      <c r="G139" s="11"/>
      <c r="H139" s="12" t="n">
        <f>'Расчёт'!$F$40*'Расчёт'!$F$50*('Расчёт'!$K$109+'Расчёт'!$F$38*'Расчёт'!$F$88)</f>
        <v>143.74718238575682</v>
      </c>
      <c r="I139" s="11"/>
      <c r="J139" s="12" t="n">
        <f>0.75*'Расчёт'!$F$40*'Расчёт'!$F$50*('Расчёт'!$K$109+'Расчёт'!$F$41)</f>
        <v>114.17536003931761</v>
      </c>
      <c r="K139" s="12" t="n">
        <f>'Расчёт'!$F$40*'Расчёт'!$F$50*'Расчёт'!$K$109+'Расчёт'!$F$42</f>
        <v>152.0956883857568</v>
      </c>
      <c r="L139" s="11"/>
    </row>
    <row r="140" ht="17" customHeight="1">
      <c r="A140" s="16" t="str">
        <f>'Расчёт'!$A$110</f>
        <v>Обшивка I</v>
      </c>
      <c r="B140" s="4"/>
      <c r="C140" s="4"/>
      <c r="D140" s="12" t="n">
        <f>'Расчёт'!$F$40*'Расчёт'!$F$50*(1+'Расчёт'!$F$86/'Расчёт'!$F$50)*'Расчёт'!$K$110</f>
        <v>125.13732602398821</v>
      </c>
      <c r="E140" s="11"/>
      <c r="F140" s="12" t="n">
        <f>'Расчёт'!$F$40*'Расчёт'!$F$50*('Расчёт'!$K$110+'Расчёт'!$F$39*'Расчёт'!$F$87)</f>
        <v>153.52663124289967</v>
      </c>
      <c r="G140" s="11"/>
      <c r="H140" s="12" t="n">
        <f>'Расчёт'!$F$40*'Расчёт'!$F$50*('Расчёт'!$K$110+'Расчёт'!$F$38*'Расчёт'!$F$88)</f>
        <v>123.6366823857568</v>
      </c>
      <c r="I140" s="11"/>
      <c r="J140" s="12" t="n">
        <f>0.75*'Расчёт'!$F$40*'Расчёт'!$F$50*('Расчёт'!$K$110+'Расчёт'!$F$41)</f>
        <v>99.09248503931761</v>
      </c>
      <c r="K140" s="12" t="n">
        <f>'Расчёт'!$F$40*'Расчёт'!$F$50*'Расчёт'!$K$110+'Расчёт'!$F$42</f>
        <v>131.9851883857568</v>
      </c>
      <c r="L140" s="11"/>
    </row>
    <row r="141" ht="17" customHeight="1">
      <c r="A141" s="16" t="str">
        <f>'Расчёт'!$A$111</f>
        <v>Обшивка J</v>
      </c>
      <c r="B141" s="4"/>
      <c r="C141" s="4"/>
      <c r="D141" s="12" t="n">
        <f>'Расчёт'!$F$40*'Расчёт'!$F$50*(1+'Расчёт'!$F$86/'Расчёт'!$F$50)*'Расчёт'!$K$111</f>
        <v>101.61468487172519</v>
      </c>
      <c r="E141" s="11"/>
      <c r="F141" s="12" t="n">
        <f>'Расчёт'!$F$40*'Расчёт'!$F$50*('Расчёт'!$K$111+'Расчёт'!$F$39*'Расчёт'!$F$87)</f>
        <v>133.41613124289967</v>
      </c>
      <c r="G141" s="11"/>
      <c r="H141" s="12" t="n">
        <f>'Расчёт'!$F$40*'Расчёт'!$F$50*('Расчёт'!$K$111+'Расчёт'!$F$38*'Расчёт'!$F$88)</f>
        <v>103.52618238575681</v>
      </c>
      <c r="I141" s="11"/>
      <c r="J141" s="12" t="n">
        <f>0.75*'Расчёт'!$F$40*'Расчёт'!$F$50*('Расчёт'!$K$111+'Расчёт'!$F$41)</f>
        <v>84.00961003931761</v>
      </c>
      <c r="K141" s="12" t="n">
        <f>'Расчёт'!$F$40*'Расчёт'!$F$50*'Расчёт'!$K$111+'Расчёт'!$F$42</f>
        <v>111.8746883857568</v>
      </c>
      <c r="L141" s="11"/>
    </row>
    <row r="142" ht="17" customHeight="1">
      <c r="A142" s="16" t="str">
        <f>'Расчёт'!$A$112</f>
        <v>Обшивка K</v>
      </c>
      <c r="B142" s="4"/>
      <c r="C142" s="4"/>
      <c r="D142" s="12" t="n">
        <f>'Расчёт'!$F$40*'Расчёт'!$F$50*(1+'Расчёт'!$F$86/'Расчёт'!$F$50)*'Расчёт'!$K$112</f>
        <v>78.09204371946214</v>
      </c>
      <c r="E142" s="11"/>
      <c r="F142" s="12" t="n">
        <f>'Расчёт'!$F$40*'Расчёт'!$F$50*('Расчёт'!$K$112+'Расчёт'!$F$39*'Расчёт'!$F$87)</f>
        <v>113.30563124289964</v>
      </c>
      <c r="G142" s="11"/>
      <c r="H142" s="12" t="n">
        <f>'Расчёт'!$F$40*'Расчёт'!$F$50*('Расчёт'!$K$112+'Расчёт'!$F$38*'Расчёт'!$F$88)</f>
        <v>83.4156823857568</v>
      </c>
      <c r="I142" s="11"/>
      <c r="J142" s="12" t="n">
        <f>0.75*'Расчёт'!$F$40*'Расчёт'!$F$50*('Расчёт'!$K$112+'Расчёт'!$F$41)</f>
        <v>68.92673503931759</v>
      </c>
      <c r="K142" s="12" t="n">
        <f>'Расчёт'!$F$40*'Расчёт'!$F$50*'Расчёт'!$K$112+'Расчёт'!$F$42</f>
        <v>91.76418838575678</v>
      </c>
      <c r="L142" s="11"/>
    </row>
    <row r="143" ht="17" customHeight="1">
      <c r="A143" s="16" t="str">
        <f>'Расчёт'!$A$113</f>
        <v>Обшивка L</v>
      </c>
      <c r="B143" s="4"/>
      <c r="C143" s="4"/>
      <c r="D143" s="12" t="n">
        <f>'Расчёт'!$F$40*'Расчёт'!$F$50*(1+'Расчёт'!$F$86/'Расчёт'!$F$50)*'Расчёт'!$K$113</f>
        <v>54.56940256719915</v>
      </c>
      <c r="E143" s="11"/>
      <c r="F143" s="12" t="n">
        <f>'Расчёт'!$F$40*'Расчёт'!$F$50*('Расчёт'!$K$113+'Расчёт'!$F$39*'Расчёт'!$F$87)</f>
        <v>93.19513124289968</v>
      </c>
      <c r="G143" s="11"/>
      <c r="H143" s="12" t="n">
        <f>'Расчёт'!$F$40*'Расчёт'!$F$50*('Расчёт'!$K$113+'Расчёт'!$F$38*'Расчёт'!$F$88)</f>
        <v>63.3051823857568</v>
      </c>
      <c r="I143" s="11"/>
      <c r="J143" s="12" t="n">
        <f>0.75*'Расчёт'!$F$40*'Расчёт'!$F$50*('Расчёт'!$K$113+'Расчёт'!$F$41)</f>
        <v>53.843860039317605</v>
      </c>
      <c r="K143" s="12" t="n">
        <f>'Расчёт'!$F$40*'Расчёт'!$F$50*'Расчёт'!$K$113+'Расчёт'!$F$42</f>
        <v>71.6536883857568</v>
      </c>
      <c r="L143" s="11"/>
    </row>
    <row r="144" ht="17" customHeight="1">
      <c r="A144" s="16" t="str">
        <f>'Расчёт'!$A$114</f>
        <v>Обшивка M</v>
      </c>
      <c r="B144" s="4"/>
      <c r="C144" s="4"/>
      <c r="D144" s="12" t="n">
        <f>'Расчёт'!$F$40*'Расчёт'!$F$50*(1+'Расчёт'!$F$86/'Расчёт'!$F$50)*'Расчёт'!$K$114</f>
        <v>36.89879962807432</v>
      </c>
      <c r="E144" s="11"/>
      <c r="F144" s="12" t="n">
        <f>'Расчёт'!$F$40*'Расчёт'!$F$50*('Расчёт'!$K$114+'Расчёт'!$F$39*'Расчёт'!$F$87)</f>
        <v>78.08778602146047</v>
      </c>
      <c r="G144" s="11"/>
      <c r="H144" s="12" t="n">
        <f>'Расчёт'!$F$40*'Расчёт'!$F$50*('Расчёт'!$K$114+'Расчёт'!$F$38*'Расчёт'!$F$88)</f>
        <v>48.197837164317605</v>
      </c>
      <c r="I144" s="11"/>
      <c r="J144" s="12" t="n">
        <f>0.75*'Расчёт'!$F$40*'Расчёт'!$F$50*('Расчёт'!$K$114+'Расчёт'!$F$41)</f>
        <v>42.51335112323821</v>
      </c>
      <c r="K144" s="12" t="n">
        <f>'Расчёт'!$F$40*'Расчёт'!$F$50*'Расчёт'!$K$114+'Расчёт'!$F$42</f>
        <v>56.546343164317605</v>
      </c>
      <c r="L144" s="11"/>
    </row>
    <row r="145" ht="17" customHeight="1">
      <c r="A145" s="16" t="str">
        <f>'Расчёт'!$A$115</f>
        <v>Обшивка N</v>
      </c>
      <c r="B145" s="4"/>
      <c r="C145" s="4"/>
      <c r="D145" s="12" t="n">
        <f>'Расчёт'!$F$40*'Расчёт'!$F$50*(1+'Расчёт'!$F$86/'Расчёт'!$F$50)*'Расчёт'!$K$115</f>
        <v>25.080234902087682</v>
      </c>
      <c r="E145" s="11"/>
      <c r="F145" s="12" t="n">
        <f>'Расчёт'!$F$40*'Расчёт'!$F$50*('Расчёт'!$K$115+'Расчёт'!$F$39*'Расчёт'!$F$87)</f>
        <v>67.98359557858205</v>
      </c>
      <c r="G145" s="11"/>
      <c r="H145" s="12" t="n">
        <f>'Расчёт'!$F$40*'Расчёт'!$F$50*('Расчёт'!$K$115+'Расчёт'!$F$38*'Расчёт'!$F$88)</f>
        <v>38.0936467214392</v>
      </c>
      <c r="I145" s="11"/>
      <c r="J145" s="12" t="n">
        <f>0.75*'Расчёт'!$F$40*'Расчёт'!$F$50*('Расчёт'!$K$115+'Расчёт'!$F$41)</f>
        <v>34.935208291079405</v>
      </c>
      <c r="K145" s="12" t="n">
        <f>'Расчёт'!$F$40*'Расчёт'!$F$50*'Расчёт'!$K$115+'Расчёт'!$F$42</f>
        <v>46.4421527214392</v>
      </c>
      <c r="L145" s="11"/>
    </row>
    <row r="146" ht="17" customHeight="1">
      <c r="A146" s="16" t="str">
        <f>'Расчёт'!$A$116</f>
        <v>Обшивка SH</v>
      </c>
      <c r="B146" s="4"/>
      <c r="C146" s="4"/>
      <c r="D146" s="12" t="n">
        <f>'Расчёт'!$F$40*'Расчёт'!$F$50*(1+'Расчёт'!$F$86/'Расчёт'!$F$50)*'Расчёт'!$K$116</f>
        <v>10.055929092592446</v>
      </c>
      <c r="E146" s="11"/>
      <c r="F146" s="12" t="n">
        <f>'Расчёт'!$F$40*'Расчёт'!$F$50*('Расчёт'!$K$116+'Расчёт'!$F$39*'Расчёт'!$F$87)</f>
        <v>55.138681607142864</v>
      </c>
      <c r="G146" s="11"/>
      <c r="H146" s="12" t="n">
        <f>'Расчёт'!$F$40*'Расчёт'!$F$50*('Расчёт'!$K$116+'Расчёт'!$F$38*'Расчёт'!$F$88)</f>
        <v>25.24873275</v>
      </c>
      <c r="I146" s="11"/>
      <c r="J146" s="12" t="n">
        <f>0.75*'Расчёт'!$F$40*'Расчёт'!$F$50*('Расчёт'!$K$116+'Расчёт'!$F$41)</f>
        <v>25.301522812500004</v>
      </c>
      <c r="K146" s="12" t="n">
        <f>'Расчёт'!$F$40*'Расчёт'!$F$50*'Расчёт'!$K$116+'Расчёт'!$F$42</f>
        <v>33.59723875</v>
      </c>
      <c r="L146" s="11"/>
    </row>
    <row r="147" ht="17" customHeight="1">
      <c r="A147" s="16" t="str">
        <f>'Расчёт'!$A$117</f>
        <v>ISG</v>
      </c>
      <c r="B147" s="4"/>
      <c r="C147" s="4"/>
      <c r="D147" s="12" t="n">
        <f>'Расчёт'!$F$40*'Расчёт'!$F$50*(1+'Расчёт'!$F$86/'Расчёт'!$F$50)*'Расчёт'!$K$117</f>
        <v>150.3096769629607</v>
      </c>
      <c r="E147" s="11"/>
      <c r="F147" s="12" t="n">
        <f>'Расчёт'!$F$40*'Расчёт'!$F$50*('Расчёт'!$K$117+'Расчёт'!$F$39*'Расчёт'!$F$87)</f>
        <v>175.04753785714286</v>
      </c>
      <c r="G147" s="11"/>
      <c r="H147" s="12" t="n">
        <f>'Расчёт'!$F$40*'Расчёт'!$F$50*('Расчёт'!$K$117+'Расчёт'!$F$38*'Расчёт'!$F$88)</f>
        <v>145.157589</v>
      </c>
      <c r="I147" s="11"/>
      <c r="J147" s="12" t="n">
        <f>0.75*'Расчёт'!$F$40*'Расчёт'!$F$50*('Расчёт'!$K$117+'Расчёт'!$F$41)</f>
        <v>115.233165</v>
      </c>
      <c r="K147" s="12" t="n">
        <f>'Расчёт'!$F$40*'Расчёт'!$F$50*'Расчёт'!$K$117+'Расчёт'!$F$42</f>
        <v>153.506095</v>
      </c>
      <c r="L147" s="11"/>
    </row>
    <row r="148" ht="17" customHeight="1">
      <c r="A148" s="16" t="str">
        <f>'Расчёт'!$A$118</f>
        <v>ISF</v>
      </c>
      <c r="B148" s="4"/>
      <c r="C148" s="4"/>
      <c r="D148" s="12" t="n">
        <f>'Расчёт'!$F$40*'Расчёт'!$F$50*(1+'Расчёт'!$F$86/'Расчёт'!$F$50)*'Расчёт'!$K$118</f>
        <v>126.78703581069769</v>
      </c>
      <c r="E148" s="11"/>
      <c r="F148" s="12" t="n">
        <f>'Расчёт'!$F$40*'Расчёт'!$F$50*('Расчёт'!$K$118+'Расчёт'!$F$39*'Расчёт'!$F$87)</f>
        <v>154.93703785714285</v>
      </c>
      <c r="G148" s="11"/>
      <c r="H148" s="12" t="n">
        <f>'Расчёт'!$F$40*'Расчёт'!$F$50*('Расчёт'!$K$118+'Расчёт'!$F$38*'Расчёт'!$F$88)</f>
        <v>125.047089</v>
      </c>
      <c r="I148" s="11"/>
      <c r="J148" s="12" t="n">
        <f>0.75*'Расчёт'!$F$40*'Расчёт'!$F$50*('Расчёт'!$K$118+'Расчёт'!$F$41)</f>
        <v>100.15029000000001</v>
      </c>
      <c r="K148" s="12" t="n">
        <f>'Расчёт'!$F$40*'Расчёт'!$F$50*'Расчёт'!$K$118+'Расчёт'!$F$42</f>
        <v>133.39559500000001</v>
      </c>
      <c r="L148" s="11"/>
    </row>
    <row r="149" ht="17" customHeight="1">
      <c r="A149" s="16" t="str">
        <f>'Расчёт'!$A$119</f>
        <v>ISE</v>
      </c>
      <c r="B149" s="4"/>
      <c r="C149" s="4"/>
      <c r="D149" s="12" t="n">
        <f>'Расчёт'!$F$40*'Расчёт'!$F$50*(1+'Расчёт'!$F$86/'Расчёт'!$F$50)*'Расчёт'!$K$119</f>
        <v>103.26439465843467</v>
      </c>
      <c r="E149" s="11"/>
      <c r="F149" s="12" t="n">
        <f>'Расчёт'!$F$40*'Расчёт'!$F$50*('Расчёт'!$K$119+'Расчёт'!$F$39*'Расчёт'!$F$87)</f>
        <v>134.82653785714288</v>
      </c>
      <c r="G149" s="11"/>
      <c r="H149" s="12" t="n">
        <f>'Расчёт'!$F$40*'Расчёт'!$F$50*('Расчёт'!$K$119+'Расчёт'!$F$38*'Расчёт'!$F$88)</f>
        <v>104.93658900000001</v>
      </c>
      <c r="I149" s="11"/>
      <c r="J149" s="12" t="n">
        <f>0.75*'Расчёт'!$F$40*'Расчёт'!$F$50*('Расчёт'!$K$119+'Расчёт'!$F$41)</f>
        <v>85.06741500000001</v>
      </c>
      <c r="K149" s="12" t="n">
        <f>'Расчёт'!$F$40*'Расчёт'!$F$50*'Расчёт'!$K$119+'Расчёт'!$F$42</f>
        <v>113.285095</v>
      </c>
      <c r="L149" s="11"/>
    </row>
    <row r="150" ht="17" customHeight="1">
      <c r="A150" s="16" t="str">
        <f>'Расчёт'!$A$120</f>
        <v>ISD</v>
      </c>
      <c r="B150" s="4"/>
      <c r="C150" s="4"/>
      <c r="D150" s="12" t="n">
        <f>'Расчёт'!$F$40*'Расчёт'!$F$50*(1+'Расчёт'!$F$86/'Расчёт'!$F$50)*'Расчёт'!$K$120</f>
        <v>79.74175350617163</v>
      </c>
      <c r="E150" s="11"/>
      <c r="F150" s="12" t="n">
        <f>'Расчёт'!$F$40*'Расчёт'!$F$50*('Расчёт'!$K$120+'Расчёт'!$F$39*'Расчёт'!$F$87)</f>
        <v>114.71603785714284</v>
      </c>
      <c r="G150" s="11"/>
      <c r="H150" s="12" t="n">
        <f>'Расчёт'!$F$40*'Расчёт'!$F$50*('Расчёт'!$K$120+'Расчёт'!$F$38*'Расчёт'!$F$88)</f>
        <v>84.826089</v>
      </c>
      <c r="I150" s="11"/>
      <c r="J150" s="12" t="n">
        <f>0.75*'Расчёт'!$F$40*'Расчёт'!$F$50*('Расчёт'!$K$120+'Расчёт'!$F$41)</f>
        <v>69.98454</v>
      </c>
      <c r="K150" s="12" t="n">
        <f>'Расчёт'!$F$40*'Расчёт'!$F$50*'Расчёт'!$K$120+'Расчёт'!$F$42</f>
        <v>93.17459499999998</v>
      </c>
      <c r="L150" s="11"/>
    </row>
    <row r="151" ht="17" customHeight="1">
      <c r="A151" s="16" t="str">
        <f>'Расчёт'!$A$121</f>
        <v>ISC</v>
      </c>
      <c r="B151" s="4"/>
      <c r="C151" s="4"/>
      <c r="D151" s="12" t="n">
        <f>'Расчёт'!$F$40*'Расчёт'!$F$50*(1+'Расчёт'!$F$86/'Расчёт'!$F$50)*'Расчёт'!$K$121</f>
        <v>56.21911235390861</v>
      </c>
      <c r="E151" s="11"/>
      <c r="F151" s="12" t="n">
        <f>'Расчёт'!$F$40*'Расчёт'!$F$50*('Расчёт'!$K$121+'Расчёт'!$F$39*'Расчёт'!$F$87)</f>
        <v>94.60553785714283</v>
      </c>
      <c r="G151" s="11"/>
      <c r="H151" s="12" t="n">
        <f>'Расчёт'!$F$40*'Расчёт'!$F$50*('Расчёт'!$K$121+'Расчёт'!$F$38*'Расчёт'!$F$88)</f>
        <v>64.71558899999998</v>
      </c>
      <c r="I151" s="11"/>
      <c r="J151" s="12" t="n">
        <f>0.75*'Расчёт'!$F$40*'Расчёт'!$F$50*('Расчёт'!$K$121+'Расчёт'!$F$41)</f>
        <v>54.901664999999994</v>
      </c>
      <c r="K151" s="12" t="n">
        <f>'Расчёт'!$F$40*'Расчёт'!$F$50*'Расчёт'!$K$121+'Расчёт'!$F$42</f>
        <v>73.06409499999998</v>
      </c>
      <c r="L151" s="11"/>
    </row>
    <row r="152" ht="17" customHeight="1">
      <c r="A152" s="16" t="str">
        <f>'Расчёт'!$A$122</f>
        <v>ISB</v>
      </c>
      <c r="B152" s="4"/>
      <c r="C152" s="4"/>
      <c r="D152" s="12" t="n">
        <f>'Расчёт'!$F$40*'Расчёт'!$F$50*(1+'Расчёт'!$F$86/'Расчёт'!$F$50)*'Расчёт'!$K$122</f>
        <v>32.69647120164559</v>
      </c>
      <c r="E152" s="11"/>
      <c r="F152" s="12" t="n">
        <f>'Расчёт'!$F$40*'Расчёт'!$F$50*('Расчёт'!$K$122+'Расчёт'!$F$39*'Расчёт'!$F$87)</f>
        <v>74.49503785714285</v>
      </c>
      <c r="G152" s="11"/>
      <c r="H152" s="12" t="n">
        <f>'Расчёт'!$F$40*'Расчёт'!$F$50*('Расчёт'!$K$122+'Расчёт'!$F$38*'Расчёт'!$F$88)</f>
        <v>44.605088999999985</v>
      </c>
      <c r="I152" s="11"/>
      <c r="J152" s="12" t="n">
        <f>0.75*'Расчёт'!$F$40*'Расчёт'!$F$50*('Расчёт'!$K$122+'Расчёт'!$F$41)</f>
        <v>39.81878999999999</v>
      </c>
      <c r="K152" s="12" t="n">
        <f>'Расчёт'!$F$40*'Расчёт'!$F$50*'Расчёт'!$K$122+'Расчёт'!$F$42</f>
        <v>52.95359499999999</v>
      </c>
      <c r="L152" s="11"/>
    </row>
    <row r="153" ht="17" customHeight="1">
      <c r="A153" s="16" t="str">
        <f>'Расчёт'!$A$123</f>
        <v>ISA</v>
      </c>
      <c r="B153" s="4"/>
      <c r="C153" s="4"/>
      <c r="D153" s="12" t="n">
        <f>'Расчёт'!$F$40*'Расчёт'!$F$50*(1+'Расчёт'!$F$86/'Расчёт'!$F$50)*'Расчёт'!$K$123</f>
        <v>10.46757531275705</v>
      </c>
      <c r="E153" s="11"/>
      <c r="F153" s="12" t="n">
        <f>'Расчёт'!$F$40*'Расчёт'!$F$50*('Расчёт'!$K$123+'Расчёт'!$F$39*'Расчёт'!$F$87)</f>
        <v>55.490615357142865</v>
      </c>
      <c r="G153" s="11"/>
      <c r="H153" s="12" t="n">
        <f>'Расчёт'!$F$40*'Расчёт'!$F$50*('Расчёт'!$K$123+'Расчёт'!$F$38*'Расчёт'!$F$88)</f>
        <v>25.6006665</v>
      </c>
      <c r="I153" s="11"/>
      <c r="J153" s="12" t="n">
        <f>0.75*'Расчёт'!$F$40*'Расчёт'!$F$50*('Расчёт'!$K$123+'Расчёт'!$F$41)</f>
        <v>25.565473125000004</v>
      </c>
      <c r="K153" s="12" t="n">
        <f>'Расчёт'!$F$40*'Расчёт'!$F$50*'Расчёт'!$K$123+'Расчёт'!$F$42</f>
        <v>33.9491725</v>
      </c>
      <c r="L153" s="11"/>
    </row>
    <row r="154" ht="17" customHeight="1">
      <c r="A154" s="16" t="str">
        <f>'Расчёт'!$A$124</f>
        <v>OF1</v>
      </c>
      <c r="B154" s="4"/>
      <c r="C154" s="4"/>
      <c r="D154" s="12" t="n">
        <f>'Расчёт'!$F$40*'Расчёт'!$F$50*(1+'Расчёт'!$F$86/'Расчёт'!$F$50)*'Расчёт'!$K$124</f>
        <v>142.07675255966865</v>
      </c>
      <c r="E154" s="11"/>
      <c r="F154" s="12" t="n">
        <f>'Расчёт'!$F$40*'Расчёт'!$F$50*('Расчёт'!$K$124+'Расчёт'!$F$39*'Расчёт'!$F$87)</f>
        <v>168.00886285714284</v>
      </c>
      <c r="G154" s="11"/>
      <c r="H154" s="12" t="n">
        <f>'Расчёт'!$F$40*'Расчёт'!$F$50*('Расчёт'!$K$124+'Расчёт'!$F$38*'Расчёт'!$F$88)</f>
        <v>138.118914</v>
      </c>
      <c r="I154" s="11"/>
      <c r="J154" s="12" t="n">
        <f>0.75*'Расчёт'!$F$40*'Расчёт'!$F$50*('Расчёт'!$K$124+'Расчёт'!$F$41)</f>
        <v>109.95415874999999</v>
      </c>
      <c r="K154" s="12" t="n">
        <f>'Расчёт'!$F$40*'Расчёт'!$F$50*'Расчёт'!$K$124+'Расчёт'!$F$42</f>
        <v>146.46742</v>
      </c>
      <c r="L154" s="11"/>
    </row>
    <row r="155" ht="17" customHeight="1">
      <c r="A155" s="16" t="str">
        <f>'Расчёт'!$A$125</f>
        <v>OF2</v>
      </c>
      <c r="B155" s="4"/>
      <c r="C155" s="4"/>
      <c r="D155" s="12" t="n">
        <f>'Расчёт'!$F$40*'Расчёт'!$F$50*(1+'Расчёт'!$F$86/'Расчёт'!$F$50)*'Расчёт'!$K$125</f>
        <v>102.08826260082151</v>
      </c>
      <c r="E155" s="11"/>
      <c r="F155" s="12" t="n">
        <f>'Расчёт'!$F$40*'Расчёт'!$F$50*('Расчёт'!$K$125+'Расчёт'!$F$39*'Расчёт'!$F$87)</f>
        <v>133.82101285714285</v>
      </c>
      <c r="G155" s="11"/>
      <c r="H155" s="12" t="n">
        <f>'Расчёт'!$F$40*'Расчёт'!$F$50*('Расчёт'!$K$125+'Расчёт'!$F$38*'Расчёт'!$F$88)</f>
        <v>103.93106399999999</v>
      </c>
      <c r="I155" s="11"/>
      <c r="J155" s="12" t="n">
        <f>0.75*'Расчёт'!$F$40*'Расчёт'!$F$50*('Расчёт'!$K$125+'Расчёт'!$F$41)</f>
        <v>84.31327125</v>
      </c>
      <c r="K155" s="12" t="n">
        <f>'Расчёт'!$F$40*'Расчёт'!$F$50*'Расчёт'!$K$125+'Расчёт'!$F$42</f>
        <v>112.27956999999999</v>
      </c>
      <c r="L155" s="11"/>
    </row>
    <row r="156" ht="17" customHeight="1">
      <c r="A156" s="16" t="str">
        <f>'Расчёт'!$A$126</f>
        <v>OF3</v>
      </c>
      <c r="B156" s="4"/>
      <c r="C156" s="4"/>
      <c r="D156" s="12" t="n">
        <f>'Расчёт'!$F$40*'Расчёт'!$F$50*(1+'Расчёт'!$F$86/'Расчёт'!$F$50)*'Расчёт'!$K$126</f>
        <v>62.09977264197437</v>
      </c>
      <c r="E156" s="11"/>
      <c r="F156" s="12" t="n">
        <f>'Расчёт'!$F$40*'Расчёт'!$F$50*('Расчёт'!$K$126+'Расчёт'!$F$39*'Расчёт'!$F$87)</f>
        <v>99.63316285714284</v>
      </c>
      <c r="G156" s="11"/>
      <c r="H156" s="12" t="n">
        <f>'Расчёт'!$F$40*'Расчёт'!$F$50*('Расчёт'!$K$126+'Расчёт'!$F$38*'Расчёт'!$F$88)</f>
        <v>69.74321399999998</v>
      </c>
      <c r="I156" s="11"/>
      <c r="J156" s="12" t="n">
        <f>0.75*'Расчёт'!$F$40*'Расчёт'!$F$50*('Расчёт'!$K$126+'Расчёт'!$F$41)</f>
        <v>58.672383749999995</v>
      </c>
      <c r="K156" s="12" t="n">
        <f>'Расчёт'!$F$40*'Расчёт'!$F$50*'Расчёт'!$K$126+'Расчёт'!$F$42</f>
        <v>78.09171999999998</v>
      </c>
      <c r="L156" s="11"/>
    </row>
    <row r="157" ht="17" customHeight="1">
      <c r="A157" s="16" t="str">
        <f>'Расчёт'!$A$127</f>
        <v>OF4</v>
      </c>
      <c r="B157" s="4"/>
      <c r="C157" s="4"/>
      <c r="D157" s="12" t="n">
        <f>'Расчёт'!$F$40*'Расчёт'!$F$50*(1+'Расчёт'!$F$86/'Расчёт'!$F$50)*'Расчёт'!$K$127</f>
        <v>21.523216654320663</v>
      </c>
      <c r="E157" s="11"/>
      <c r="F157" s="12" t="n">
        <f>'Расчёт'!$F$40*'Расчёт'!$F$50*('Расчёт'!$K$127+'Расчёт'!$F$39*'Расчёт'!$F$87)</f>
        <v>64.94255035714286</v>
      </c>
      <c r="G157" s="11"/>
      <c r="H157" s="12" t="n">
        <f>'Расчёт'!$F$40*'Расчёт'!$F$50*('Расчёт'!$K$127+'Расчёт'!$F$38*'Расчёт'!$F$88)</f>
        <v>35.052601499999994</v>
      </c>
      <c r="I157" s="11"/>
      <c r="J157" s="12" t="n">
        <f>0.75*'Расчёт'!$F$40*'Расчёт'!$F$50*('Расчёт'!$K$127+'Расчёт'!$F$41)</f>
        <v>32.654424375</v>
      </c>
      <c r="K157" s="12" t="n">
        <f>'Расчёт'!$F$40*'Расчёт'!$F$50*'Расчёт'!$K$127+'Расчёт'!$F$42</f>
        <v>43.401107499999995</v>
      </c>
      <c r="L157" s="11"/>
    </row>
    <row r="158" ht="17" customHeight="1">
      <c r="A158" s="16" t="str">
        <f>'Расчёт'!$A$128</f>
        <v>IF1</v>
      </c>
      <c r="B158" s="4"/>
      <c r="C158" s="4"/>
      <c r="D158" s="12" t="n">
        <f>'Расчёт'!$F$40*'Расчёт'!$F$50*(1+'Расчёт'!$F$86/'Расчёт'!$F$50)*'Расчёт'!$K$128</f>
        <v>142.07675255966865</v>
      </c>
      <c r="E158" s="11"/>
      <c r="F158" s="12" t="n">
        <f>'Расчёт'!$F$40*'Расчёт'!$F$50*('Расчёт'!$K$128+'Расчёт'!$F$39*'Расчёт'!$F$87)</f>
        <v>168.00886285714284</v>
      </c>
      <c r="G158" s="11"/>
      <c r="H158" s="12" t="n">
        <f>'Расчёт'!$F$40*'Расчёт'!$F$50*('Расчёт'!$K$128+'Расчёт'!$F$38*'Расчёт'!$F$88)</f>
        <v>138.118914</v>
      </c>
      <c r="I158" s="11"/>
      <c r="J158" s="12" t="n">
        <f>0.75*'Расчёт'!$F$40*'Расчёт'!$F$50*('Расчёт'!$K$128+'Расчёт'!$F$41)</f>
        <v>109.95415874999999</v>
      </c>
      <c r="K158" s="12" t="n">
        <f>'Расчёт'!$F$40*'Расчёт'!$F$50*'Расчёт'!$K$128+'Расчёт'!$F$42</f>
        <v>146.46742</v>
      </c>
      <c r="L158" s="11"/>
    </row>
    <row r="159" ht="17" customHeight="1">
      <c r="A159" s="16" t="str">
        <f>'Расчёт'!$A$129</f>
        <v>IF2</v>
      </c>
      <c r="B159" s="4"/>
      <c r="C159" s="4"/>
      <c r="D159" s="12" t="n">
        <f>'Расчёт'!$F$40*'Расчёт'!$F$50*(1+'Расчёт'!$F$86/'Расчёт'!$F$50)*'Расчёт'!$K$129</f>
        <v>102.08826260082151</v>
      </c>
      <c r="E159" s="11"/>
      <c r="F159" s="12" t="n">
        <f>'Расчёт'!$F$40*'Расчёт'!$F$50*('Расчёт'!$K$129+'Расчёт'!$F$39*'Расчёт'!$F$87)</f>
        <v>133.82101285714285</v>
      </c>
      <c r="G159" s="11"/>
      <c r="H159" s="12" t="n">
        <f>'Расчёт'!$F$40*'Расчёт'!$F$50*('Расчёт'!$K$129+'Расчёт'!$F$38*'Расчёт'!$F$88)</f>
        <v>103.93106399999999</v>
      </c>
      <c r="I159" s="11"/>
      <c r="J159" s="12" t="n">
        <f>0.75*'Расчёт'!$F$40*'Расчёт'!$F$50*('Расчёт'!$K$129+'Расчёт'!$F$41)</f>
        <v>84.31327125</v>
      </c>
      <c r="K159" s="12" t="n">
        <f>'Расчёт'!$F$40*'Расчёт'!$F$50*'Расчёт'!$K$129+'Расчёт'!$F$42</f>
        <v>112.27956999999999</v>
      </c>
      <c r="L159" s="11"/>
    </row>
    <row r="160" ht="17" customHeight="1">
      <c r="A160" s="16" t="str">
        <f>'Расчёт'!$A$130</f>
        <v>IF3</v>
      </c>
      <c r="B160" s="4"/>
      <c r="C160" s="4"/>
      <c r="D160" s="12" t="n">
        <f>'Расчёт'!$F$40*'Расчёт'!$F$50*(1+'Расчёт'!$F$86/'Расчёт'!$F$50)*'Расчёт'!$K$130</f>
        <v>62.09977264197437</v>
      </c>
      <c r="E160" s="11"/>
      <c r="F160" s="12" t="n">
        <f>'Расчёт'!$F$40*'Расчёт'!$F$50*('Расчёт'!$K$130+'Расчёт'!$F$39*'Расчёт'!$F$87)</f>
        <v>99.63316285714284</v>
      </c>
      <c r="G160" s="11"/>
      <c r="H160" s="12" t="n">
        <f>'Расчёт'!$F$40*'Расчёт'!$F$50*('Расчёт'!$K$130+'Расчёт'!$F$38*'Расчёт'!$F$88)</f>
        <v>69.74321399999998</v>
      </c>
      <c r="I160" s="11"/>
      <c r="J160" s="12" t="n">
        <f>0.75*'Расчёт'!$F$40*'Расчёт'!$F$50*('Расчёт'!$K$130+'Расчёт'!$F$41)</f>
        <v>58.672383749999995</v>
      </c>
      <c r="K160" s="12" t="n">
        <f>'Расчёт'!$F$40*'Расчёт'!$F$50*'Расчёт'!$K$130+'Расчёт'!$F$42</f>
        <v>78.09171999999998</v>
      </c>
      <c r="L160" s="11"/>
    </row>
    <row r="161" ht="17" customHeight="1">
      <c r="A161" s="16" t="str">
        <f>'Расчёт'!$A$131</f>
        <v>IF4</v>
      </c>
      <c r="B161" s="4"/>
      <c r="C161" s="4"/>
      <c r="D161" s="12" t="n">
        <f>'Расчёт'!$F$40*'Расчёт'!$F$50*(1+'Расчёт'!$F$86/'Расчёт'!$F$50)*'Расчёт'!$K$131</f>
        <v>21.052763831275414</v>
      </c>
      <c r="E161" s="11"/>
      <c r="F161" s="12" t="n">
        <f>'Расчёт'!$F$40*'Расчёт'!$F$50*('Расчёт'!$K$131+'Расчёт'!$F$39*'Расчёт'!$F$87)</f>
        <v>64.54034035714287</v>
      </c>
      <c r="G161" s="11"/>
      <c r="H161" s="12" t="n">
        <f>'Расчёт'!$F$40*'Расчёт'!$F$50*('Расчёт'!$K$131+'Расчёт'!$F$38*'Расчёт'!$F$88)</f>
        <v>34.650391500000005</v>
      </c>
      <c r="I161" s="11"/>
      <c r="J161" s="12" t="n">
        <f>0.75*'Расчёт'!$F$40*'Расчёт'!$F$50*('Расчёт'!$K$131+'Расчёт'!$F$41)</f>
        <v>32.35276687500001</v>
      </c>
      <c r="K161" s="12" t="n">
        <f>'Расчёт'!$F$40*'Расчёт'!$F$50*'Расчёт'!$K$131+'Расчёт'!$F$42</f>
        <v>42.99889750000001</v>
      </c>
      <c r="L161" s="11"/>
    </row>
    <row r="162" ht="25" customHeight="1">
      <c r="A162" s="7" t="str">
        <v>Расчётные давления для обшивки и шпангоутов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42" customHeight="1">
      <c r="A163" s="10" t="str">
        <v>Марка</v>
      </c>
      <c r="B163" s="10"/>
      <c r="C163" s="10"/>
      <c r="D163" s="10" t="str">
        <v>p внутренних</v>
      </c>
      <c r="E163" s="10"/>
      <c r="F163" s="10" t="str">
        <v>p обшивки</v>
      </c>
      <c r="G163" s="10"/>
      <c r="H163" s="10" t="str">
        <v>pmin шпан.</v>
      </c>
      <c r="I163" s="10"/>
      <c r="J163" s="10" t="str">
        <v>p шпан. (предв.), кПа</v>
      </c>
      <c r="K163" s="10" t="str">
        <v>Ед. кПа</v>
      </c>
      <c r="L163" s="10"/>
    </row>
    <row r="164" ht="17" customHeight="1">
      <c r="A164" s="16" t="str">
        <f>'Расчёт'!$A$104</f>
        <v>Днище</v>
      </c>
      <c r="B164" s="4"/>
      <c r="C164" s="4"/>
      <c r="D164" s="12" t="n">
        <f>MAX('Расчёт'!$L$224,'Расчёт'!$L$225,'Расчёт'!$L$226)</f>
        <v>203.20223785714285</v>
      </c>
      <c r="E164" s="11"/>
      <c r="F164" s="12" t="n">
        <f>MAX('Расчёт'!$J$224,'Расчёт'!$J$225,'Расчёт'!$J$226)</f>
        <v>166.57156189651178</v>
      </c>
      <c r="G164" s="11"/>
      <c r="H164" s="12" t="n">
        <f>MAX(0,10*('Расчёт'!$F$23-'Расчёт'!$D$104)+0.15*'Расчёт'!$F$20+10)</f>
        <v>126.5</v>
      </c>
      <c r="I164" s="11"/>
      <c r="J164" s="12" t="n">
        <f>MAX('Расчёт'!$F$164,'Расчёт'!$H$164)</f>
        <v>166.57156189651178</v>
      </c>
      <c r="K164" s="4"/>
      <c r="L164" s="4"/>
    </row>
    <row r="165" ht="17" customHeight="1">
      <c r="A165" s="16" t="str">
        <f>'Расчёт'!$A$105</f>
        <v>Второе дно</v>
      </c>
      <c r="B165" s="4"/>
      <c r="C165" s="4"/>
      <c r="D165" s="12" t="n">
        <f>MAX('Расчёт'!$L$227,'Расчёт'!$L$228,'Расчёт'!$L$229)</f>
        <v>185.10278785714283</v>
      </c>
      <c r="E165" s="11"/>
      <c r="F165" s="12" t="n">
        <f>MAX('Расчёт'!$J$227,'Расчёт'!$J$228,'Расчёт'!$J$229)</f>
        <v>171.28506855068457</v>
      </c>
      <c r="G165" s="11"/>
      <c r="H165" s="12" t="n">
        <f>MAX(0,10*('Расчёт'!$F$23-'Расчёт'!$D$105)+0.15*'Расчёт'!$F$20+10)</f>
        <v>108.5</v>
      </c>
      <c r="I165" s="11"/>
      <c r="J165" s="12" t="n">
        <f>MAX('Расчёт'!$F$165,'Расчёт'!$H$165)</f>
        <v>171.28506855068457</v>
      </c>
      <c r="K165" s="4"/>
      <c r="L165" s="4"/>
    </row>
    <row r="166" ht="17" customHeight="1">
      <c r="A166" s="16" t="str">
        <f>'Расчёт'!$A$106</f>
        <v>Верхняя палуба</v>
      </c>
      <c r="B166" s="4"/>
      <c r="C166" s="4"/>
      <c r="D166" s="12" t="n">
        <f>MAX('Расчёт'!$L$230,'Расчёт'!$L$231,'Расчёт'!$L$232)</f>
        <v>47.345862857142855</v>
      </c>
      <c r="E166" s="11"/>
      <c r="F166" s="12" t="n">
        <f>MAX('Расчёт'!$J$230,'Расчёт'!$J$231,'Расчёт'!$J$232)</f>
        <v>47.345862857142855</v>
      </c>
      <c r="G166" s="11"/>
      <c r="H166" s="12" t="n">
        <f>MAX(0,10*('Расчёт'!$F$23-'Расчёт'!$D$106)+0.15*'Расчёт'!$F$20+10)</f>
        <v>0</v>
      </c>
      <c r="I166" s="11"/>
      <c r="J166" s="12" t="n">
        <f>MAX('Расчёт'!$F$166,'Расчёт'!$H$166)</f>
        <v>47.345862857142855</v>
      </c>
      <c r="K166" s="4"/>
      <c r="L166" s="4"/>
    </row>
    <row r="167" ht="17" customHeight="1">
      <c r="A167" s="16" t="str">
        <f>'Расчёт'!$A$107</f>
        <v>Обшивка F</v>
      </c>
      <c r="B167" s="4"/>
      <c r="C167" s="4"/>
      <c r="D167" s="12" t="n">
        <f>MAX('Расчёт'!$L$233,'Расчёт'!$L$234,'Расчёт'!$L$235)</f>
        <v>203.20223785714285</v>
      </c>
      <c r="E167" s="11"/>
      <c r="F167" s="12" t="n">
        <f>MAX('Расчёт'!$J$233,'Расчёт'!$J$234,'Расчёт'!$J$235)</f>
        <v>167.13305003737298</v>
      </c>
      <c r="G167" s="11"/>
      <c r="H167" s="12" t="n">
        <f>MAX(0,10*('Расчёт'!$F$23-'Расчёт'!$D$107)+0.15*'Расчёт'!$F$20+10)</f>
        <v>125.7784421846553</v>
      </c>
      <c r="I167" s="11"/>
      <c r="J167" s="12" t="n">
        <f>MAX('Расчёт'!$F$167,'Расчёт'!$H$167)</f>
        <v>167.13305003737298</v>
      </c>
      <c r="K167" s="4"/>
      <c r="L167" s="4"/>
    </row>
    <row r="168" ht="17" customHeight="1">
      <c r="A168" s="16" t="str">
        <f>'Расчёт'!$A$108</f>
        <v>Обшивка G</v>
      </c>
      <c r="B168" s="4"/>
      <c r="C168" s="4"/>
      <c r="D168" s="12" t="n">
        <f>MAX('Расчёт'!$L$236,'Расчёт'!$L$237,'Расчёт'!$L$238)</f>
        <v>201.04617289813544</v>
      </c>
      <c r="E168" s="11"/>
      <c r="F168" s="12" t="n">
        <f>MAX('Расчёт'!$J$236,'Расчёт'!$J$237,'Расчёт'!$J$238)</f>
        <v>171.6523703726363</v>
      </c>
      <c r="G168" s="11"/>
      <c r="H168" s="12" t="n">
        <f>MAX(0,10*('Расчёт'!$F$23-'Расчёт'!$D$108)+0.15*'Расчёт'!$F$20+10)</f>
        <v>118.35076909875343</v>
      </c>
      <c r="I168" s="11"/>
      <c r="J168" s="12" t="n">
        <f>MAX('Расчёт'!$F$168,'Расчёт'!$H$168)</f>
        <v>171.6523703726363</v>
      </c>
      <c r="K168" s="4"/>
      <c r="L168" s="4"/>
    </row>
    <row r="169" ht="17" customHeight="1">
      <c r="A169" s="16" t="str">
        <f>'Расчёт'!$A$109</f>
        <v>Обшивка H</v>
      </c>
      <c r="B169" s="4"/>
      <c r="C169" s="4"/>
      <c r="D169" s="12" t="n">
        <f>MAX('Расчёт'!$L$239,'Расчёт'!$L$240,'Расчёт'!$L$241)</f>
        <v>183.69238124289961</v>
      </c>
      <c r="E169" s="11"/>
      <c r="F169" s="12" t="n">
        <f>MAX('Расчёт'!$J$239,'Расчёт'!$J$240,'Расчёт'!$J$241)</f>
        <v>174.14002123760736</v>
      </c>
      <c r="G169" s="11"/>
      <c r="H169" s="12" t="n">
        <f>MAX(0,10*('Расчёт'!$F$23-'Расчёт'!$D$109)+0.15*'Расчёт'!$F$20+10)</f>
        <v>97.0973430653209</v>
      </c>
      <c r="I169" s="11"/>
      <c r="J169" s="12" t="n">
        <f>MAX('Расчёт'!$F$169,'Расчёт'!$H$169)</f>
        <v>174.14002123760736</v>
      </c>
      <c r="K169" s="4"/>
      <c r="L169" s="4"/>
    </row>
    <row r="170" ht="17" customHeight="1">
      <c r="A170" s="16" t="str">
        <f>'Расчёт'!$A$110</f>
        <v>Обшивка I</v>
      </c>
      <c r="B170" s="4"/>
      <c r="C170" s="4"/>
      <c r="D170" s="12" t="n">
        <f>MAX('Расчёт'!$L$242,'Расчёт'!$L$243,'Расчёт'!$L$244)</f>
        <v>163.58188124289967</v>
      </c>
      <c r="E170" s="11"/>
      <c r="F170" s="12" t="n">
        <f>MAX('Расчёт'!$J$242,'Расчёт'!$J$243,'Расчёт'!$J$244)</f>
        <v>163.58188124289967</v>
      </c>
      <c r="G170" s="11"/>
      <c r="H170" s="12" t="n">
        <f>MAX(0,10*('Расчёт'!$F$23-'Расчёт'!$D$110)+0.15*'Расчёт'!$F$20+10)</f>
        <v>77.0973430653209</v>
      </c>
      <c r="I170" s="11"/>
      <c r="J170" s="12" t="n">
        <f>MAX('Расчёт'!$F$170,'Расчёт'!$H$170)</f>
        <v>163.58188124289967</v>
      </c>
      <c r="K170" s="4"/>
      <c r="L170" s="4"/>
    </row>
    <row r="171" ht="17" customHeight="1">
      <c r="A171" s="16" t="str">
        <f>'Расчёт'!$A$111</f>
        <v>Обшивка J</v>
      </c>
      <c r="B171" s="4"/>
      <c r="C171" s="4"/>
      <c r="D171" s="12" t="n">
        <f>MAX('Расчёт'!$L$245,'Расчёт'!$L$246,'Расчёт'!$L$247)</f>
        <v>143.47138124289967</v>
      </c>
      <c r="E171" s="11"/>
      <c r="F171" s="12" t="n">
        <f>MAX('Расчёт'!$J$245,'Расчёт'!$J$246,'Расчёт'!$J$247)</f>
        <v>143.47138124289967</v>
      </c>
      <c r="G171" s="11"/>
      <c r="H171" s="12" t="n">
        <f>MAX(0,10*('Расчёт'!$F$23-'Расчёт'!$D$111)+0.15*'Расчёт'!$F$20+10)</f>
        <v>57.097343065320906</v>
      </c>
      <c r="I171" s="11"/>
      <c r="J171" s="12" t="n">
        <f>MAX('Расчёт'!$F$171,'Расчёт'!$H$171)</f>
        <v>143.47138124289967</v>
      </c>
      <c r="K171" s="4"/>
      <c r="L171" s="4"/>
    </row>
    <row r="172" ht="17" customHeight="1">
      <c r="A172" s="16" t="str">
        <f>'Расчёт'!$A$112</f>
        <v>Обшивка K</v>
      </c>
      <c r="B172" s="4"/>
      <c r="C172" s="4"/>
      <c r="D172" s="12" t="n">
        <f>MAX('Расчёт'!$L$248,'Расчёт'!$L$249,'Расчёт'!$L$250)</f>
        <v>123.36088124289965</v>
      </c>
      <c r="E172" s="11"/>
      <c r="F172" s="12" t="n">
        <f>MAX('Расчёт'!$J$248,'Расчёт'!$J$249,'Расчёт'!$J$250)</f>
        <v>123.36088124289965</v>
      </c>
      <c r="G172" s="11"/>
      <c r="H172" s="12" t="n">
        <f>MAX(0,10*('Расчёт'!$F$23-'Расчёт'!$D$112)+0.15*'Расчёт'!$F$20+10)</f>
        <v>37.0973430653209</v>
      </c>
      <c r="I172" s="11"/>
      <c r="J172" s="12" t="n">
        <f>MAX('Расчёт'!$F$172,'Расчёт'!$H$172)</f>
        <v>123.36088124289965</v>
      </c>
      <c r="K172" s="4"/>
      <c r="L172" s="4"/>
    </row>
    <row r="173" ht="17" customHeight="1">
      <c r="A173" s="16" t="str">
        <f>'Расчёт'!$A$113</f>
        <v>Обшивка L</v>
      </c>
      <c r="B173" s="4"/>
      <c r="C173" s="4"/>
      <c r="D173" s="12" t="n">
        <f>MAX('Расчёт'!$L$251,'Расчёт'!$L$252,'Расчёт'!$L$253)</f>
        <v>103.25038124289966</v>
      </c>
      <c r="E173" s="11"/>
      <c r="F173" s="12" t="n">
        <f>MAX('Расчёт'!$J$251,'Расчёт'!$J$252,'Расчёт'!$J$253)</f>
        <v>103.25038124289966</v>
      </c>
      <c r="G173" s="11"/>
      <c r="H173" s="12" t="n">
        <f>MAX(0,10*('Расчёт'!$F$23-'Расчёт'!$D$113)+0.15*'Расчёт'!$F$20+10)</f>
        <v>17.097343065320914</v>
      </c>
      <c r="I173" s="11"/>
      <c r="J173" s="12" t="n">
        <f>MAX('Расчёт'!$F$173,'Расчёт'!$H$173)</f>
        <v>103.25038124289966</v>
      </c>
      <c r="K173" s="4"/>
      <c r="L173" s="4"/>
    </row>
    <row r="174" ht="17" customHeight="1">
      <c r="A174" s="16" t="str">
        <f>'Расчёт'!$A$114</f>
        <v>Обшивка M</v>
      </c>
      <c r="B174" s="4"/>
      <c r="C174" s="4"/>
      <c r="D174" s="12" t="n">
        <f>MAX('Расчёт'!$L$254,'Расчёт'!$L$255,'Расчёт'!$L$256)</f>
        <v>83.13988124289968</v>
      </c>
      <c r="E174" s="11"/>
      <c r="F174" s="12" t="n">
        <f>MAX('Расчёт'!$J$254,'Расчёт'!$J$255,'Расчёт'!$J$256)</f>
        <v>83.13988124289968</v>
      </c>
      <c r="G174" s="11"/>
      <c r="H174" s="12" t="n">
        <f>MAX(0,10*('Расчёт'!$F$23-'Расчёт'!$D$114)+0.15*'Расчёт'!$F$20+10)</f>
        <v>2.0730072989906922</v>
      </c>
      <c r="I174" s="11"/>
      <c r="J174" s="12" t="n">
        <f>MAX('Расчёт'!$F$174,'Расчёт'!$H$174)</f>
        <v>83.13988124289968</v>
      </c>
      <c r="K174" s="4"/>
      <c r="L174" s="4"/>
    </row>
    <row r="175" ht="17" customHeight="1">
      <c r="A175" s="16" t="str">
        <f>'Расчёт'!$A$115</f>
        <v>Обшивка N</v>
      </c>
      <c r="B175" s="4"/>
      <c r="C175" s="4"/>
      <c r="D175" s="12" t="n">
        <f>MAX('Расчёт'!$L$257,'Расчёт'!$L$258,'Расчёт'!$L$259)</f>
        <v>73.03569080002126</v>
      </c>
      <c r="E175" s="11"/>
      <c r="F175" s="12" t="n">
        <f>MAX('Расчёт'!$J$257,'Расчёт'!$J$258,'Расчёт'!$J$259)</f>
        <v>73.03569080002126</v>
      </c>
      <c r="G175" s="11"/>
      <c r="H175" s="12" t="n">
        <f>MAX(0,10*('Расчёт'!$F$23-'Расчёт'!$D$115)+0.15*'Расчёт'!$F$20+10)</f>
        <v>0</v>
      </c>
      <c r="I175" s="11"/>
      <c r="J175" s="12" t="n">
        <f>MAX('Расчёт'!$F$175,'Расчёт'!$H$175)</f>
        <v>73.03569080002126</v>
      </c>
      <c r="K175" s="4"/>
      <c r="L175" s="4"/>
    </row>
    <row r="176" ht="17" customHeight="1">
      <c r="A176" s="16" t="str">
        <f>'Расчёт'!$A$116</f>
        <v>Обшивка SH</v>
      </c>
      <c r="B176" s="4"/>
      <c r="C176" s="4"/>
      <c r="D176" s="12" t="n">
        <f>MAX('Расчёт'!$L$260,'Расчёт'!$L$261,'Расчёт'!$L$262)</f>
        <v>62.931500357142866</v>
      </c>
      <c r="E176" s="11"/>
      <c r="F176" s="12" t="n">
        <f>MAX('Расчёт'!$J$260,'Расчёт'!$J$261,'Расчёт'!$J$262)</f>
        <v>62.931500357142866</v>
      </c>
      <c r="G176" s="11"/>
      <c r="H176" s="12" t="n">
        <f>MAX(0,10*('Расчёт'!$F$23-'Расчёт'!$D$116)+0.15*'Расчёт'!$F$20+10)</f>
        <v>0</v>
      </c>
      <c r="I176" s="11"/>
      <c r="J176" s="12" t="n">
        <f>MAX('Расчёт'!$F$176,'Расчёт'!$H$176)</f>
        <v>62.931500357142866</v>
      </c>
      <c r="K176" s="4"/>
      <c r="L176" s="4"/>
    </row>
    <row r="177" ht="17" customHeight="1">
      <c r="A177" s="16" t="str">
        <f>'Расчёт'!$A$117</f>
        <v>ISG</v>
      </c>
      <c r="B177" s="4"/>
      <c r="C177" s="4"/>
      <c r="D177" s="12" t="n">
        <f>MAX('Расчёт'!$L$263,'Расчёт'!$L$264,'Расчёт'!$L$265)</f>
        <v>185.10278785714283</v>
      </c>
      <c r="E177" s="11"/>
      <c r="F177" s="12" t="n">
        <f>MAX('Расчёт'!$J$263,'Расчёт'!$J$264,'Расчёт'!$J$265)</f>
        <v>174.14002123760736</v>
      </c>
      <c r="G177" s="11"/>
      <c r="H177" s="12" t="n">
        <f>MAX(0,10*('Расчёт'!$F$23-'Расчёт'!$D$117)+0.15*'Расчёт'!$F$20+10)</f>
        <v>98.5</v>
      </c>
      <c r="I177" s="11"/>
      <c r="J177" s="12" t="n">
        <f>MAX('Расчёт'!$F$177,'Расчёт'!$H$177)</f>
        <v>174.14002123760736</v>
      </c>
      <c r="K177" s="4"/>
      <c r="L177" s="4"/>
    </row>
    <row r="178" ht="17" customHeight="1">
      <c r="A178" s="16" t="str">
        <f>'Расчёт'!$A$118</f>
        <v>ISF</v>
      </c>
      <c r="B178" s="4"/>
      <c r="C178" s="4"/>
      <c r="D178" s="12" t="n">
        <f>MAX('Расчёт'!$L$266,'Расчёт'!$L$267,'Расчёт'!$L$268)</f>
        <v>164.99228785714286</v>
      </c>
      <c r="E178" s="11"/>
      <c r="F178" s="12" t="n">
        <f>MAX('Расчёт'!$J$266,'Расчёт'!$J$267,'Расчёт'!$J$268)</f>
        <v>164.99228785714286</v>
      </c>
      <c r="G178" s="11"/>
      <c r="H178" s="12" t="n">
        <f>MAX(0,10*('Расчёт'!$F$23-'Расчёт'!$D$118)+0.15*'Расчёт'!$F$20+10)</f>
        <v>78.5</v>
      </c>
      <c r="I178" s="11"/>
      <c r="J178" s="12" t="n">
        <f>MAX('Расчёт'!$F$178,'Расчёт'!$H$178)</f>
        <v>164.99228785714286</v>
      </c>
      <c r="K178" s="4"/>
      <c r="L178" s="4"/>
    </row>
    <row r="179" ht="17" customHeight="1">
      <c r="A179" s="16" t="str">
        <f>'Расчёт'!$A$119</f>
        <v>ISE</v>
      </c>
      <c r="B179" s="4"/>
      <c r="C179" s="4"/>
      <c r="D179" s="12" t="n">
        <f>MAX('Расчёт'!$L$269,'Расчёт'!$L$270,'Расчёт'!$L$271)</f>
        <v>144.88178785714288</v>
      </c>
      <c r="E179" s="11"/>
      <c r="F179" s="12" t="n">
        <f>MAX('Расчёт'!$J$269,'Расчёт'!$J$270,'Расчёт'!$J$271)</f>
        <v>144.88178785714288</v>
      </c>
      <c r="G179" s="11"/>
      <c r="H179" s="12" t="n">
        <f>MAX(0,10*('Расчёт'!$F$23-'Расчёт'!$D$119)+0.15*'Расчёт'!$F$20+10)</f>
        <v>58.50000000000001</v>
      </c>
      <c r="I179" s="11"/>
      <c r="J179" s="12" t="n">
        <f>MAX('Расчёт'!$F$179,'Расчёт'!$H$179)</f>
        <v>144.88178785714288</v>
      </c>
      <c r="K179" s="4"/>
      <c r="L179" s="4"/>
    </row>
    <row r="180" ht="17" customHeight="1">
      <c r="A180" s="16" t="str">
        <f>'Расчёт'!$A$120</f>
        <v>ISD</v>
      </c>
      <c r="B180" s="4"/>
      <c r="C180" s="4"/>
      <c r="D180" s="12" t="n">
        <f>MAX('Расчёт'!$L$272,'Расчёт'!$L$273,'Расчёт'!$L$274)</f>
        <v>124.77128785714285</v>
      </c>
      <c r="E180" s="11"/>
      <c r="F180" s="12" t="n">
        <f>MAX('Расчёт'!$J$272,'Расчёт'!$J$273,'Расчёт'!$J$274)</f>
        <v>124.77128785714285</v>
      </c>
      <c r="G180" s="11"/>
      <c r="H180" s="12" t="n">
        <f>MAX(0,10*('Расчёт'!$F$23-'Расчёт'!$D$120)+0.15*'Расчёт'!$F$20+10)</f>
        <v>38.5</v>
      </c>
      <c r="I180" s="11"/>
      <c r="J180" s="12" t="n">
        <f>MAX('Расчёт'!$F$180,'Расчёт'!$H$180)</f>
        <v>124.77128785714285</v>
      </c>
      <c r="K180" s="4"/>
      <c r="L180" s="4"/>
    </row>
    <row r="181" ht="17" customHeight="1">
      <c r="A181" s="16" t="str">
        <f>'Расчёт'!$A$121</f>
        <v>ISC</v>
      </c>
      <c r="B181" s="4"/>
      <c r="C181" s="4"/>
      <c r="D181" s="12" t="n">
        <f>MAX('Расчёт'!$L$275,'Расчёт'!$L$276,'Расчёт'!$L$277)</f>
        <v>104.66078785714284</v>
      </c>
      <c r="E181" s="11"/>
      <c r="F181" s="12" t="n">
        <f>MAX('Расчёт'!$J$275,'Расчёт'!$J$276,'Расчёт'!$J$277)</f>
        <v>104.66078785714284</v>
      </c>
      <c r="G181" s="11"/>
      <c r="H181" s="12" t="n">
        <f>MAX(0,10*('Расчёт'!$F$23-'Расчёт'!$D$121)+0.15*'Расчёт'!$F$20+10)</f>
        <v>18.499999999999996</v>
      </c>
      <c r="I181" s="11"/>
      <c r="J181" s="12" t="n">
        <f>MAX('Расчёт'!$F$181,'Расчёт'!$H$181)</f>
        <v>104.66078785714284</v>
      </c>
      <c r="K181" s="4"/>
      <c r="L181" s="4"/>
    </row>
    <row r="182" ht="17" customHeight="1">
      <c r="A182" s="16" t="str">
        <f>'Расчёт'!$A$122</f>
        <v>ISB</v>
      </c>
      <c r="B182" s="4"/>
      <c r="C182" s="4"/>
      <c r="D182" s="12" t="n">
        <f>MAX('Расчёт'!$L$278,'Расчёт'!$L$279,'Расчёт'!$L$280)</f>
        <v>84.55028785714283</v>
      </c>
      <c r="E182" s="11"/>
      <c r="F182" s="12" t="n">
        <f>MAX('Расчёт'!$J$278,'Расчёт'!$J$279,'Расчёт'!$J$280)</f>
        <v>84.55028785714283</v>
      </c>
      <c r="G182" s="11"/>
      <c r="H182" s="12" t="n">
        <f>MAX(0,10*('Расчёт'!$F$23-'Расчёт'!$D$122)+0.15*'Расчёт'!$F$20+10)</f>
        <v>0</v>
      </c>
      <c r="I182" s="11"/>
      <c r="J182" s="12" t="n">
        <f>MAX('Расчёт'!$F$182,'Расчёт'!$H$182)</f>
        <v>84.55028785714283</v>
      </c>
      <c r="K182" s="4"/>
      <c r="L182" s="4"/>
    </row>
    <row r="183" ht="17" customHeight="1">
      <c r="A183" s="16" t="str">
        <f>'Расчёт'!$A$123</f>
        <v>ISA</v>
      </c>
      <c r="B183" s="4"/>
      <c r="C183" s="4"/>
      <c r="D183" s="12" t="n">
        <f>MAX('Расчёт'!$L$281,'Расчёт'!$L$282,'Расчёт'!$L$283)</f>
        <v>64.43978785714285</v>
      </c>
      <c r="E183" s="11"/>
      <c r="F183" s="12" t="n">
        <f>MAX('Расчёт'!$J$281,'Расчёт'!$J$282,'Расчёт'!$J$283)</f>
        <v>64.43978785714285</v>
      </c>
      <c r="G183" s="11"/>
      <c r="H183" s="12" t="n">
        <f>MAX(0,10*('Расчёт'!$F$23-'Расчёт'!$D$123)+0.15*'Расчёт'!$F$20+10)</f>
        <v>0</v>
      </c>
      <c r="I183" s="11"/>
      <c r="J183" s="12" t="n">
        <f>MAX('Расчёт'!$F$183,'Расчёт'!$H$183)</f>
        <v>64.43978785714285</v>
      </c>
      <c r="K183" s="4"/>
      <c r="L183" s="4"/>
    </row>
    <row r="184" ht="17" customHeight="1">
      <c r="A184" s="16" t="str">
        <f>'Расчёт'!$A$124</f>
        <v>OF1</v>
      </c>
      <c r="B184" s="4"/>
      <c r="C184" s="4"/>
      <c r="D184" s="12" t="n">
        <f>MAX('Расчёт'!$L$284,'Расчёт'!$L$285,'Расчёт'!$L$286)</f>
        <v>168.00886285714284</v>
      </c>
      <c r="E184" s="11"/>
      <c r="F184" s="12" t="n">
        <f>MAX('Расчёт'!$J$284,'Расчёт'!$J$285,'Расчёт'!$J$286)</f>
        <v>168.00886285714284</v>
      </c>
      <c r="G184" s="11"/>
      <c r="H184" s="12" t="n">
        <f>MAX(0,10*('Расчёт'!$F$23-'Расчёт'!$D$124)+0.15*'Расчёт'!$F$20+10)</f>
        <v>91.5</v>
      </c>
      <c r="I184" s="11"/>
      <c r="J184" s="12" t="n">
        <f>MAX('Расчёт'!$F$184,'Расчёт'!$H$184)</f>
        <v>168.00886285714284</v>
      </c>
      <c r="K184" s="4"/>
      <c r="L184" s="4"/>
    </row>
    <row r="185" ht="17" customHeight="1">
      <c r="A185" s="16" t="str">
        <f>'Расчёт'!$A$125</f>
        <v>OF2</v>
      </c>
      <c r="B185" s="4"/>
      <c r="C185" s="4"/>
      <c r="D185" s="12" t="n">
        <f>MAX('Расчёт'!$L$287,'Расчёт'!$L$288,'Расчёт'!$L$289)</f>
        <v>133.82101285714285</v>
      </c>
      <c r="E185" s="11"/>
      <c r="F185" s="12" t="n">
        <f>MAX('Расчёт'!$J$287,'Расчёт'!$J$288,'Расчёт'!$J$289)</f>
        <v>133.82101285714285</v>
      </c>
      <c r="G185" s="11"/>
      <c r="H185" s="12" t="n">
        <f>MAX(0,10*('Расчёт'!$F$23-'Расчёт'!$D$125)+0.15*'Расчёт'!$F$20+10)</f>
        <v>57.5</v>
      </c>
      <c r="I185" s="11"/>
      <c r="J185" s="12" t="n">
        <f>MAX('Расчёт'!$F$185,'Расчёт'!$H$185)</f>
        <v>133.82101285714285</v>
      </c>
      <c r="K185" s="4"/>
      <c r="L185" s="4"/>
    </row>
    <row r="186" ht="17" customHeight="1">
      <c r="A186" s="16" t="str">
        <f>'Расчёт'!$A$126</f>
        <v>OF3</v>
      </c>
      <c r="B186" s="4"/>
      <c r="C186" s="4"/>
      <c r="D186" s="12" t="n">
        <f>MAX('Расчёт'!$L$290,'Расчёт'!$L$291,'Расчёт'!$L$292)</f>
        <v>99.63316285714284</v>
      </c>
      <c r="E186" s="11"/>
      <c r="F186" s="12" t="n">
        <f>MAX('Расчёт'!$J$290,'Расчёт'!$J$291,'Расчёт'!$J$292)</f>
        <v>99.63316285714284</v>
      </c>
      <c r="G186" s="11"/>
      <c r="H186" s="12" t="n">
        <f>MAX(0,10*('Расчёт'!$F$23-'Расчёт'!$D$126)+0.15*'Расчёт'!$F$20+10)</f>
        <v>23.499999999999996</v>
      </c>
      <c r="I186" s="11"/>
      <c r="J186" s="12" t="n">
        <f>MAX('Расчёт'!$F$186,'Расчёт'!$H$186)</f>
        <v>99.63316285714284</v>
      </c>
      <c r="K186" s="4"/>
      <c r="L186" s="4"/>
    </row>
    <row r="187" ht="17" customHeight="1">
      <c r="A187" s="16" t="str">
        <f>'Расчёт'!$A$127</f>
        <v>OF4</v>
      </c>
      <c r="B187" s="4"/>
      <c r="C187" s="4"/>
      <c r="D187" s="12" t="n">
        <f>MAX('Расчёт'!$L$293,'Расчёт'!$L$294,'Расчёт'!$L$295)</f>
        <v>64.94255035714286</v>
      </c>
      <c r="E187" s="11"/>
      <c r="F187" s="12" t="n">
        <f>MAX('Расчёт'!$J$293,'Расчёт'!$J$294,'Расчёт'!$J$295)</f>
        <v>64.94255035714286</v>
      </c>
      <c r="G187" s="11"/>
      <c r="H187" s="12" t="n">
        <f>MAX(0,10*('Расчёт'!$F$23-'Расчёт'!$D$127)+0.15*'Расчёт'!$F$20+10)</f>
        <v>0</v>
      </c>
      <c r="I187" s="11"/>
      <c r="J187" s="12" t="n">
        <f>MAX('Расчёт'!$F$187,'Расчёт'!$H$187)</f>
        <v>64.94255035714286</v>
      </c>
      <c r="K187" s="4"/>
      <c r="L187" s="4"/>
    </row>
    <row r="188" ht="17" customHeight="1">
      <c r="A188" s="16" t="str">
        <f>'Расчёт'!$A$128</f>
        <v>IF1</v>
      </c>
      <c r="B188" s="4"/>
      <c r="C188" s="4"/>
      <c r="D188" s="12" t="n">
        <f>MAX('Расчёт'!$L$296,'Расчёт'!$L$297,'Расчёт'!$L$298)</f>
        <v>168.00886285714284</v>
      </c>
      <c r="E188" s="11"/>
      <c r="F188" s="12" t="n">
        <f>MAX('Расчёт'!$J$296,'Расчёт'!$J$297,'Расчёт'!$J$298)</f>
        <v>168.00886285714284</v>
      </c>
      <c r="G188" s="11"/>
      <c r="H188" s="12" t="n">
        <f>MAX(0,10*('Расчёт'!$F$23-'Расчёт'!$D$128)+0.15*'Расчёт'!$F$20+10)</f>
        <v>91.5</v>
      </c>
      <c r="I188" s="11"/>
      <c r="J188" s="12" t="n">
        <f>MAX('Расчёт'!$F$188,'Расчёт'!$H$188)</f>
        <v>168.00886285714284</v>
      </c>
      <c r="K188" s="4"/>
      <c r="L188" s="4"/>
    </row>
    <row r="189" ht="17" customHeight="1">
      <c r="A189" s="16" t="str">
        <f>'Расчёт'!$A$129</f>
        <v>IF2</v>
      </c>
      <c r="B189" s="4"/>
      <c r="C189" s="4"/>
      <c r="D189" s="12" t="n">
        <f>MAX('Расчёт'!$L$299,'Расчёт'!$L$300,'Расчёт'!$L$301)</f>
        <v>133.82101285714285</v>
      </c>
      <c r="E189" s="11"/>
      <c r="F189" s="12" t="n">
        <f>MAX('Расчёт'!$J$299,'Расчёт'!$J$300,'Расчёт'!$J$301)</f>
        <v>133.82101285714285</v>
      </c>
      <c r="G189" s="11"/>
      <c r="H189" s="12" t="n">
        <f>MAX(0,10*('Расчёт'!$F$23-'Расчёт'!$D$129)+0.15*'Расчёт'!$F$20+10)</f>
        <v>57.5</v>
      </c>
      <c r="I189" s="11"/>
      <c r="J189" s="12" t="n">
        <f>MAX('Расчёт'!$F$189,'Расчёт'!$H$189)</f>
        <v>133.82101285714285</v>
      </c>
      <c r="K189" s="4"/>
      <c r="L189" s="4"/>
    </row>
    <row r="190" ht="17" customHeight="1">
      <c r="A190" s="16" t="str">
        <f>'Расчёт'!$A$130</f>
        <v>IF3</v>
      </c>
      <c r="B190" s="4"/>
      <c r="C190" s="4"/>
      <c r="D190" s="12" t="n">
        <f>MAX('Расчёт'!$L$302,'Расчёт'!$L$303,'Расчёт'!$L$304)</f>
        <v>99.63316285714284</v>
      </c>
      <c r="E190" s="11"/>
      <c r="F190" s="12" t="n">
        <f>MAX('Расчёт'!$J$302,'Расчёт'!$J$303,'Расчёт'!$J$304)</f>
        <v>99.63316285714284</v>
      </c>
      <c r="G190" s="11"/>
      <c r="H190" s="12" t="n">
        <f>MAX(0,10*('Расчёт'!$F$23-'Расчёт'!$D$130)+0.15*'Расчёт'!$F$20+10)</f>
        <v>23.499999999999996</v>
      </c>
      <c r="I190" s="11"/>
      <c r="J190" s="12" t="n">
        <f>MAX('Расчёт'!$F$190,'Расчёт'!$H$190)</f>
        <v>99.63316285714284</v>
      </c>
      <c r="K190" s="4"/>
      <c r="L190" s="4"/>
    </row>
    <row r="191" ht="17" customHeight="1">
      <c r="A191" s="16" t="str">
        <f>'Расчёт'!$A$131</f>
        <v>IF4</v>
      </c>
      <c r="B191" s="4"/>
      <c r="C191" s="4"/>
      <c r="D191" s="12" t="n">
        <f>MAX('Расчёт'!$L$305,'Расчёт'!$L$306,'Расчёт'!$L$307)</f>
        <v>64.54034035714287</v>
      </c>
      <c r="E191" s="11"/>
      <c r="F191" s="12" t="n">
        <f>MAX('Расчёт'!$J$305,'Расчёт'!$J$306,'Расчёт'!$J$307)</f>
        <v>64.54034035714287</v>
      </c>
      <c r="G191" s="11"/>
      <c r="H191" s="12" t="n">
        <f>MAX(0,10*('Расчёт'!$F$23-'Расчёт'!$D$131)+0.15*'Расчёт'!$F$20+10)</f>
        <v>0</v>
      </c>
      <c r="I191" s="11"/>
      <c r="J191" s="12" t="n">
        <f>MAX('Расчёт'!$F$191,'Расчёт'!$H$191)</f>
        <v>64.54034035714287</v>
      </c>
      <c r="K191" s="4"/>
      <c r="L191" s="4"/>
    </row>
    <row r="192" ht="25" customHeight="1">
      <c r="A192" s="7" t="str">
        <v>Балласт: pнетто = pB − MAX(pstB − pwB; 0)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29" customHeight="1">
      <c r="A193" s="10" t="str">
        <v>Элемент</v>
      </c>
      <c r="B193" s="10"/>
      <c r="C193" s="10"/>
      <c r="D193" s="10" t="str">
        <v>pнетто, кПа</v>
      </c>
      <c r="E193" s="10"/>
      <c r="F193" s="10" t="str">
        <v>pвнеш, кПа</v>
      </c>
      <c r="G193" s="10"/>
      <c r="H193" s="10" t="str">
        <v>pобшивки, кПа</v>
      </c>
      <c r="I193" s="10"/>
      <c r="J193" s="10" t="str">
        <v>pгруза, кПа</v>
      </c>
      <c r="K193" s="10" t="str">
        <v>pвнутр, кПа</v>
      </c>
      <c r="L193" s="10"/>
    </row>
    <row r="194" ht="17" customHeight="1">
      <c r="A194" s="4" t="str">
        <v>Днище</v>
      </c>
      <c r="B194" s="4"/>
      <c r="C194" s="4"/>
      <c r="D194" s="12" t="n">
        <f>MAX('Расчёт'!$H$224,'Расчёт'!$H$225,'Расчёт'!$H$226)</f>
        <v>166.57156189651178</v>
      </c>
      <c r="E194" s="11"/>
      <c r="F194" s="12" t="n">
        <f>MAX('Расчёт'!$I$224,'Расчёт'!$I$225,'Расчёт'!$I$226)</f>
        <v>107.36932403936893</v>
      </c>
      <c r="G194" s="11"/>
      <c r="H194" s="12" t="n">
        <f>MAX('Расчёт'!$J$224,'Расчёт'!$J$225,'Расчёт'!$J$226)</f>
        <v>166.57156189651178</v>
      </c>
      <c r="I194" s="11"/>
      <c r="J194" s="12" t="n">
        <f>MAX('Расчёт'!$K$224,'Расчёт'!$K$225,'Расчёт'!$K$226)</f>
        <v>200.93262428571427</v>
      </c>
      <c r="K194" s="12" t="n">
        <f>MAX('Расчёт'!$L$224,'Расчёт'!$L$225,'Расчёт'!$L$226)</f>
        <v>203.20223785714285</v>
      </c>
      <c r="L194" s="11"/>
    </row>
    <row r="195" ht="17" customHeight="1">
      <c r="A195" s="4" t="str">
        <v>Второе дно</v>
      </c>
      <c r="B195" s="4"/>
      <c r="C195" s="4"/>
      <c r="D195" s="12" t="n">
        <f>MAX('Расчёт'!$H$227,'Расчёт'!$H$228,'Расчёт'!$H$229)</f>
        <v>171.28506855068457</v>
      </c>
      <c r="E195" s="11"/>
      <c r="F195" s="12" t="n">
        <f>MAX('Расчёт'!$I$227,'Расчёт'!$I$228,'Расчёт'!$I$229)</f>
        <v>91.9294073660566</v>
      </c>
      <c r="G195" s="11"/>
      <c r="H195" s="12" t="n">
        <f>MAX('Расчёт'!$J$227,'Расчёт'!$J$228,'Расчёт'!$J$229)</f>
        <v>171.28506855068457</v>
      </c>
      <c r="I195" s="11"/>
      <c r="J195" s="12" t="n">
        <f>MAX('Расчёт'!$K$227,'Расчёт'!$K$228,'Расчёт'!$K$229)</f>
        <v>182.83317428571425</v>
      </c>
      <c r="K195" s="12" t="n">
        <f>MAX('Расчёт'!$L$227,'Расчёт'!$L$228,'Расчёт'!$L$229)</f>
        <v>185.10278785714283</v>
      </c>
      <c r="L195" s="11"/>
    </row>
    <row r="196" ht="17" customHeight="1">
      <c r="A196" s="4" t="str">
        <v>Верхняя палуба</v>
      </c>
      <c r="B196" s="4"/>
      <c r="C196" s="4"/>
      <c r="D196" s="12" t="n">
        <f>MAX('Расчёт'!$H$230,'Расчёт'!$H$231,'Расчёт'!$H$232)</f>
        <v>47.345862857142855</v>
      </c>
      <c r="E196" s="11"/>
      <c r="F196" s="12" t="n">
        <f>MAX('Расчёт'!$I$230,'Расчёт'!$I$231,'Расчёт'!$I$232)</f>
        <v>14.52339807873785</v>
      </c>
      <c r="G196" s="11"/>
      <c r="H196" s="12" t="n">
        <f>MAX('Расчёт'!$J$230,'Расчёт'!$J$231,'Расчёт'!$J$232)</f>
        <v>47.345862857142855</v>
      </c>
      <c r="I196" s="11"/>
      <c r="J196" s="12" t="n">
        <f>MAX('Расчёт'!$K$230,'Расчёт'!$K$231,'Расчёт'!$K$232)</f>
        <v>45.076249285714276</v>
      </c>
      <c r="K196" s="12" t="n">
        <f>MAX('Расчёт'!$L$230,'Расчёт'!$L$231,'Расчёт'!$L$232)</f>
        <v>47.345862857142855</v>
      </c>
      <c r="L196" s="11"/>
    </row>
    <row r="197" ht="17" customHeight="1">
      <c r="A197" s="4" t="str">
        <v>Обшивка F</v>
      </c>
      <c r="B197" s="4"/>
      <c r="C197" s="4"/>
      <c r="D197" s="12" t="n">
        <f>MAX('Расчёт'!$H$233,'Расчёт'!$H$234,'Расчёт'!$H$235)</f>
        <v>167.13305003737298</v>
      </c>
      <c r="E197" s="11"/>
      <c r="F197" s="12" t="n">
        <f>MAX('Расчёт'!$I$233,'Расчёт'!$I$234,'Расчёт'!$I$235)</f>
        <v>107.36932403936893</v>
      </c>
      <c r="G197" s="11"/>
      <c r="H197" s="12" t="n">
        <f>MAX('Расчёт'!$J$233,'Расчёт'!$J$234,'Расчёт'!$J$235)</f>
        <v>167.13305003737298</v>
      </c>
      <c r="I197" s="11"/>
      <c r="J197" s="12" t="n">
        <f>MAX('Расчёт'!$K$233,'Расчёт'!$K$234,'Расчёт'!$K$235)</f>
        <v>200.93262428571427</v>
      </c>
      <c r="K197" s="12" t="n">
        <f>MAX('Расчёт'!$L$233,'Расчёт'!$L$234,'Расчёт'!$L$235)</f>
        <v>203.20223785714285</v>
      </c>
      <c r="L197" s="11"/>
    </row>
    <row r="198" ht="17" customHeight="1">
      <c r="A198" s="4" t="str">
        <v>Обшивка G</v>
      </c>
      <c r="B198" s="4"/>
      <c r="C198" s="4"/>
      <c r="D198" s="12" t="n">
        <f>MAX('Расчёт'!$H$236,'Расчёт'!$H$237,'Расчёт'!$H$238)</f>
        <v>171.6523703726363</v>
      </c>
      <c r="E198" s="11"/>
      <c r="F198" s="12" t="n">
        <f>MAX('Расчёт'!$I$236,'Расчёт'!$I$237,'Расчёт'!$I$238)</f>
        <v>105.5300712825546</v>
      </c>
      <c r="G198" s="11"/>
      <c r="H198" s="12" t="n">
        <f>MAX('Расчёт'!$J$236,'Расчёт'!$J$237,'Расчёт'!$J$238)</f>
        <v>171.6523703726363</v>
      </c>
      <c r="I198" s="11"/>
      <c r="J198" s="12" t="n">
        <f>MAX('Расчёт'!$K$236,'Расчёт'!$K$237,'Расчёт'!$K$238)</f>
        <v>198.77655932670683</v>
      </c>
      <c r="K198" s="12" t="n">
        <f>MAX('Расчёт'!$L$236,'Расчёт'!$L$237,'Расчёт'!$L$238)</f>
        <v>201.04617289813544</v>
      </c>
      <c r="L198" s="11"/>
    </row>
    <row r="199" ht="17" customHeight="1">
      <c r="A199" s="4" t="str">
        <v>Обшивка H</v>
      </c>
      <c r="B199" s="4"/>
      <c r="C199" s="4"/>
      <c r="D199" s="12" t="n">
        <f>MAX('Расчёт'!$H$239,'Расчёт'!$H$240,'Расчёт'!$H$241)</f>
        <v>174.14002123760736</v>
      </c>
      <c r="E199" s="11"/>
      <c r="F199" s="12" t="n">
        <f>MAX('Расчёт'!$I$239,'Расчёт'!$I$240,'Расчёт'!$I$241)</f>
        <v>90.72624591090721</v>
      </c>
      <c r="G199" s="11"/>
      <c r="H199" s="12" t="n">
        <f>MAX('Расчёт'!$J$239,'Расчёт'!$J$240,'Расчёт'!$J$241)</f>
        <v>174.14002123760736</v>
      </c>
      <c r="I199" s="11"/>
      <c r="J199" s="12" t="n">
        <f>MAX('Расчёт'!$K$239,'Расчёт'!$K$240,'Расчёт'!$K$241)</f>
        <v>181.42276767147106</v>
      </c>
      <c r="K199" s="12" t="n">
        <f>MAX('Расчёт'!$L$239,'Расчёт'!$L$240,'Расчёт'!$L$241)</f>
        <v>183.69238124289961</v>
      </c>
      <c r="L199" s="11"/>
    </row>
    <row r="200" ht="17" customHeight="1">
      <c r="A200" s="4" t="str">
        <v>Обшивка I</v>
      </c>
      <c r="B200" s="4"/>
      <c r="C200" s="4"/>
      <c r="D200" s="12" t="n">
        <f>MAX('Расчёт'!$H$242,'Расчёт'!$H$243,'Расчёт'!$H$244)</f>
        <v>163.58188124289967</v>
      </c>
      <c r="E200" s="11"/>
      <c r="F200" s="12" t="n">
        <f>MAX('Расчёт'!$I$242,'Расчёт'!$I$243,'Расчёт'!$I$244)</f>
        <v>73.57078294056018</v>
      </c>
      <c r="G200" s="11"/>
      <c r="H200" s="12" t="n">
        <f>MAX('Расчёт'!$J$242,'Расчёт'!$J$243,'Расчёт'!$J$244)</f>
        <v>163.58188124289967</v>
      </c>
      <c r="I200" s="11"/>
      <c r="J200" s="12" t="n">
        <f>MAX('Расчёт'!$K$242,'Расчёт'!$K$243,'Расчёт'!$K$244)</f>
        <v>161.31226767147106</v>
      </c>
      <c r="K200" s="12" t="n">
        <f>MAX('Расчёт'!$L$242,'Расчёт'!$L$243,'Расчёт'!$L$244)</f>
        <v>163.58188124289967</v>
      </c>
      <c r="L200" s="11"/>
    </row>
    <row r="201" ht="17" customHeight="1">
      <c r="A201" s="4" t="str">
        <v>Обшивка J</v>
      </c>
      <c r="B201" s="4"/>
      <c r="C201" s="4"/>
      <c r="D201" s="12" t="n">
        <f>MAX('Расчёт'!$H$245,'Расчёт'!$H$246,'Расчёт'!$H$247)</f>
        <v>143.47138124289967</v>
      </c>
      <c r="E201" s="11"/>
      <c r="F201" s="12" t="n">
        <f>MAX('Расчёт'!$I$245,'Расчёт'!$I$246,'Расчёт'!$I$247)</f>
        <v>56.41531997021313</v>
      </c>
      <c r="G201" s="11"/>
      <c r="H201" s="12" t="n">
        <f>MAX('Расчёт'!$J$245,'Расчёт'!$J$246,'Расчёт'!$J$247)</f>
        <v>143.47138124289967</v>
      </c>
      <c r="I201" s="11"/>
      <c r="J201" s="12" t="n">
        <f>MAX('Расчёт'!$K$245,'Расчёт'!$K$246,'Расчёт'!$K$247)</f>
        <v>141.20176767147106</v>
      </c>
      <c r="K201" s="12" t="n">
        <f>MAX('Расчёт'!$L$245,'Расчёт'!$L$246,'Расчёт'!$L$247)</f>
        <v>143.47138124289967</v>
      </c>
      <c r="L201" s="11"/>
    </row>
    <row r="202" ht="17" customHeight="1">
      <c r="A202" s="4" t="str">
        <v>Обшивка K</v>
      </c>
      <c r="B202" s="4"/>
      <c r="C202" s="4"/>
      <c r="D202" s="12" t="n">
        <f>MAX('Расчёт'!$H$248,'Расчёт'!$H$249,'Расчёт'!$H$250)</f>
        <v>123.36088124289965</v>
      </c>
      <c r="E202" s="11"/>
      <c r="F202" s="12" t="n">
        <f>MAX('Расчёт'!$I$248,'Расчёт'!$I$249,'Расчёт'!$I$250)</f>
        <v>39.259856999866095</v>
      </c>
      <c r="G202" s="11"/>
      <c r="H202" s="12" t="n">
        <f>MAX('Расчёт'!$J$248,'Расчёт'!$J$249,'Расчёт'!$J$250)</f>
        <v>123.36088124289965</v>
      </c>
      <c r="I202" s="11"/>
      <c r="J202" s="12" t="n">
        <f>MAX('Расчёт'!$K$248,'Расчёт'!$K$249,'Расчёт'!$K$250)</f>
        <v>121.09126767147106</v>
      </c>
      <c r="K202" s="12" t="n">
        <f>MAX('Расчёт'!$L$248,'Расчёт'!$L$249,'Расчёт'!$L$250)</f>
        <v>123.36088124289965</v>
      </c>
      <c r="L202" s="11"/>
    </row>
    <row r="203" ht="17" customHeight="1">
      <c r="A203" s="4" t="str">
        <v>Обшивка L</v>
      </c>
      <c r="B203" s="4"/>
      <c r="C203" s="4"/>
      <c r="D203" s="12" t="n">
        <f>MAX('Расчёт'!$H$251,'Расчёт'!$H$252,'Расчёт'!$H$253)</f>
        <v>103.25038124289966</v>
      </c>
      <c r="E203" s="11"/>
      <c r="F203" s="12" t="n">
        <f>MAX('Расчёт'!$I$251,'Расчёт'!$I$252,'Расчёт'!$I$253)</f>
        <v>25.656766027568363</v>
      </c>
      <c r="G203" s="11"/>
      <c r="H203" s="12" t="n">
        <f>MAX('Расчёт'!$J$251,'Расчёт'!$J$252,'Расчёт'!$J$253)</f>
        <v>103.25038124289966</v>
      </c>
      <c r="I203" s="11"/>
      <c r="J203" s="12" t="n">
        <f>MAX('Расчёт'!$K$251,'Расчёт'!$K$252,'Расчёт'!$K$253)</f>
        <v>100.98076767147109</v>
      </c>
      <c r="K203" s="12" t="n">
        <f>MAX('Расчёт'!$L$251,'Расчёт'!$L$252,'Расчёт'!$L$253)</f>
        <v>103.25038124289966</v>
      </c>
      <c r="L203" s="11"/>
    </row>
    <row r="204" ht="17" customHeight="1">
      <c r="A204" s="4" t="str">
        <v>Обшивка M</v>
      </c>
      <c r="B204" s="4"/>
      <c r="C204" s="4"/>
      <c r="D204" s="12" t="n">
        <f>MAX('Расчёт'!$H$254,'Расчёт'!$H$255,'Расчёт'!$H$256)</f>
        <v>83.13988124289968</v>
      </c>
      <c r="E204" s="11"/>
      <c r="F204" s="12" t="n">
        <f>MAX('Расчёт'!$I$254,'Расчёт'!$I$255,'Расчёт'!$I$256)</f>
        <v>21.651766027568364</v>
      </c>
      <c r="G204" s="11"/>
      <c r="H204" s="12" t="n">
        <f>MAX('Расчёт'!$J$254,'Расчёт'!$J$255,'Расчёт'!$J$256)</f>
        <v>83.13988124289968</v>
      </c>
      <c r="I204" s="11"/>
      <c r="J204" s="12" t="n">
        <f>MAX('Расчёт'!$K$254,'Расчёт'!$K$255,'Расчёт'!$K$256)</f>
        <v>80.87026767147108</v>
      </c>
      <c r="K204" s="12" t="n">
        <f>MAX('Расчёт'!$L$254,'Расчёт'!$L$255,'Расчёт'!$L$256)</f>
        <v>83.13988124289968</v>
      </c>
      <c r="L204" s="11"/>
    </row>
    <row r="205" ht="17" customHeight="1">
      <c r="A205" s="4" t="str">
        <v>Обшивка N</v>
      </c>
      <c r="B205" s="4"/>
      <c r="C205" s="4"/>
      <c r="D205" s="12" t="n">
        <f>MAX('Расчёт'!$H$257,'Расчёт'!$H$258,'Расчёт'!$H$259)</f>
        <v>73.03569080002126</v>
      </c>
      <c r="E205" s="11"/>
      <c r="F205" s="12" t="n">
        <f>MAX('Расчёт'!$I$257,'Расчёт'!$I$258,'Расчёт'!$I$259)</f>
        <v>19.639519553153107</v>
      </c>
      <c r="G205" s="11"/>
      <c r="H205" s="12" t="n">
        <f>MAX('Расчёт'!$J$257,'Расчёт'!$J$258,'Расчёт'!$J$259)</f>
        <v>73.03569080002126</v>
      </c>
      <c r="I205" s="11"/>
      <c r="J205" s="12" t="n">
        <f>MAX('Расчёт'!$K$257,'Расчёт'!$K$258,'Расчёт'!$K$259)</f>
        <v>70.76607722859268</v>
      </c>
      <c r="K205" s="12" t="n">
        <f>MAX('Расчёт'!$L$257,'Расчёт'!$L$258,'Расчёт'!$L$259)</f>
        <v>73.03569080002126</v>
      </c>
      <c r="L205" s="11"/>
    </row>
    <row r="206" ht="17" customHeight="1">
      <c r="A206" s="4" t="str">
        <v>Обшивка SH</v>
      </c>
      <c r="B206" s="4"/>
      <c r="C206" s="4"/>
      <c r="D206" s="12" t="n">
        <f>MAX('Расчёт'!$H$260,'Расчёт'!$H$261,'Расчёт'!$H$262)</f>
        <v>62.931500357142866</v>
      </c>
      <c r="E206" s="11"/>
      <c r="F206" s="12" t="n">
        <f>MAX('Расчёт'!$I$260,'Расчёт'!$I$261,'Расчёт'!$I$262)</f>
        <v>17.62727307873785</v>
      </c>
      <c r="G206" s="11"/>
      <c r="H206" s="12" t="n">
        <f>MAX('Расчёт'!$J$260,'Расчёт'!$J$261,'Расчёт'!$J$262)</f>
        <v>62.931500357142866</v>
      </c>
      <c r="I206" s="11"/>
      <c r="J206" s="12" t="n">
        <f>MAX('Расчёт'!$K$260,'Расчёт'!$K$261,'Расчёт'!$K$262)</f>
        <v>60.66188678571428</v>
      </c>
      <c r="K206" s="12" t="n">
        <f>MAX('Расчёт'!$L$260,'Расчёт'!$L$261,'Расчёт'!$L$262)</f>
        <v>62.931500357142866</v>
      </c>
      <c r="L206" s="11"/>
    </row>
    <row r="207" ht="17" customHeight="1">
      <c r="A207" s="4" t="str">
        <v>ISG</v>
      </c>
      <c r="B207" s="4"/>
      <c r="C207" s="4"/>
      <c r="D207" s="12" t="n">
        <f>MAX('Расчёт'!$H$263,'Расчёт'!$H$264,'Расчёт'!$H$265)</f>
        <v>174.14002123760736</v>
      </c>
      <c r="E207" s="11"/>
      <c r="F207" s="12" t="n">
        <f>MAX('Расчёт'!$I$263,'Расчёт'!$I$264,'Расчёт'!$I$265)</f>
        <v>91.9294073660566</v>
      </c>
      <c r="G207" s="11"/>
      <c r="H207" s="12" t="n">
        <f>MAX('Расчёт'!$J$263,'Расчёт'!$J$264,'Расчёт'!$J$265)</f>
        <v>174.14002123760736</v>
      </c>
      <c r="I207" s="11"/>
      <c r="J207" s="12" t="n">
        <f>MAX('Расчёт'!$K$263,'Расчёт'!$K$264,'Расчёт'!$K$265)</f>
        <v>182.83317428571425</v>
      </c>
      <c r="K207" s="12" t="n">
        <f>MAX('Расчёт'!$L$263,'Расчёт'!$L$264,'Расчёт'!$L$265)</f>
        <v>185.10278785714283</v>
      </c>
      <c r="L207" s="11"/>
    </row>
    <row r="208" ht="17" customHeight="1">
      <c r="A208" s="4" t="str">
        <v>ISF</v>
      </c>
      <c r="B208" s="4"/>
      <c r="C208" s="4"/>
      <c r="D208" s="12" t="n">
        <f>MAX('Расчёт'!$H$266,'Расчёт'!$H$267,'Расчёт'!$H$268)</f>
        <v>164.99228785714286</v>
      </c>
      <c r="E208" s="11"/>
      <c r="F208" s="12" t="n">
        <f>MAX('Расчёт'!$I$266,'Расчёт'!$I$267,'Расчёт'!$I$268)</f>
        <v>74.77394439570956</v>
      </c>
      <c r="G208" s="11"/>
      <c r="H208" s="12" t="n">
        <f>MAX('Расчёт'!$J$266,'Расчёт'!$J$267,'Расчёт'!$J$268)</f>
        <v>164.99228785714286</v>
      </c>
      <c r="I208" s="11"/>
      <c r="J208" s="12" t="n">
        <f>MAX('Расчёт'!$K$266,'Расчёт'!$K$267,'Расчёт'!$K$268)</f>
        <v>162.72267428571425</v>
      </c>
      <c r="K208" s="12" t="n">
        <f>MAX('Расчёт'!$L$266,'Расчёт'!$L$267,'Расчёт'!$L$268)</f>
        <v>164.99228785714286</v>
      </c>
      <c r="L208" s="11"/>
    </row>
    <row r="209" ht="17" customHeight="1">
      <c r="A209" s="4" t="str">
        <v>ISE</v>
      </c>
      <c r="B209" s="4"/>
      <c r="C209" s="4"/>
      <c r="D209" s="12" t="n">
        <f>MAX('Расчёт'!$H$269,'Расчёт'!$H$270,'Расчёт'!$H$271)</f>
        <v>144.88178785714288</v>
      </c>
      <c r="E209" s="11"/>
      <c r="F209" s="12" t="n">
        <f>MAX('Расчёт'!$I$269,'Расчёт'!$I$270,'Расчёт'!$I$271)</f>
        <v>57.618481425362525</v>
      </c>
      <c r="G209" s="11"/>
      <c r="H209" s="12" t="n">
        <f>MAX('Расчёт'!$J$269,'Расчёт'!$J$270,'Расчёт'!$J$271)</f>
        <v>144.88178785714288</v>
      </c>
      <c r="I209" s="11"/>
      <c r="J209" s="12" t="n">
        <f>MAX('Расчёт'!$K$269,'Расчёт'!$K$270,'Расчёт'!$K$271)</f>
        <v>142.61217428571425</v>
      </c>
      <c r="K209" s="12" t="n">
        <f>MAX('Расчёт'!$L$269,'Расчёт'!$L$270,'Расчёт'!$L$271)</f>
        <v>144.88178785714288</v>
      </c>
      <c r="L209" s="11"/>
    </row>
    <row r="210" ht="17" customHeight="1">
      <c r="A210" s="4" t="str">
        <v>ISD</v>
      </c>
      <c r="B210" s="4"/>
      <c r="C210" s="4"/>
      <c r="D210" s="12" t="n">
        <f>MAX('Расчёт'!$H$272,'Расчёт'!$H$273,'Расчёт'!$H$274)</f>
        <v>124.77128785714285</v>
      </c>
      <c r="E210" s="11"/>
      <c r="F210" s="12" t="n">
        <f>MAX('Расчёт'!$I$272,'Расчёт'!$I$273,'Расчёт'!$I$274)</f>
        <v>40.46301845501549</v>
      </c>
      <c r="G210" s="11"/>
      <c r="H210" s="12" t="n">
        <f>MAX('Расчёт'!$J$272,'Расчёт'!$J$273,'Расчёт'!$J$274)</f>
        <v>124.77128785714285</v>
      </c>
      <c r="I210" s="11"/>
      <c r="J210" s="12" t="n">
        <f>MAX('Расчёт'!$K$272,'Расчёт'!$K$273,'Расчёт'!$K$274)</f>
        <v>122.50167428571426</v>
      </c>
      <c r="K210" s="12" t="n">
        <f>MAX('Расчёт'!$L$272,'Расчёт'!$L$273,'Расчёт'!$L$274)</f>
        <v>124.77128785714285</v>
      </c>
      <c r="L210" s="11"/>
    </row>
    <row r="211" ht="17" customHeight="1">
      <c r="A211" s="4" t="str">
        <v>ISC</v>
      </c>
      <c r="B211" s="4"/>
      <c r="C211" s="4"/>
      <c r="D211" s="12" t="n">
        <f>MAX('Расчёт'!$H$275,'Расчёт'!$H$276,'Расчёт'!$H$277)</f>
        <v>104.66078785714284</v>
      </c>
      <c r="E211" s="11"/>
      <c r="F211" s="12" t="n">
        <f>MAX('Расчёт'!$I$275,'Расчёт'!$I$276,'Расчёт'!$I$277)</f>
        <v>25.937648078737848</v>
      </c>
      <c r="G211" s="11"/>
      <c r="H211" s="12" t="n">
        <f>MAX('Расчёт'!$J$275,'Расчёт'!$J$276,'Расчёт'!$J$277)</f>
        <v>104.66078785714284</v>
      </c>
      <c r="I211" s="11"/>
      <c r="J211" s="12" t="n">
        <f>MAX('Расчёт'!$K$275,'Расчёт'!$K$276,'Расчёт'!$K$277)</f>
        <v>102.39117428571426</v>
      </c>
      <c r="K211" s="12" t="n">
        <f>MAX('Расчёт'!$L$275,'Расчёт'!$L$276,'Расчёт'!$L$277)</f>
        <v>104.66078785714284</v>
      </c>
      <c r="L211" s="11"/>
    </row>
    <row r="212" ht="17" customHeight="1">
      <c r="A212" s="4" t="str">
        <v>ISB</v>
      </c>
      <c r="B212" s="4"/>
      <c r="C212" s="4"/>
      <c r="D212" s="12" t="n">
        <f>MAX('Расчёт'!$H$278,'Расчёт'!$H$279,'Расчёт'!$H$280)</f>
        <v>84.55028785714283</v>
      </c>
      <c r="E212" s="11"/>
      <c r="F212" s="12" t="n">
        <f>MAX('Расчёт'!$I$278,'Расчёт'!$I$279,'Расчёт'!$I$280)</f>
        <v>21.93264807873785</v>
      </c>
      <c r="G212" s="11"/>
      <c r="H212" s="12" t="n">
        <f>MAX('Расчёт'!$J$278,'Расчёт'!$J$279,'Расчёт'!$J$280)</f>
        <v>84.55028785714283</v>
      </c>
      <c r="I212" s="11"/>
      <c r="J212" s="12" t="n">
        <f>MAX('Расчёт'!$K$278,'Расчёт'!$K$279,'Расчёт'!$K$280)</f>
        <v>82.28067428571427</v>
      </c>
      <c r="K212" s="12" t="n">
        <f>MAX('Расчёт'!$L$278,'Расчёт'!$L$279,'Расчёт'!$L$280)</f>
        <v>84.55028785714283</v>
      </c>
      <c r="L212" s="11"/>
    </row>
    <row r="213" ht="17" customHeight="1">
      <c r="A213" s="4" t="str">
        <v>ISA</v>
      </c>
      <c r="B213" s="4"/>
      <c r="C213" s="4"/>
      <c r="D213" s="12" t="n">
        <f>MAX('Расчёт'!$H$281,'Расчёт'!$H$282,'Расчёт'!$H$283)</f>
        <v>64.43978785714285</v>
      </c>
      <c r="E213" s="11"/>
      <c r="F213" s="12" t="n">
        <f>MAX('Расчёт'!$I$281,'Расчёт'!$I$282,'Расчёт'!$I$283)</f>
        <v>17.92764807873785</v>
      </c>
      <c r="G213" s="11"/>
      <c r="H213" s="12" t="n">
        <f>MAX('Расчёт'!$J$281,'Расчёт'!$J$282,'Расчёт'!$J$283)</f>
        <v>64.43978785714285</v>
      </c>
      <c r="I213" s="11"/>
      <c r="J213" s="12" t="n">
        <f>MAX('Расчёт'!$K$281,'Расчёт'!$K$282,'Расчёт'!$K$283)</f>
        <v>62.17017428571427</v>
      </c>
      <c r="K213" s="12" t="n">
        <f>MAX('Расчёт'!$L$281,'Расчёт'!$L$282,'Расчёт'!$L$283)</f>
        <v>64.43978785714285</v>
      </c>
      <c r="L213" s="11"/>
    </row>
    <row r="214" ht="17" customHeight="1">
      <c r="A214" s="4" t="str">
        <v>OF1</v>
      </c>
      <c r="B214" s="4"/>
      <c r="C214" s="4"/>
      <c r="D214" s="12" t="n">
        <f>MAX('Расчёт'!$H$284,'Расчёт'!$H$285,'Расчёт'!$H$286)</f>
        <v>168.00886285714284</v>
      </c>
      <c r="E214" s="11"/>
      <c r="F214" s="12" t="n">
        <f>MAX('Расчёт'!$I$284,'Расчёт'!$I$285,'Расчёт'!$I$286)</f>
        <v>77.34726384126161</v>
      </c>
      <c r="G214" s="11"/>
      <c r="H214" s="12" t="n">
        <f>MAX('Расчёт'!$J$284,'Расчёт'!$J$285,'Расчёт'!$J$286)</f>
        <v>168.00886285714284</v>
      </c>
      <c r="I214" s="11"/>
      <c r="J214" s="12" t="n">
        <f>MAX('Расчёт'!$K$284,'Расчёт'!$K$285,'Расчёт'!$K$286)</f>
        <v>165.73924928571427</v>
      </c>
      <c r="K214" s="12" t="n">
        <f>MAX('Расчёт'!$L$284,'Расчёт'!$L$285,'Расчёт'!$L$286)</f>
        <v>168.00886285714284</v>
      </c>
      <c r="L214" s="11"/>
    </row>
    <row r="215" ht="17" customHeight="1">
      <c r="A215" s="4" t="str">
        <v>OF2</v>
      </c>
      <c r="B215" s="4"/>
      <c r="C215" s="4"/>
      <c r="D215" s="12" t="n">
        <f>MAX('Расчёт'!$H$287,'Расчёт'!$H$288,'Расчёт'!$H$289)</f>
        <v>133.82101285714285</v>
      </c>
      <c r="E215" s="11"/>
      <c r="F215" s="12" t="n">
        <f>MAX('Расчёт'!$I$287,'Расчёт'!$I$288,'Расчёт'!$I$289)</f>
        <v>48.18297679167165</v>
      </c>
      <c r="G215" s="11"/>
      <c r="H215" s="12" t="n">
        <f>MAX('Расчёт'!$J$287,'Расчёт'!$J$288,'Расчёт'!$J$289)</f>
        <v>133.82101285714285</v>
      </c>
      <c r="I215" s="11"/>
      <c r="J215" s="12" t="n">
        <f>MAX('Расчёт'!$K$287,'Расчёт'!$K$288,'Расчёт'!$K$289)</f>
        <v>131.55139928571427</v>
      </c>
      <c r="K215" s="12" t="n">
        <f>MAX('Расчёт'!$L$287,'Расчёт'!$L$288,'Расчёт'!$L$289)</f>
        <v>133.82101285714285</v>
      </c>
      <c r="L215" s="11"/>
    </row>
    <row r="216" ht="17" customHeight="1">
      <c r="A216" s="4" t="str">
        <v>OF3</v>
      </c>
      <c r="B216" s="4"/>
      <c r="C216" s="4"/>
      <c r="D216" s="12" t="n">
        <f>MAX('Расчёт'!$H$290,'Расчёт'!$H$291,'Расчёт'!$H$292)</f>
        <v>99.63316285714284</v>
      </c>
      <c r="E216" s="11"/>
      <c r="F216" s="12" t="n">
        <f>MAX('Расчёт'!$I$290,'Расчёт'!$I$291,'Расчёт'!$I$292)</f>
        <v>24.93639807873785</v>
      </c>
      <c r="G216" s="11"/>
      <c r="H216" s="12" t="n">
        <f>MAX('Расчёт'!$J$290,'Расчёт'!$J$291,'Расчёт'!$J$292)</f>
        <v>99.63316285714284</v>
      </c>
      <c r="I216" s="11"/>
      <c r="J216" s="12" t="n">
        <f>MAX('Расчёт'!$K$290,'Расчёт'!$K$291,'Расчёт'!$K$292)</f>
        <v>97.36354928571426</v>
      </c>
      <c r="K216" s="12" t="n">
        <f>MAX('Расчёт'!$L$290,'Расчёт'!$L$291,'Расчёт'!$L$292)</f>
        <v>99.63316285714284</v>
      </c>
      <c r="L216" s="11"/>
    </row>
    <row r="217" ht="17" customHeight="1">
      <c r="A217" s="4" t="str">
        <v>OF4</v>
      </c>
      <c r="B217" s="4"/>
      <c r="C217" s="4"/>
      <c r="D217" s="12" t="n">
        <f>MAX('Расчёт'!$H$293,'Расчёт'!$H$294,'Расчёт'!$H$295)</f>
        <v>64.94255035714286</v>
      </c>
      <c r="E217" s="11"/>
      <c r="F217" s="12" t="n">
        <f>MAX('Расчёт'!$I$293,'Расчёт'!$I$294,'Расчёт'!$I$295)</f>
        <v>18.02777307873785</v>
      </c>
      <c r="G217" s="11"/>
      <c r="H217" s="12" t="n">
        <f>MAX('Расчёт'!$J$293,'Расчёт'!$J$294,'Расчёт'!$J$295)</f>
        <v>64.94255035714286</v>
      </c>
      <c r="I217" s="11"/>
      <c r="J217" s="12" t="n">
        <f>MAX('Расчёт'!$K$293,'Расчёт'!$K$294,'Расчёт'!$K$295)</f>
        <v>62.67293678571427</v>
      </c>
      <c r="K217" s="12" t="n">
        <f>MAX('Расчёт'!$L$293,'Расчёт'!$L$294,'Расчёт'!$L$295)</f>
        <v>64.94255035714286</v>
      </c>
      <c r="L217" s="11"/>
    </row>
    <row r="218" ht="17" customHeight="1">
      <c r="A218" s="4" t="str">
        <v>IF1</v>
      </c>
      <c r="B218" s="4"/>
      <c r="C218" s="4"/>
      <c r="D218" s="12" t="n">
        <f>MAX('Расчёт'!$H$296,'Расчёт'!$H$297,'Расчёт'!$H$298)</f>
        <v>168.00886285714284</v>
      </c>
      <c r="E218" s="11"/>
      <c r="F218" s="12" t="n">
        <f>MAX('Расчёт'!$I$296,'Расчёт'!$I$297,'Расчёт'!$I$298)</f>
        <v>77.34726384126161</v>
      </c>
      <c r="G218" s="11"/>
      <c r="H218" s="12" t="n">
        <f>MAX('Расчёт'!$J$296,'Расчёт'!$J$297,'Расчёт'!$J$298)</f>
        <v>168.00886285714284</v>
      </c>
      <c r="I218" s="11"/>
      <c r="J218" s="12" t="n">
        <f>MAX('Расчёт'!$K$296,'Расчёт'!$K$297,'Расчёт'!$K$298)</f>
        <v>165.73924928571427</v>
      </c>
      <c r="K218" s="12" t="n">
        <f>MAX('Расчёт'!$L$296,'Расчёт'!$L$297,'Расчёт'!$L$298)</f>
        <v>168.00886285714284</v>
      </c>
      <c r="L218" s="11"/>
    </row>
    <row r="219" ht="17" customHeight="1">
      <c r="A219" s="4" t="str">
        <v>IF2</v>
      </c>
      <c r="B219" s="4"/>
      <c r="C219" s="4"/>
      <c r="D219" s="12" t="n">
        <f>MAX('Расчёт'!$H$299,'Расчёт'!$H$300,'Расчёт'!$H$301)</f>
        <v>133.82101285714285</v>
      </c>
      <c r="E219" s="11"/>
      <c r="F219" s="12" t="n">
        <f>MAX('Расчёт'!$I$299,'Расчёт'!$I$300,'Расчёт'!$I$301)</f>
        <v>48.18297679167165</v>
      </c>
      <c r="G219" s="11"/>
      <c r="H219" s="12" t="n">
        <f>MAX('Расчёт'!$J$299,'Расчёт'!$J$300,'Расчёт'!$J$301)</f>
        <v>133.82101285714285</v>
      </c>
      <c r="I219" s="11"/>
      <c r="J219" s="12" t="n">
        <f>MAX('Расчёт'!$K$299,'Расчёт'!$K$300,'Расчёт'!$K$301)</f>
        <v>131.55139928571427</v>
      </c>
      <c r="K219" s="12" t="n">
        <f>MAX('Расчёт'!$L$299,'Расчёт'!$L$300,'Расчёт'!$L$301)</f>
        <v>133.82101285714285</v>
      </c>
      <c r="L219" s="11"/>
    </row>
    <row r="220" ht="17" customHeight="1">
      <c r="A220" s="4" t="str">
        <v>IF3</v>
      </c>
      <c r="B220" s="4"/>
      <c r="C220" s="4"/>
      <c r="D220" s="12" t="n">
        <f>MAX('Расчёт'!$H$302,'Расчёт'!$H$303,'Расчёт'!$H$304)</f>
        <v>99.63316285714284</v>
      </c>
      <c r="E220" s="11"/>
      <c r="F220" s="12" t="n">
        <f>MAX('Расчёт'!$I$302,'Расчёт'!$I$303,'Расчёт'!$I$304)</f>
        <v>24.93639807873785</v>
      </c>
      <c r="G220" s="11"/>
      <c r="H220" s="12" t="n">
        <f>MAX('Расчёт'!$J$302,'Расчёт'!$J$303,'Расчёт'!$J$304)</f>
        <v>99.63316285714284</v>
      </c>
      <c r="I220" s="11"/>
      <c r="J220" s="12" t="n">
        <f>MAX('Расчёт'!$K$302,'Расчёт'!$K$303,'Расчёт'!$K$304)</f>
        <v>97.36354928571426</v>
      </c>
      <c r="K220" s="12" t="n">
        <f>MAX('Расчёт'!$L$302,'Расчёт'!$L$303,'Расчёт'!$L$304)</f>
        <v>99.63316285714284</v>
      </c>
      <c r="L220" s="11"/>
    </row>
    <row r="221" ht="17" customHeight="1">
      <c r="A221" s="4" t="str">
        <v>IF4</v>
      </c>
      <c r="B221" s="4"/>
      <c r="C221" s="4"/>
      <c r="D221" s="12" t="n">
        <f>MAX('Расчёт'!$H$305,'Расчёт'!$H$306,'Расчёт'!$H$307)</f>
        <v>64.54034035714287</v>
      </c>
      <c r="E221" s="11"/>
      <c r="F221" s="12" t="n">
        <f>MAX('Расчёт'!$I$305,'Расчёт'!$I$306,'Расчёт'!$I$307)</f>
        <v>17.94767307873785</v>
      </c>
      <c r="G221" s="11"/>
      <c r="H221" s="12" t="n">
        <f>MAX('Расчёт'!$J$305,'Расчёт'!$J$306,'Расчёт'!$J$307)</f>
        <v>64.54034035714287</v>
      </c>
      <c r="I221" s="11"/>
      <c r="J221" s="12" t="n">
        <f>MAX('Расчёт'!$K$305,'Расчёт'!$K$306,'Расчёт'!$K$307)</f>
        <v>62.27072678571428</v>
      </c>
      <c r="K221" s="12" t="n">
        <f>MAX('Расчёт'!$L$305,'Расчёт'!$L$306,'Расчёт'!$L$307)</f>
        <v>64.54034035714287</v>
      </c>
      <c r="L221" s="11"/>
    </row>
    <row r="222" ht="25" customHeight="1">
      <c r="A222" s="7" t="str">
        <v>Промежуточные расчёты давления в трёх точках каждого элемента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28" customHeight="1" collapsed="1">
      <c r="A223" s="10" t="str">
        <v>Точка</v>
      </c>
      <c r="B223" s="10"/>
      <c r="C223" s="10" t="str">
        <v>z, м</v>
      </c>
      <c r="D223" s="10" t="str">
        <v>pstB</v>
      </c>
      <c r="E223" s="10" t="str">
        <v>pwB</v>
      </c>
      <c r="F223" s="10" t="str">
        <v>pпротив</v>
      </c>
      <c r="G223" s="10" t="str">
        <v>pB</v>
      </c>
      <c r="H223" s="10" t="str">
        <v>pнетто</v>
      </c>
      <c r="I223" s="10" t="str">
        <v>pвнеш</v>
      </c>
      <c r="J223" s="10" t="str">
        <v>pобш</v>
      </c>
      <c r="K223" s="10" t="str">
        <v>pгруз</v>
      </c>
      <c r="L223" s="10" t="str">
        <v>pвнутр</v>
      </c>
    </row>
    <row r="224" ht="17" customHeight="1" outlineLevel="1" hidden="1">
      <c r="A224" s="14" t="str">
        <v>Днище / 1</v>
      </c>
      <c r="B224" s="4"/>
      <c r="C224" s="12" t="n">
        <f>0</f>
        <v>0</v>
      </c>
      <c r="D224" s="12" t="n">
        <f>10*MAX('Расчёт'!$F$91-'Расчёт'!$C$224,0)</f>
        <v>50</v>
      </c>
      <c r="E224" s="12" t="n">
        <f>MAX(0,IF('Расчёт'!$C$224&lt;='Расчёт'!$F$91,'Расчёт'!$F$85-1.5*'Расчёт'!$F$84*('Расчёт'!$F$91-'Расчёт'!$C$224)/'Расчёт'!$F$91,'Расчёт'!$F$85-7.5*'Расчёт'!$F$48*('Расчёт'!$C$224-'Расчёт'!$F$91)))</f>
        <v>13.369324039368927</v>
      </c>
      <c r="F224" s="12" t="n">
        <f>MAX('Расчёт'!$D$224-'Расчёт'!$E$224,0)</f>
        <v>36.63067596063107</v>
      </c>
      <c r="G224" s="12" t="n">
        <f>MAX('Расчёт'!$F$40*('Расчёт'!$F$50+'Расчёт'!$F$86)*(MAX('Расчёт'!$F$95-'Расчёт'!$C$224,0)),'Расчёт'!$F$40*'Расчёт'!$F$50*((MAX('Расчёт'!$F$95-'Расчёт'!$C$224,0))+('Расчёт'!$F$93)*'Расчёт'!$F$87),'Расчёт'!$F$40*'Расчёт'!$F$50*((MAX('Расчёт'!$F$95-'Расчёт'!$C$224,0))+'Расчёт'!$F$98*'Расчёт'!$F$88),0.75*'Расчёт'!$F$40*'Расчёт'!$F$50*((MAX('Расчёт'!$F$95-'Расчёт'!$C$224,0))+'Расчёт'!$F$99),'Расчёт'!$F$40*'Расчёт'!$F$50*(MAX('Расчёт'!$F$95-'Расчёт'!$C$224,0))+'Расчёт'!$F$100)</f>
        <v>203.20223785714285</v>
      </c>
      <c r="H224" s="12" t="n">
        <f>'Расчёт'!$G$224-'Расчёт'!$F$224</f>
        <v>166.57156189651178</v>
      </c>
      <c r="I224" s="12" t="n">
        <f>10*MAX('Расчёт'!$F$92-'Расчёт'!$C$224,0)+MAX(IF('Расчёт'!$C$224&lt;='Расчёт'!$F$92,'Расчёт'!$F$85-1.5*'Расчёт'!$F$84*('Расчёт'!$F$92-'Расчёт'!$C$224)/'Расчёт'!$F$92,'Расчёт'!$F$85-7.5*'Расчёт'!$F$48*('Расчёт'!$C$224-'Расчёт'!$F$92)),IF('Расчёт'!$C$224&gt;'Расчёт'!$F$92,0.03*'Расчёт'!$F$20+5,0))</f>
        <v>107.36932403936893</v>
      </c>
      <c r="J224" s="12" t="n">
        <f>MAX('Расчёт'!$H$224,'Расчёт'!$I$224,ABS('Расчёт'!$G$224-('Расчёт'!$D$224+'Расчёт'!$E$224)))</f>
        <v>166.57156189651178</v>
      </c>
      <c r="K224" s="12" t="n">
        <f>MAX('Расчёт'!$F$40*('Расчёт'!$F$50+'Расчёт'!$F$86)*(MAX('Расчёт'!$F$96-'Расчёт'!$C$224,0)),'Расчёт'!$F$40*'Расчёт'!$F$50*((MAX('Расчёт'!$F$96-'Расчёт'!$C$224,0))+('Расчёт'!$F$94)*'Расчёт'!$F$87),'Расчёт'!$F$40*'Расчёт'!$F$50*((MAX('Расчёт'!$F$96-'Расчёт'!$C$224,0))+'Расчёт'!$F$98*'Расчёт'!$F$88),0.75*'Расчёт'!$F$40*'Расчёт'!$F$50*((MAX('Расчёт'!$F$96-'Расчёт'!$C$224,0))+'Расчёт'!$F$99),'Расчёт'!$F$40*'Расчёт'!$F$50*(MAX('Расчёт'!$F$96-'Расчёт'!$C$224,0))+'Расчёт'!$F$100)</f>
        <v>200.93262428571427</v>
      </c>
      <c r="L224" s="12" t="n">
        <f>MAX('Расчёт'!$K$224,'Расчёт'!$G$224)</f>
        <v>203.20223785714285</v>
      </c>
    </row>
    <row r="225" ht="17" customHeight="1" outlineLevel="1" hidden="1">
      <c r="A225" s="14" t="str">
        <v>Днище / 2</v>
      </c>
      <c r="B225" s="4"/>
      <c r="C225" s="12" t="n">
        <f>0</f>
        <v>0</v>
      </c>
      <c r="D225" s="12" t="n">
        <f>10*MAX('Расчёт'!$F$91-'Расчёт'!$C$225,0)</f>
        <v>50</v>
      </c>
      <c r="E225" s="12" t="n">
        <f>MAX(0,IF('Расчёт'!$C$225&lt;='Расчёт'!$F$91,'Расчёт'!$F$85-1.5*'Расчёт'!$F$84*('Расчёт'!$F$91-'Расчёт'!$C$225)/'Расчёт'!$F$91,'Расчёт'!$F$85-7.5*'Расчёт'!$F$48*('Расчёт'!$C$225-'Расчёт'!$F$91)))</f>
        <v>13.369324039368927</v>
      </c>
      <c r="F225" s="12" t="n">
        <f>MAX('Расчёт'!$D$225-'Расчёт'!$E$225,0)</f>
        <v>36.63067596063107</v>
      </c>
      <c r="G225" s="12" t="n">
        <f>MAX('Расчёт'!$F$40*('Расчёт'!$F$50+'Расчёт'!$F$86)*(MAX('Расчёт'!$F$95-'Расчёт'!$C$225,0)),'Расчёт'!$F$40*'Расчёт'!$F$50*((MAX('Расчёт'!$F$95-'Расчёт'!$C$225,0))+('Расчёт'!$F$93)*'Расчёт'!$F$87),'Расчёт'!$F$40*'Расчёт'!$F$50*((MAX('Расчёт'!$F$95-'Расчёт'!$C$225,0))+'Расчёт'!$F$98*'Расчёт'!$F$88),0.75*'Расчёт'!$F$40*'Расчёт'!$F$50*((MAX('Расчёт'!$F$95-'Расчёт'!$C$225,0))+'Расчёт'!$F$99),'Расчёт'!$F$40*'Расчёт'!$F$50*(MAX('Расчёт'!$F$95-'Расчёт'!$C$225,0))+'Расчёт'!$F$100)</f>
        <v>203.20223785714285</v>
      </c>
      <c r="H225" s="12" t="n">
        <f>'Расчёт'!$G$225-'Расчёт'!$F$225</f>
        <v>166.57156189651178</v>
      </c>
      <c r="I225" s="12" t="n">
        <f>10*MAX('Расчёт'!$F$92-'Расчёт'!$C$225,0)+MAX(IF('Расчёт'!$C$225&lt;='Расчёт'!$F$92,'Расчёт'!$F$85-1.5*'Расчёт'!$F$84*('Расчёт'!$F$92-'Расчёт'!$C$225)/'Расчёт'!$F$92,'Расчёт'!$F$85-7.5*'Расчёт'!$F$48*('Расчёт'!$C$225-'Расчёт'!$F$92)),IF('Расчёт'!$C$225&gt;'Расчёт'!$F$92,0.03*'Расчёт'!$F$20+5,0))</f>
        <v>107.36932403936893</v>
      </c>
      <c r="J225" s="12" t="n">
        <f>MAX('Расчёт'!$H$225,'Расчёт'!$I$225,ABS('Расчёт'!$G$225-('Расчёт'!$D$225+'Расчёт'!$E$225)))</f>
        <v>166.57156189651178</v>
      </c>
      <c r="K225" s="12" t="n">
        <f>MAX('Расчёт'!$F$40*('Расчёт'!$F$50+'Расчёт'!$F$86)*(MAX('Расчёт'!$F$96-'Расчёт'!$C$225,0)),'Расчёт'!$F$40*'Расчёт'!$F$50*((MAX('Расчёт'!$F$96-'Расчёт'!$C$225,0))+('Расчёт'!$F$94)*'Расчёт'!$F$87),'Расчёт'!$F$40*'Расчёт'!$F$50*((MAX('Расчёт'!$F$96-'Расчёт'!$C$225,0))+'Расчёт'!$F$98*'Расчёт'!$F$88),0.75*'Расчёт'!$F$40*'Расчёт'!$F$50*((MAX('Расчёт'!$F$96-'Расчёт'!$C$225,0))+'Расчёт'!$F$99),'Расчёт'!$F$40*'Расчёт'!$F$50*(MAX('Расчёт'!$F$96-'Расчёт'!$C$225,0))+'Расчёт'!$F$100)</f>
        <v>200.93262428571427</v>
      </c>
      <c r="L225" s="12" t="n">
        <f>MAX('Расчёт'!$K$225,'Расчёт'!$G$225)</f>
        <v>203.20223785714285</v>
      </c>
    </row>
    <row r="226" ht="17" customHeight="1" outlineLevel="1" hidden="1">
      <c r="A226" s="14" t="str">
        <v>Днище / 3</v>
      </c>
      <c r="B226" s="4"/>
      <c r="C226" s="12" t="n">
        <f>MAX((0),MIN((0),'Расчёт'!$F$101))</f>
        <v>0</v>
      </c>
      <c r="D226" s="12" t="n">
        <f>10*MAX('Расчёт'!$F$91-'Расчёт'!$C$226,0)</f>
        <v>50</v>
      </c>
      <c r="E226" s="12" t="n">
        <f>MAX(0,IF('Расчёт'!$C$226&lt;='Расчёт'!$F$91,'Расчёт'!$F$85-1.5*'Расчёт'!$F$84*('Расчёт'!$F$91-'Расчёт'!$C$226)/'Расчёт'!$F$91,'Расчёт'!$F$85-7.5*'Расчёт'!$F$48*('Расчёт'!$C$226-'Расчёт'!$F$91)))</f>
        <v>13.369324039368927</v>
      </c>
      <c r="F226" s="12" t="n">
        <f>MAX('Расчёт'!$D$226-'Расчёт'!$E$226,0)</f>
        <v>36.63067596063107</v>
      </c>
      <c r="G226" s="12" t="n">
        <f>MAX('Расчёт'!$F$40*('Расчёт'!$F$50+'Расчёт'!$F$86)*(MAX('Расчёт'!$F$95-'Расчёт'!$C$226,0)),'Расчёт'!$F$40*'Расчёт'!$F$50*((MAX('Расчёт'!$F$95-'Расчёт'!$C$226,0))+('Расчёт'!$F$93)*'Расчёт'!$F$87),'Расчёт'!$F$40*'Расчёт'!$F$50*((MAX('Расчёт'!$F$95-'Расчёт'!$C$226,0))+'Расчёт'!$F$98*'Расчёт'!$F$88),0.75*'Расчёт'!$F$40*'Расчёт'!$F$50*((MAX('Расчёт'!$F$95-'Расчёт'!$C$226,0))+'Расчёт'!$F$99),'Расчёт'!$F$40*'Расчёт'!$F$50*(MAX('Расчёт'!$F$95-'Расчёт'!$C$226,0))+'Расчёт'!$F$100)</f>
        <v>203.20223785714285</v>
      </c>
      <c r="H226" s="12" t="n">
        <f>'Расчёт'!$G$226-'Расчёт'!$F$226</f>
        <v>166.57156189651178</v>
      </c>
      <c r="I226" s="12" t="n">
        <f>10*MAX('Расчёт'!$F$92-'Расчёт'!$C$226,0)+MAX(IF('Расчёт'!$C$226&lt;='Расчёт'!$F$92,'Расчёт'!$F$85-1.5*'Расчёт'!$F$84*('Расчёт'!$F$92-'Расчёт'!$C$226)/'Расчёт'!$F$92,'Расчёт'!$F$85-7.5*'Расчёт'!$F$48*('Расчёт'!$C$226-'Расчёт'!$F$92)),IF('Расчёт'!$C$226&gt;'Расчёт'!$F$92,0.03*'Расчёт'!$F$20+5,0))</f>
        <v>107.36932403936893</v>
      </c>
      <c r="J226" s="12" t="n">
        <f>MAX('Расчёт'!$H$226,'Расчёт'!$I$226,ABS('Расчёт'!$G$226-('Расчёт'!$D$226+'Расчёт'!$E$226)))</f>
        <v>166.57156189651178</v>
      </c>
      <c r="K226" s="12" t="n">
        <f>MAX('Расчёт'!$F$40*('Расчёт'!$F$50+'Расчёт'!$F$86)*(MAX('Расчёт'!$F$96-'Расчёт'!$C$226,0)),'Расчёт'!$F$40*'Расчёт'!$F$50*((MAX('Расчёт'!$F$96-'Расчёт'!$C$226,0))+('Расчёт'!$F$94)*'Расчёт'!$F$87),'Расчёт'!$F$40*'Расчёт'!$F$50*((MAX('Расчёт'!$F$96-'Расчёт'!$C$226,0))+'Расчёт'!$F$98*'Расчёт'!$F$88),0.75*'Расчёт'!$F$40*'Расчёт'!$F$50*((MAX('Расчёт'!$F$96-'Расчёт'!$C$226,0))+'Расчёт'!$F$99),'Расчёт'!$F$40*'Расчёт'!$F$50*(MAX('Расчёт'!$F$96-'Расчёт'!$C$226,0))+'Расчёт'!$F$100)</f>
        <v>200.93262428571427</v>
      </c>
      <c r="L226" s="12" t="n">
        <f>MAX('Расчёт'!$K$226,'Расчёт'!$G$226)</f>
        <v>203.20223785714285</v>
      </c>
    </row>
    <row r="227" ht="17" customHeight="1" outlineLevel="1" hidden="1">
      <c r="A227" s="14" t="str">
        <v>Второе дно / 1</v>
      </c>
      <c r="B227" s="4"/>
      <c r="C227" s="12" t="n">
        <f>'Расчёт'!$F$26</f>
        <v>1.8</v>
      </c>
      <c r="D227" s="12" t="n">
        <f>10*MAX('Расчёт'!$F$91-'Расчёт'!$C$227,0)</f>
        <v>32</v>
      </c>
      <c r="E227" s="12" t="n">
        <f>MAX(0,IF('Расчёт'!$C$227&lt;='Расчёт'!$F$91,'Расчёт'!$F$85-1.5*'Расчёт'!$F$84*('Расчёт'!$F$91-'Расчёт'!$C$227)/'Расчёт'!$F$91,'Расчёт'!$F$85-7.5*'Расчёт'!$F$48*('Расчёт'!$C$227-'Расчёт'!$F$91)))</f>
        <v>18.18228069354174</v>
      </c>
      <c r="F227" s="12" t="n">
        <f>MAX('Расчёт'!$D$227-'Расчёт'!$E$227,0)</f>
        <v>13.817719306458262</v>
      </c>
      <c r="G227" s="12" t="n">
        <f>MAX('Расчёт'!$F$40*('Расчёт'!$F$50+'Расчёт'!$F$86)*(MAX('Расчёт'!$F$95-'Расчёт'!$C$227,0)),'Расчёт'!$F$40*'Расчёт'!$F$50*((MAX('Расчёт'!$F$95-'Расчёт'!$C$227,0))+('Расчёт'!$F$93)*'Расчёт'!$F$87),'Расчёт'!$F$40*'Расчёт'!$F$50*((MAX('Расчёт'!$F$95-'Расчёт'!$C$227,0))+'Расчёт'!$F$98*'Расчёт'!$F$88),0.75*'Расчёт'!$F$40*'Расчёт'!$F$50*((MAX('Расчёт'!$F$95-'Расчёт'!$C$227,0))+'Расчёт'!$F$99),'Расчёт'!$F$40*'Расчёт'!$F$50*(MAX('Расчёт'!$F$95-'Расчёт'!$C$227,0))+'Расчёт'!$F$100)</f>
        <v>185.10278785714283</v>
      </c>
      <c r="H227" s="12" t="n">
        <f>'Расчёт'!$G$227-'Расчёт'!$F$227</f>
        <v>171.28506855068457</v>
      </c>
      <c r="I227" s="12" t="n">
        <f>10*MAX('Расчёт'!$F$92-'Расчёт'!$C$227,0)+MAX(IF('Расчёт'!$C$227&lt;='Расчёт'!$F$92,'Расчёт'!$F$85-1.5*'Расчёт'!$F$84*('Расчёт'!$F$92-'Расчёт'!$C$227)/'Расчёт'!$F$92,'Расчёт'!$F$85-7.5*'Расчёт'!$F$48*('Расчёт'!$C$227-'Расчёт'!$F$92)),IF('Расчёт'!$C$227&gt;'Расчёт'!$F$92,0.03*'Расчёт'!$F$20+5,0))</f>
        <v>91.9294073660566</v>
      </c>
      <c r="J227" s="12" t="n">
        <f>MAX('Расчёт'!$H$227,'Расчёт'!$I$227,ABS('Расчёт'!$G$227-('Расчёт'!$D$227+'Расчёт'!$E$227)))</f>
        <v>171.28506855068457</v>
      </c>
      <c r="K227" s="12" t="n">
        <f>MAX('Расчёт'!$F$40*('Расчёт'!$F$50+'Расчёт'!$F$86)*(MAX('Расчёт'!$F$96-'Расчёт'!$C$227,0)),'Расчёт'!$F$40*'Расчёт'!$F$50*((MAX('Расчёт'!$F$96-'Расчёт'!$C$227,0))+('Расчёт'!$F$94)*'Расчёт'!$F$87),'Расчёт'!$F$40*'Расчёт'!$F$50*((MAX('Расчёт'!$F$96-'Расчёт'!$C$227,0))+'Расчёт'!$F$98*'Расчёт'!$F$88),0.75*'Расчёт'!$F$40*'Расчёт'!$F$50*((MAX('Расчёт'!$F$96-'Расчёт'!$C$227,0))+'Расчёт'!$F$99),'Расчёт'!$F$40*'Расчёт'!$F$50*(MAX('Расчёт'!$F$96-'Расчёт'!$C$227,0))+'Расчёт'!$F$100)</f>
        <v>182.83317428571425</v>
      </c>
      <c r="L227" s="12" t="n">
        <f>MAX('Расчёт'!$K$227,'Расчёт'!$G$227)</f>
        <v>185.10278785714283</v>
      </c>
    </row>
    <row r="228" ht="17" customHeight="1" outlineLevel="1" hidden="1">
      <c r="A228" s="14" t="str">
        <v>Второе дно / 2</v>
      </c>
      <c r="B228" s="4"/>
      <c r="C228" s="12" t="n">
        <f>'Расчёт'!$F$26</f>
        <v>1.8</v>
      </c>
      <c r="D228" s="12" t="n">
        <f>10*MAX('Расчёт'!$F$91-'Расчёт'!$C$228,0)</f>
        <v>32</v>
      </c>
      <c r="E228" s="12" t="n">
        <f>MAX(0,IF('Расчёт'!$C$228&lt;='Расчёт'!$F$91,'Расчёт'!$F$85-1.5*'Расчёт'!$F$84*('Расчёт'!$F$91-'Расчёт'!$C$228)/'Расчёт'!$F$91,'Расчёт'!$F$85-7.5*'Расчёт'!$F$48*('Расчёт'!$C$228-'Расчёт'!$F$91)))</f>
        <v>18.18228069354174</v>
      </c>
      <c r="F228" s="12" t="n">
        <f>MAX('Расчёт'!$D$228-'Расчёт'!$E$228,0)</f>
        <v>13.817719306458262</v>
      </c>
      <c r="G228" s="12" t="n">
        <f>MAX('Расчёт'!$F$40*('Расчёт'!$F$50+'Расчёт'!$F$86)*(MAX('Расчёт'!$F$95-'Расчёт'!$C$228,0)),'Расчёт'!$F$40*'Расчёт'!$F$50*((MAX('Расчёт'!$F$95-'Расчёт'!$C$228,0))+('Расчёт'!$F$93)*'Расчёт'!$F$87),'Расчёт'!$F$40*'Расчёт'!$F$50*((MAX('Расчёт'!$F$95-'Расчёт'!$C$228,0))+'Расчёт'!$F$98*'Расчёт'!$F$88),0.75*'Расчёт'!$F$40*'Расчёт'!$F$50*((MAX('Расчёт'!$F$95-'Расчёт'!$C$228,0))+'Расчёт'!$F$99),'Расчёт'!$F$40*'Расчёт'!$F$50*(MAX('Расчёт'!$F$95-'Расчёт'!$C$228,0))+'Расчёт'!$F$100)</f>
        <v>185.10278785714283</v>
      </c>
      <c r="H228" s="12" t="n">
        <f>'Расчёт'!$G$228-'Расчёт'!$F$228</f>
        <v>171.28506855068457</v>
      </c>
      <c r="I228" s="12" t="n">
        <f>10*MAX('Расчёт'!$F$92-'Расчёт'!$C$228,0)+MAX(IF('Расчёт'!$C$228&lt;='Расчёт'!$F$92,'Расчёт'!$F$85-1.5*'Расчёт'!$F$84*('Расчёт'!$F$92-'Расчёт'!$C$228)/'Расчёт'!$F$92,'Расчёт'!$F$85-7.5*'Расчёт'!$F$48*('Расчёт'!$C$228-'Расчёт'!$F$92)),IF('Расчёт'!$C$228&gt;'Расчёт'!$F$92,0.03*'Расчёт'!$F$20+5,0))</f>
        <v>91.9294073660566</v>
      </c>
      <c r="J228" s="12" t="n">
        <f>MAX('Расчёт'!$H$228,'Расчёт'!$I$228,ABS('Расчёт'!$G$228-('Расчёт'!$D$228+'Расчёт'!$E$228)))</f>
        <v>171.28506855068457</v>
      </c>
      <c r="K228" s="12" t="n">
        <f>MAX('Расчёт'!$F$40*('Расчёт'!$F$50+'Расчёт'!$F$86)*(MAX('Расчёт'!$F$96-'Расчёт'!$C$228,0)),'Расчёт'!$F$40*'Расчёт'!$F$50*((MAX('Расчёт'!$F$96-'Расчёт'!$C$228,0))+('Расчёт'!$F$94)*'Расчёт'!$F$87),'Расчёт'!$F$40*'Расчёт'!$F$50*((MAX('Расчёт'!$F$96-'Расчёт'!$C$228,0))+'Расчёт'!$F$98*'Расчёт'!$F$88),0.75*'Расчёт'!$F$40*'Расчёт'!$F$50*((MAX('Расчёт'!$F$96-'Расчёт'!$C$228,0))+'Расчёт'!$F$99),'Расчёт'!$F$40*'Расчёт'!$F$50*(MAX('Расчёт'!$F$96-'Расчёт'!$C$228,0))+'Расчёт'!$F$100)</f>
        <v>182.83317428571425</v>
      </c>
      <c r="L228" s="12" t="n">
        <f>MAX('Расчёт'!$K$228,'Расчёт'!$G$228)</f>
        <v>185.10278785714283</v>
      </c>
    </row>
    <row r="229" ht="17" customHeight="1" outlineLevel="1" hidden="1">
      <c r="A229" s="14" t="str">
        <v>Второе дно / 3</v>
      </c>
      <c r="B229" s="4"/>
      <c r="C229" s="12" t="n">
        <f>MAX(('Расчёт'!$F$26),MIN(('Расчёт'!$F$26),'Расчёт'!$F$101))</f>
        <v>1.8</v>
      </c>
      <c r="D229" s="12" t="n">
        <f>10*MAX('Расчёт'!$F$91-'Расчёт'!$C$229,0)</f>
        <v>32</v>
      </c>
      <c r="E229" s="12" t="n">
        <f>MAX(0,IF('Расчёт'!$C$229&lt;='Расчёт'!$F$91,'Расчёт'!$F$85-1.5*'Расчёт'!$F$84*('Расчёт'!$F$91-'Расчёт'!$C$229)/'Расчёт'!$F$91,'Расчёт'!$F$85-7.5*'Расчёт'!$F$48*('Расчёт'!$C$229-'Расчёт'!$F$91)))</f>
        <v>18.18228069354174</v>
      </c>
      <c r="F229" s="12" t="n">
        <f>MAX('Расчёт'!$D$229-'Расчёт'!$E$229,0)</f>
        <v>13.817719306458262</v>
      </c>
      <c r="G229" s="12" t="n">
        <f>MAX('Расчёт'!$F$40*('Расчёт'!$F$50+'Расчёт'!$F$86)*(MAX('Расчёт'!$F$95-'Расчёт'!$C$229,0)),'Расчёт'!$F$40*'Расчёт'!$F$50*((MAX('Расчёт'!$F$95-'Расчёт'!$C$229,0))+('Расчёт'!$F$93)*'Расчёт'!$F$87),'Расчёт'!$F$40*'Расчёт'!$F$50*((MAX('Расчёт'!$F$95-'Расчёт'!$C$229,0))+'Расчёт'!$F$98*'Расчёт'!$F$88),0.75*'Расчёт'!$F$40*'Расчёт'!$F$50*((MAX('Расчёт'!$F$95-'Расчёт'!$C$229,0))+'Расчёт'!$F$99),'Расчёт'!$F$40*'Расчёт'!$F$50*(MAX('Расчёт'!$F$95-'Расчёт'!$C$229,0))+'Расчёт'!$F$100)</f>
        <v>185.10278785714283</v>
      </c>
      <c r="H229" s="12" t="n">
        <f>'Расчёт'!$G$229-'Расчёт'!$F$229</f>
        <v>171.28506855068457</v>
      </c>
      <c r="I229" s="12" t="n">
        <f>10*MAX('Расчёт'!$F$92-'Расчёт'!$C$229,0)+MAX(IF('Расчёт'!$C$229&lt;='Расчёт'!$F$92,'Расчёт'!$F$85-1.5*'Расчёт'!$F$84*('Расчёт'!$F$92-'Расчёт'!$C$229)/'Расчёт'!$F$92,'Расчёт'!$F$85-7.5*'Расчёт'!$F$48*('Расчёт'!$C$229-'Расчёт'!$F$92)),IF('Расчёт'!$C$229&gt;'Расчёт'!$F$92,0.03*'Расчёт'!$F$20+5,0))</f>
        <v>91.9294073660566</v>
      </c>
      <c r="J229" s="12" t="n">
        <f>MAX('Расчёт'!$H$229,'Расчёт'!$I$229,ABS('Расчёт'!$G$229-('Расчёт'!$D$229+'Расчёт'!$E$229)))</f>
        <v>171.28506855068457</v>
      </c>
      <c r="K229" s="12" t="n">
        <f>MAX('Расчёт'!$F$40*('Расчёт'!$F$50+'Расчёт'!$F$86)*(MAX('Расчёт'!$F$96-'Расчёт'!$C$229,0)),'Расчёт'!$F$40*'Расчёт'!$F$50*((MAX('Расчёт'!$F$96-'Расчёт'!$C$229,0))+('Расчёт'!$F$94)*'Расчёт'!$F$87),'Расчёт'!$F$40*'Расчёт'!$F$50*((MAX('Расчёт'!$F$96-'Расчёт'!$C$229,0))+'Расчёт'!$F$98*'Расчёт'!$F$88),0.75*'Расчёт'!$F$40*'Расчёт'!$F$50*((MAX('Расчёт'!$F$96-'Расчёт'!$C$229,0))+'Расчёт'!$F$99),'Расчёт'!$F$40*'Расчёт'!$F$50*(MAX('Расчёт'!$F$96-'Расчёт'!$C$229,0))+'Расчёт'!$F$100)</f>
        <v>182.83317428571425</v>
      </c>
      <c r="L229" s="12" t="n">
        <f>MAX('Расчёт'!$K$229,'Расчёт'!$G$229)</f>
        <v>185.10278785714283</v>
      </c>
    </row>
    <row r="230" ht="17" customHeight="1" outlineLevel="1" hidden="1">
      <c r="A230" s="14" t="str">
        <v>Верхняя палуба / 1</v>
      </c>
      <c r="B230" s="4"/>
      <c r="C230" s="12" t="n">
        <f>'Расчёт'!$F$22</f>
        <v>15.5</v>
      </c>
      <c r="D230" s="12" t="n">
        <f>10*MAX('Расчёт'!$F$91-'Расчёт'!$C$230,0)</f>
        <v>0</v>
      </c>
      <c r="E230" s="12" t="n">
        <f>MAX(0,IF('Расчёт'!$C$230&lt;='Расчёт'!$F$91,'Расчёт'!$F$85-1.5*'Расчёт'!$F$84*('Расчёт'!$F$91-'Расчёт'!$C$230)/'Расчёт'!$F$91,'Расчёт'!$F$85-7.5*'Расчёт'!$F$48*('Расчёт'!$C$230-'Расчёт'!$F$91)))</f>
        <v>5.7123980787378486</v>
      </c>
      <c r="F230" s="12" t="n">
        <f>MAX('Расчёт'!$D$230-'Расчёт'!$E$230,0)</f>
        <v>0</v>
      </c>
      <c r="G230" s="12" t="n">
        <f>MAX('Расчёт'!$F$40*('Расчёт'!$F$50+'Расчёт'!$F$86)*(MAX('Расчёт'!$F$95-'Расчёт'!$C$230,0)),'Расчёт'!$F$40*'Расчёт'!$F$50*((MAX('Расчёт'!$F$95-'Расчёт'!$C$230,0))+('Расчёт'!$F$93)*'Расчёт'!$F$87),'Расчёт'!$F$40*'Расчёт'!$F$50*((MAX('Расчёт'!$F$95-'Расчёт'!$C$230,0))+'Расчёт'!$F$98*'Расчёт'!$F$88),0.75*'Расчёт'!$F$40*'Расчёт'!$F$50*((MAX('Расчёт'!$F$95-'Расчёт'!$C$230,0))+'Расчёт'!$F$99),'Расчёт'!$F$40*'Расчёт'!$F$50*(MAX('Расчёт'!$F$95-'Расчёт'!$C$230,0))+'Расчёт'!$F$100)</f>
        <v>47.345862857142855</v>
      </c>
      <c r="H230" s="12" t="n">
        <f>'Расчёт'!$G$230-'Расчёт'!$F$230</f>
        <v>47.345862857142855</v>
      </c>
      <c r="I230" s="12" t="n">
        <f>10*MAX('Расчёт'!$F$92-'Расчёт'!$C$230,0)+MAX(IF('Расчёт'!$C$230&lt;='Расчёт'!$F$92,'Расчёт'!$F$85-1.5*'Расчёт'!$F$84*('Расчёт'!$F$92-'Расчёт'!$C$230)/'Расчёт'!$F$92,'Расчёт'!$F$85-7.5*'Расчёт'!$F$48*('Расчёт'!$C$230-'Расчёт'!$F$92)),IF('Расчёт'!$C$230&gt;'Расчёт'!$F$92,0.03*'Расчёт'!$F$20+5,0))</f>
        <v>14.52339807873785</v>
      </c>
      <c r="J230" s="12" t="n">
        <f>MAX('Расчёт'!$H$230,'Расчёт'!$I$230,ABS('Расчёт'!$G$230-('Расчёт'!$D$230+'Расчёт'!$E$230)))</f>
        <v>47.345862857142855</v>
      </c>
      <c r="K230" s="12" t="n">
        <f>MAX('Расчёт'!$F$40*('Расчёт'!$F$50+'Расчёт'!$F$86)*(MAX('Расчёт'!$F$96-'Расчёт'!$C$230,0)),'Расчёт'!$F$40*'Расчёт'!$F$50*((MAX('Расчёт'!$F$96-'Расчёт'!$C$230,0))+('Расчёт'!$F$94)*'Расчёт'!$F$87),'Расчёт'!$F$40*'Расчёт'!$F$50*((MAX('Расчёт'!$F$96-'Расчёт'!$C$230,0))+'Расчёт'!$F$98*'Расчёт'!$F$88),0.75*'Расчёт'!$F$40*'Расчёт'!$F$50*((MAX('Расчёт'!$F$96-'Расчёт'!$C$230,0))+'Расчёт'!$F$99),'Расчёт'!$F$40*'Расчёт'!$F$50*(MAX('Расчёт'!$F$96-'Расчёт'!$C$230,0))+'Расчёт'!$F$100)</f>
        <v>45.076249285714276</v>
      </c>
      <c r="L230" s="12" t="n">
        <f>MAX('Расчёт'!$K$230,'Расчёт'!$G$230)</f>
        <v>47.345862857142855</v>
      </c>
    </row>
    <row r="231" ht="17" customHeight="1" outlineLevel="1" hidden="1">
      <c r="A231" s="14" t="str">
        <v>Верхняя палуба / 2</v>
      </c>
      <c r="B231" s="4"/>
      <c r="C231" s="12" t="n">
        <f>'Расчёт'!$F$22</f>
        <v>15.5</v>
      </c>
      <c r="D231" s="12" t="n">
        <f>10*MAX('Расчёт'!$F$91-'Расчёт'!$C$231,0)</f>
        <v>0</v>
      </c>
      <c r="E231" s="12" t="n">
        <f>MAX(0,IF('Расчёт'!$C$231&lt;='Расчёт'!$F$91,'Расчёт'!$F$85-1.5*'Расчёт'!$F$84*('Расчёт'!$F$91-'Расчёт'!$C$231)/'Расчёт'!$F$91,'Расчёт'!$F$85-7.5*'Расчёт'!$F$48*('Расчёт'!$C$231-'Расчёт'!$F$91)))</f>
        <v>5.7123980787378486</v>
      </c>
      <c r="F231" s="12" t="n">
        <f>MAX('Расчёт'!$D$231-'Расчёт'!$E$231,0)</f>
        <v>0</v>
      </c>
      <c r="G231" s="12" t="n">
        <f>MAX('Расчёт'!$F$40*('Расчёт'!$F$50+'Расчёт'!$F$86)*(MAX('Расчёт'!$F$95-'Расчёт'!$C$231,0)),'Расчёт'!$F$40*'Расчёт'!$F$50*((MAX('Расчёт'!$F$95-'Расчёт'!$C$231,0))+('Расчёт'!$F$93)*'Расчёт'!$F$87),'Расчёт'!$F$40*'Расчёт'!$F$50*((MAX('Расчёт'!$F$95-'Расчёт'!$C$231,0))+'Расчёт'!$F$98*'Расчёт'!$F$88),0.75*'Расчёт'!$F$40*'Расчёт'!$F$50*((MAX('Расчёт'!$F$95-'Расчёт'!$C$231,0))+'Расчёт'!$F$99),'Расчёт'!$F$40*'Расчёт'!$F$50*(MAX('Расчёт'!$F$95-'Расчёт'!$C$231,0))+'Расчёт'!$F$100)</f>
        <v>47.345862857142855</v>
      </c>
      <c r="H231" s="12" t="n">
        <f>'Расчёт'!$G$231-'Расчёт'!$F$231</f>
        <v>47.345862857142855</v>
      </c>
      <c r="I231" s="12" t="n">
        <f>10*MAX('Расчёт'!$F$92-'Расчёт'!$C$231,0)+MAX(IF('Расчёт'!$C$231&lt;='Расчёт'!$F$92,'Расчёт'!$F$85-1.5*'Расчёт'!$F$84*('Расчёт'!$F$92-'Расчёт'!$C$231)/'Расчёт'!$F$92,'Расчёт'!$F$85-7.5*'Расчёт'!$F$48*('Расчёт'!$C$231-'Расчёт'!$F$92)),IF('Расчёт'!$C$231&gt;'Расчёт'!$F$92,0.03*'Расчёт'!$F$20+5,0))</f>
        <v>14.52339807873785</v>
      </c>
      <c r="J231" s="12" t="n">
        <f>MAX('Расчёт'!$H$231,'Расчёт'!$I$231,ABS('Расчёт'!$G$231-('Расчёт'!$D$231+'Расчёт'!$E$231)))</f>
        <v>47.345862857142855</v>
      </c>
      <c r="K231" s="12" t="n">
        <f>MAX('Расчёт'!$F$40*('Расчёт'!$F$50+'Расчёт'!$F$86)*(MAX('Расчёт'!$F$96-'Расчёт'!$C$231,0)),'Расчёт'!$F$40*'Расчёт'!$F$50*((MAX('Расчёт'!$F$96-'Расчёт'!$C$231,0))+('Расчёт'!$F$94)*'Расчёт'!$F$87),'Расчёт'!$F$40*'Расчёт'!$F$50*((MAX('Расчёт'!$F$96-'Расчёт'!$C$231,0))+'Расчёт'!$F$98*'Расчёт'!$F$88),0.75*'Расчёт'!$F$40*'Расчёт'!$F$50*((MAX('Расчёт'!$F$96-'Расчёт'!$C$231,0))+'Расчёт'!$F$99),'Расчёт'!$F$40*'Расчёт'!$F$50*(MAX('Расчёт'!$F$96-'Расчёт'!$C$231,0))+'Расчёт'!$F$100)</f>
        <v>45.076249285714276</v>
      </c>
      <c r="L231" s="12" t="n">
        <f>MAX('Расчёт'!$K$231,'Расчёт'!$G$231)</f>
        <v>47.345862857142855</v>
      </c>
    </row>
    <row r="232" ht="17" customHeight="1" outlineLevel="1" hidden="1">
      <c r="A232" s="14" t="str">
        <v>Верхняя палуба / 3</v>
      </c>
      <c r="B232" s="4"/>
      <c r="C232" s="12" t="n">
        <f>MAX(('Расчёт'!$F$22),MIN(('Расчёт'!$F$22),'Расчёт'!$F$101))</f>
        <v>15.5</v>
      </c>
      <c r="D232" s="12" t="n">
        <f>10*MAX('Расчёт'!$F$91-'Расчёт'!$C$232,0)</f>
        <v>0</v>
      </c>
      <c r="E232" s="12" t="n">
        <f>MAX(0,IF('Расчёт'!$C$232&lt;='Расчёт'!$F$91,'Расчёт'!$F$85-1.5*'Расчёт'!$F$84*('Расчёт'!$F$91-'Расчёт'!$C$232)/'Расчёт'!$F$91,'Расчёт'!$F$85-7.5*'Расчёт'!$F$48*('Расчёт'!$C$232-'Расчёт'!$F$91)))</f>
        <v>5.7123980787378486</v>
      </c>
      <c r="F232" s="12" t="n">
        <f>MAX('Расчёт'!$D$232-'Расчёт'!$E$232,0)</f>
        <v>0</v>
      </c>
      <c r="G232" s="12" t="n">
        <f>MAX('Расчёт'!$F$40*('Расчёт'!$F$50+'Расчёт'!$F$86)*(MAX('Расчёт'!$F$95-'Расчёт'!$C$232,0)),'Расчёт'!$F$40*'Расчёт'!$F$50*((MAX('Расчёт'!$F$95-'Расчёт'!$C$232,0))+('Расчёт'!$F$93)*'Расчёт'!$F$87),'Расчёт'!$F$40*'Расчёт'!$F$50*((MAX('Расчёт'!$F$95-'Расчёт'!$C$232,0))+'Расчёт'!$F$98*'Расчёт'!$F$88),0.75*'Расчёт'!$F$40*'Расчёт'!$F$50*((MAX('Расчёт'!$F$95-'Расчёт'!$C$232,0))+'Расчёт'!$F$99),'Расчёт'!$F$40*'Расчёт'!$F$50*(MAX('Расчёт'!$F$95-'Расчёт'!$C$232,0))+'Расчёт'!$F$100)</f>
        <v>47.345862857142855</v>
      </c>
      <c r="H232" s="12" t="n">
        <f>'Расчёт'!$G$232-'Расчёт'!$F$232</f>
        <v>47.345862857142855</v>
      </c>
      <c r="I232" s="12" t="n">
        <f>10*MAX('Расчёт'!$F$92-'Расчёт'!$C$232,0)+MAX(IF('Расчёт'!$C$232&lt;='Расчёт'!$F$92,'Расчёт'!$F$85-1.5*'Расчёт'!$F$84*('Расчёт'!$F$92-'Расчёт'!$C$232)/'Расчёт'!$F$92,'Расчёт'!$F$85-7.5*'Расчёт'!$F$48*('Расчёт'!$C$232-'Расчёт'!$F$92)),IF('Расчёт'!$C$232&gt;'Расчёт'!$F$92,0.03*'Расчёт'!$F$20+5,0))</f>
        <v>14.52339807873785</v>
      </c>
      <c r="J232" s="12" t="n">
        <f>MAX('Расчёт'!$H$232,'Расчёт'!$I$232,ABS('Расчёт'!$G$232-('Расчёт'!$D$232+'Расчёт'!$E$232)))</f>
        <v>47.345862857142855</v>
      </c>
      <c r="K232" s="12" t="n">
        <f>MAX('Расчёт'!$F$40*('Расчёт'!$F$50+'Расчёт'!$F$86)*(MAX('Расчёт'!$F$96-'Расчёт'!$C$232,0)),'Расчёт'!$F$40*'Расчёт'!$F$50*((MAX('Расчёт'!$F$96-'Расчёт'!$C$232,0))+('Расчёт'!$F$94)*'Расчёт'!$F$87),'Расчёт'!$F$40*'Расчёт'!$F$50*((MAX('Расчёт'!$F$96-'Расчёт'!$C$232,0))+'Расчёт'!$F$98*'Расчёт'!$F$88),0.75*'Расчёт'!$F$40*'Расчёт'!$F$50*((MAX('Расчёт'!$F$96-'Расчёт'!$C$232,0))+'Расчёт'!$F$99),'Расчёт'!$F$40*'Расчёт'!$F$50*(MAX('Расчёт'!$F$96-'Расчёт'!$C$232,0))+'Расчёт'!$F$100)</f>
        <v>45.076249285714276</v>
      </c>
      <c r="L232" s="12" t="n">
        <f>MAX('Расчёт'!$K$232,'Расчёт'!$G$232)</f>
        <v>47.345862857142855</v>
      </c>
    </row>
    <row r="233" ht="17" customHeight="1" outlineLevel="1" hidden="1">
      <c r="A233" s="14" t="str">
        <v>Обшивка F / 1</v>
      </c>
      <c r="B233" s="4"/>
      <c r="C233" s="12" t="n">
        <f>0</f>
        <v>0</v>
      </c>
      <c r="D233" s="12" t="n">
        <f>10*MAX('Расчёт'!$F$91-'Расчёт'!$C$233,0)</f>
        <v>50</v>
      </c>
      <c r="E233" s="12" t="n">
        <f>MAX(0,IF('Расчёт'!$C$233&lt;='Расчёт'!$F$91,'Расчёт'!$F$85-1.5*'Расчёт'!$F$84*('Расчёт'!$F$91-'Расчёт'!$C$233)/'Расчёт'!$F$91,'Расчёт'!$F$85-7.5*'Расчёт'!$F$48*('Расчёт'!$C$233-'Расчёт'!$F$91)))</f>
        <v>13.369324039368927</v>
      </c>
      <c r="F233" s="12" t="n">
        <f>MAX('Расчёт'!$D$233-'Расчёт'!$E$233,0)</f>
        <v>36.63067596063107</v>
      </c>
      <c r="G233" s="12" t="n">
        <f>MAX('Расчёт'!$F$40*('Расчёт'!$F$50+'Расчёт'!$F$86)*(MAX('Расчёт'!$F$95-'Расчёт'!$C$233,0)),'Расчёт'!$F$40*'Расчёт'!$F$50*((MAX('Расчёт'!$F$95-'Расчёт'!$C$233,0))+('Расчёт'!$F$93)*'Расчёт'!$F$87),'Расчёт'!$F$40*'Расчёт'!$F$50*((MAX('Расчёт'!$F$95-'Расчёт'!$C$233,0))+'Расчёт'!$F$98*'Расчёт'!$F$88),0.75*'Расчёт'!$F$40*'Расчёт'!$F$50*((MAX('Расчёт'!$F$95-'Расчёт'!$C$233,0))+'Расчёт'!$F$99),'Расчёт'!$F$40*'Расчёт'!$F$50*(MAX('Расчёт'!$F$95-'Расчёт'!$C$233,0))+'Расчёт'!$F$100)</f>
        <v>203.20223785714285</v>
      </c>
      <c r="H233" s="12" t="n">
        <f>'Расчёт'!$G$233-'Расчёт'!$F$233</f>
        <v>166.57156189651178</v>
      </c>
      <c r="I233" s="12" t="n">
        <f>10*MAX('Расчёт'!$F$92-'Расчёт'!$C$233,0)+MAX(IF('Расчёт'!$C$233&lt;='Расчёт'!$F$92,'Расчёт'!$F$85-1.5*'Расчёт'!$F$84*('Расчёт'!$F$92-'Расчёт'!$C$233)/'Расчёт'!$F$92,'Расчёт'!$F$85-7.5*'Расчёт'!$F$48*('Расчёт'!$C$233-'Расчёт'!$F$92)),IF('Расчёт'!$C$233&gt;'Расчёт'!$F$92,0.03*'Расчёт'!$F$20+5,0))</f>
        <v>107.36932403936893</v>
      </c>
      <c r="J233" s="12" t="n">
        <f>MAX('Расчёт'!$H$233,'Расчёт'!$I$233,ABS('Расчёт'!$G$233-('Расчёт'!$D$233+'Расчёт'!$E$233)))</f>
        <v>166.57156189651178</v>
      </c>
      <c r="K233" s="12" t="n">
        <f>MAX('Расчёт'!$F$40*('Расчёт'!$F$50+'Расчёт'!$F$86)*(MAX('Расчёт'!$F$96-'Расчёт'!$C$233,0)),'Расчёт'!$F$40*'Расчёт'!$F$50*((MAX('Расчёт'!$F$96-'Расчёт'!$C$233,0))+('Расчёт'!$F$94)*'Расчёт'!$F$87),'Расчёт'!$F$40*'Расчёт'!$F$50*((MAX('Расчёт'!$F$96-'Расчёт'!$C$233,0))+'Расчёт'!$F$98*'Расчёт'!$F$88),0.75*'Расчёт'!$F$40*'Расчёт'!$F$50*((MAX('Расчёт'!$F$96-'Расчёт'!$C$233,0))+'Расчёт'!$F$99),'Расчёт'!$F$40*'Расчёт'!$F$50*(MAX('Расчёт'!$F$96-'Расчёт'!$C$233,0))+'Расчёт'!$F$100)</f>
        <v>200.93262428571427</v>
      </c>
      <c r="L233" s="12" t="n">
        <f>MAX('Расчёт'!$K$233,'Расчёт'!$G$233)</f>
        <v>203.20223785714285</v>
      </c>
    </row>
    <row r="234" ht="17" customHeight="1" outlineLevel="1" hidden="1">
      <c r="A234" s="14" t="str">
        <v>Обшивка F / 2</v>
      </c>
      <c r="B234" s="4"/>
      <c r="C234" s="12" t="n">
        <f>'Расчёт'!$F$28*(1-COS('Расчёт'!$G$585/('Расчёт'!$F$28*1000)))</f>
        <v>0.2144218153708177</v>
      </c>
      <c r="D234" s="12" t="n">
        <f>10*MAX('Расчёт'!$F$91-'Расчёт'!$C$234,0)</f>
        <v>47.85578184629182</v>
      </c>
      <c r="E234" s="12" t="n">
        <f>MAX(0,IF('Расчёт'!$C$234&lt;='Расчёт'!$F$91,'Расчёт'!$F$85-1.5*'Расчёт'!$F$84*('Расчёт'!$F$91-'Расчёт'!$C$234)/'Расчёт'!$F$91,'Расчёт'!$F$85-7.5*'Расчёт'!$F$48*('Расчёт'!$C$234-'Расчёт'!$F$91)))</f>
        <v>13.942658985529366</v>
      </c>
      <c r="F234" s="12" t="n">
        <f>MAX('Расчёт'!$D$234-'Расчёт'!$E$234,0)</f>
        <v>33.913122860762456</v>
      </c>
      <c r="G234" s="12" t="n">
        <f>MAX('Расчёт'!$F$40*('Расчёт'!$F$50+'Расчёт'!$F$86)*(MAX('Расчёт'!$F$95-'Расчёт'!$C$234,0)),'Расчёт'!$F$40*'Расчёт'!$F$50*((MAX('Расчёт'!$F$95-'Расчёт'!$C$234,0))+('Расчёт'!$F$93)*'Расчёт'!$F$87),'Расчёт'!$F$40*'Расчёт'!$F$50*((MAX('Расчёт'!$F$95-'Расчёт'!$C$234,0))+'Расчёт'!$F$98*'Расчёт'!$F$88),0.75*'Расчёт'!$F$40*'Расчёт'!$F$50*((MAX('Расчёт'!$F$95-'Расчёт'!$C$234,0))+'Расчёт'!$F$99),'Расчёт'!$F$40*'Расчёт'!$F$50*(MAX('Расчёт'!$F$95-'Расчёт'!$C$234,0))+'Расчёт'!$F$100)</f>
        <v>201.04617289813544</v>
      </c>
      <c r="H234" s="12" t="n">
        <f>'Расчёт'!$G$234-'Расчёт'!$F$234</f>
        <v>167.13305003737298</v>
      </c>
      <c r="I234" s="12" t="n">
        <f>10*MAX('Расчёт'!$F$92-'Расчёт'!$C$234,0)+MAX(IF('Расчёт'!$C$234&lt;='Расчёт'!$F$92,'Расчёт'!$F$85-1.5*'Расчёт'!$F$84*('Расчёт'!$F$92-'Расчёт'!$C$234)/'Расчёт'!$F$92,'Расчёт'!$F$85-7.5*'Расчёт'!$F$48*('Расчёт'!$C$234-'Расчёт'!$F$92)),IF('Расчёт'!$C$234&gt;'Расчёт'!$F$92,0.03*'Расчёт'!$F$20+5,0))</f>
        <v>105.5300712825546</v>
      </c>
      <c r="J234" s="12" t="n">
        <f>MAX('Расчёт'!$H$234,'Расчёт'!$I$234,ABS('Расчёт'!$G$234-('Расчёт'!$D$234+'Расчёт'!$E$234)))</f>
        <v>167.13305003737298</v>
      </c>
      <c r="K234" s="12" t="n">
        <f>MAX('Расчёт'!$F$40*('Расчёт'!$F$50+'Расчёт'!$F$86)*(MAX('Расчёт'!$F$96-'Расчёт'!$C$234,0)),'Расчёт'!$F$40*'Расчёт'!$F$50*((MAX('Расчёт'!$F$96-'Расчёт'!$C$234,0))+('Расчёт'!$F$94)*'Расчёт'!$F$87),'Расчёт'!$F$40*'Расчёт'!$F$50*((MAX('Расчёт'!$F$96-'Расчёт'!$C$234,0))+'Расчёт'!$F$98*'Расчёт'!$F$88),0.75*'Расчёт'!$F$40*'Расчёт'!$F$50*((MAX('Расчёт'!$F$96-'Расчёт'!$C$234,0))+'Расчёт'!$F$99),'Расчёт'!$F$40*'Расчёт'!$F$50*(MAX('Расчёт'!$F$96-'Расчёт'!$C$234,0))+'Расчёт'!$F$100)</f>
        <v>198.77655932670683</v>
      </c>
      <c r="L234" s="12" t="n">
        <f>MAX('Расчёт'!$K$234,'Расчёт'!$G$234)</f>
        <v>201.04617289813544</v>
      </c>
    </row>
    <row r="235" ht="17" customHeight="1" outlineLevel="1" hidden="1">
      <c r="A235" s="14" t="str">
        <v>Обшивка F / 3</v>
      </c>
      <c r="B235" s="4"/>
      <c r="C235" s="12" t="n">
        <f>MAX((0),MIN(('Расчёт'!$F$28*(1-COS('Расчёт'!$G$585/('Расчёт'!$F$28*1000)))),'Расчёт'!$F$101))</f>
        <v>0.2144218153708177</v>
      </c>
      <c r="D235" s="12" t="n">
        <f>10*MAX('Расчёт'!$F$91-'Расчёт'!$C$235,0)</f>
        <v>47.85578184629182</v>
      </c>
      <c r="E235" s="12" t="n">
        <f>MAX(0,IF('Расчёт'!$C$235&lt;='Расчёт'!$F$91,'Расчёт'!$F$85-1.5*'Расчёт'!$F$84*('Расчёт'!$F$91-'Расчёт'!$C$235)/'Расчёт'!$F$91,'Расчёт'!$F$85-7.5*'Расчёт'!$F$48*('Расчёт'!$C$235-'Расчёт'!$F$91)))</f>
        <v>13.942658985529366</v>
      </c>
      <c r="F235" s="12" t="n">
        <f>MAX('Расчёт'!$D$235-'Расчёт'!$E$235,0)</f>
        <v>33.913122860762456</v>
      </c>
      <c r="G235" s="12" t="n">
        <f>MAX('Расчёт'!$F$40*('Расчёт'!$F$50+'Расчёт'!$F$86)*(MAX('Расчёт'!$F$95-'Расчёт'!$C$235,0)),'Расчёт'!$F$40*'Расчёт'!$F$50*((MAX('Расчёт'!$F$95-'Расчёт'!$C$235,0))+('Расчёт'!$F$93)*'Расчёт'!$F$87),'Расчёт'!$F$40*'Расчёт'!$F$50*((MAX('Расчёт'!$F$95-'Расчёт'!$C$235,0))+'Расчёт'!$F$98*'Расчёт'!$F$88),0.75*'Расчёт'!$F$40*'Расчёт'!$F$50*((MAX('Расчёт'!$F$95-'Расчёт'!$C$235,0))+'Расчёт'!$F$99),'Расчёт'!$F$40*'Расчёт'!$F$50*(MAX('Расчёт'!$F$95-'Расчёт'!$C$235,0))+'Расчёт'!$F$100)</f>
        <v>201.04617289813544</v>
      </c>
      <c r="H235" s="12" t="n">
        <f>'Расчёт'!$G$235-'Расчёт'!$F$235</f>
        <v>167.13305003737298</v>
      </c>
      <c r="I235" s="12" t="n">
        <f>10*MAX('Расчёт'!$F$92-'Расчёт'!$C$235,0)+MAX(IF('Расчёт'!$C$235&lt;='Расчёт'!$F$92,'Расчёт'!$F$85-1.5*'Расчёт'!$F$84*('Расчёт'!$F$92-'Расчёт'!$C$235)/'Расчёт'!$F$92,'Расчёт'!$F$85-7.5*'Расчёт'!$F$48*('Расчёт'!$C$235-'Расчёт'!$F$92)),IF('Расчёт'!$C$235&gt;'Расчёт'!$F$92,0.03*'Расчёт'!$F$20+5,0))</f>
        <v>105.5300712825546</v>
      </c>
      <c r="J235" s="12" t="n">
        <f>MAX('Расчёт'!$H$235,'Расчёт'!$I$235,ABS('Расчёт'!$G$235-('Расчёт'!$D$235+'Расчёт'!$E$235)))</f>
        <v>167.13305003737298</v>
      </c>
      <c r="K235" s="12" t="n">
        <f>MAX('Расчёт'!$F$40*('Расчёт'!$F$50+'Расчёт'!$F$86)*(MAX('Расчёт'!$F$96-'Расчёт'!$C$235,0)),'Расчёт'!$F$40*'Расчёт'!$F$50*((MAX('Расчёт'!$F$96-'Расчёт'!$C$235,0))+('Расчёт'!$F$94)*'Расчёт'!$F$87),'Расчёт'!$F$40*'Расчёт'!$F$50*((MAX('Расчёт'!$F$96-'Расчёт'!$C$235,0))+'Расчёт'!$F$98*'Расчёт'!$F$88),0.75*'Расчёт'!$F$40*'Расчёт'!$F$50*((MAX('Расчёт'!$F$96-'Расчёт'!$C$235,0))+'Расчёт'!$F$99),'Расчёт'!$F$40*'Расчёт'!$F$50*(MAX('Расчёт'!$F$96-'Расчёт'!$C$235,0))+'Расчёт'!$F$100)</f>
        <v>198.77655932670683</v>
      </c>
      <c r="L235" s="12" t="n">
        <f>MAX('Расчёт'!$K$235,'Расчёт'!$G$235)</f>
        <v>201.04617289813544</v>
      </c>
    </row>
    <row r="236" ht="17" customHeight="1" outlineLevel="1" hidden="1">
      <c r="A236" s="14" t="str">
        <v>Обшивка G / 1</v>
      </c>
      <c r="B236" s="4"/>
      <c r="C236" s="12" t="n">
        <f>'Расчёт'!$F$28*(1-COS('Расчёт'!$G$585/('Расчёт'!$F$28*1000)))</f>
        <v>0.2144218153708177</v>
      </c>
      <c r="D236" s="12" t="n">
        <f>10*MAX('Расчёт'!$F$91-'Расчёт'!$C$236,0)</f>
        <v>47.85578184629182</v>
      </c>
      <c r="E236" s="12" t="n">
        <f>MAX(0,IF('Расчёт'!$C$236&lt;='Расчёт'!$F$91,'Расчёт'!$F$85-1.5*'Расчёт'!$F$84*('Расчёт'!$F$91-'Расчёт'!$C$236)/'Расчёт'!$F$91,'Расчёт'!$F$85-7.5*'Расчёт'!$F$48*('Расчёт'!$C$236-'Расчёт'!$F$91)))</f>
        <v>13.942658985529366</v>
      </c>
      <c r="F236" s="12" t="n">
        <f>MAX('Расчёт'!$D$236-'Расчёт'!$E$236,0)</f>
        <v>33.913122860762456</v>
      </c>
      <c r="G236" s="12" t="n">
        <f>MAX('Расчёт'!$F$40*('Расчёт'!$F$50+'Расчёт'!$F$86)*(MAX('Расчёт'!$F$95-'Расчёт'!$C$236,0)),'Расчёт'!$F$40*'Расчёт'!$F$50*((MAX('Расчёт'!$F$95-'Расчёт'!$C$236,0))+('Расчёт'!$F$93)*'Расчёт'!$F$87),'Расчёт'!$F$40*'Расчёт'!$F$50*((MAX('Расчёт'!$F$95-'Расчёт'!$C$236,0))+'Расчёт'!$F$98*'Расчёт'!$F$88),0.75*'Расчёт'!$F$40*'Расчёт'!$F$50*((MAX('Расчёт'!$F$95-'Расчёт'!$C$236,0))+'Расчёт'!$F$99),'Расчёт'!$F$40*'Расчёт'!$F$50*(MAX('Расчёт'!$F$95-'Расчёт'!$C$236,0))+'Расчёт'!$F$100)</f>
        <v>201.04617289813544</v>
      </c>
      <c r="H236" s="12" t="n">
        <f>'Расчёт'!$G$236-'Расчёт'!$F$236</f>
        <v>167.13305003737298</v>
      </c>
      <c r="I236" s="12" t="n">
        <f>10*MAX('Расчёт'!$F$92-'Расчёт'!$C$236,0)+MAX(IF('Расчёт'!$C$236&lt;='Расчёт'!$F$92,'Расчёт'!$F$85-1.5*'Расчёт'!$F$84*('Расчёт'!$F$92-'Расчёт'!$C$236)/'Расчёт'!$F$92,'Расчёт'!$F$85-7.5*'Расчёт'!$F$48*('Расчёт'!$C$236-'Расчёт'!$F$92)),IF('Расчёт'!$C$236&gt;'Расчёт'!$F$92,0.03*'Расчёт'!$F$20+5,0))</f>
        <v>105.5300712825546</v>
      </c>
      <c r="J236" s="12" t="n">
        <f>MAX('Расчёт'!$H$236,'Расчёт'!$I$236,ABS('Расчёт'!$G$236-('Расчёт'!$D$236+'Расчёт'!$E$236)))</f>
        <v>167.13305003737298</v>
      </c>
      <c r="K236" s="12" t="n">
        <f>MAX('Расчёт'!$F$40*('Расчёт'!$F$50+'Расчёт'!$F$86)*(MAX('Расчёт'!$F$96-'Расчёт'!$C$236,0)),'Расчёт'!$F$40*'Расчёт'!$F$50*((MAX('Расчёт'!$F$96-'Расчёт'!$C$236,0))+('Расчёт'!$F$94)*'Расчёт'!$F$87),'Расчёт'!$F$40*'Расчёт'!$F$50*((MAX('Расчёт'!$F$96-'Расчёт'!$C$236,0))+'Расчёт'!$F$98*'Расчёт'!$F$88),0.75*'Расчёт'!$F$40*'Расчёт'!$F$50*((MAX('Расчёт'!$F$96-'Расчёт'!$C$236,0))+'Расчёт'!$F$99),'Расчёт'!$F$40*'Расчёт'!$F$50*(MAX('Расчёт'!$F$96-'Расчёт'!$C$236,0))+'Расчёт'!$F$100)</f>
        <v>198.77655932670683</v>
      </c>
      <c r="L236" s="12" t="n">
        <f>MAX('Расчёт'!$K$236,'Расчёт'!$G$236)</f>
        <v>201.04617289813544</v>
      </c>
    </row>
    <row r="237" ht="17" customHeight="1" outlineLevel="1" hidden="1">
      <c r="A237" s="14" t="str">
        <v>Обшивка G / 2</v>
      </c>
      <c r="B237" s="4"/>
      <c r="C237" s="12" t="n">
        <f>('Расчёт'!$K$587+'Расчёт'!$G$587/20)/100</f>
        <v>1.9402656934679101</v>
      </c>
      <c r="D237" s="12" t="n">
        <f>10*MAX('Расчёт'!$F$91-'Расчёт'!$C$237,0)</f>
        <v>30.5973430653209</v>
      </c>
      <c r="E237" s="12" t="n">
        <f>MAX(0,IF('Расчёт'!$C$237&lt;='Расчёт'!$F$91,'Расчёт'!$F$85-1.5*'Расчёт'!$F$84*('Расчёт'!$F$91-'Расчёт'!$C$237)/'Расчёт'!$F$91,'Расчёт'!$F$85-7.5*'Расчёт'!$F$48*('Расчёт'!$C$237-'Расчёт'!$F$91)))</f>
        <v>18.557332195057597</v>
      </c>
      <c r="F237" s="12" t="n">
        <f>MAX('Расчёт'!$D$237-'Расчёт'!$E$237,0)</f>
        <v>12.040010870263302</v>
      </c>
      <c r="G237" s="12" t="n">
        <f>MAX('Расчёт'!$F$40*('Расчёт'!$F$50+'Расчёт'!$F$86)*(MAX('Расчёт'!$F$95-'Расчёт'!$C$237,0)),'Расчёт'!$F$40*'Расчёт'!$F$50*((MAX('Расчёт'!$F$95-'Расчёт'!$C$237,0))+('Расчёт'!$F$93)*'Расчёт'!$F$87),'Расчёт'!$F$40*'Расчёт'!$F$50*((MAX('Расчёт'!$F$95-'Расчёт'!$C$237,0))+'Расчёт'!$F$98*'Расчёт'!$F$88),0.75*'Расчёт'!$F$40*'Расчёт'!$F$50*((MAX('Расчёт'!$F$95-'Расчёт'!$C$237,0))+'Расчёт'!$F$99),'Расчёт'!$F$40*'Расчёт'!$F$50*(MAX('Расчёт'!$F$95-'Расчёт'!$C$237,0))+'Расчёт'!$F$100)</f>
        <v>183.69238124289961</v>
      </c>
      <c r="H237" s="12" t="n">
        <f>'Расчёт'!$G$237-'Расчёт'!$F$237</f>
        <v>171.6523703726363</v>
      </c>
      <c r="I237" s="12" t="n">
        <f>10*MAX('Расчёт'!$F$92-'Расчёт'!$C$237,0)+MAX(IF('Расчёт'!$C$237&lt;='Расчёт'!$F$92,'Расчёт'!$F$85-1.5*'Расчёт'!$F$84*('Расчёт'!$F$92-'Расчёт'!$C$237)/'Расчёт'!$F$92,'Расчёт'!$F$85-7.5*'Расчёт'!$F$48*('Расчёт'!$C$237-'Расчёт'!$F$92)),IF('Расчёт'!$C$237&gt;'Расчёт'!$F$92,0.03*'Расчёт'!$F$20+5,0))</f>
        <v>90.72624591090721</v>
      </c>
      <c r="J237" s="12" t="n">
        <f>MAX('Расчёт'!$H$237,'Расчёт'!$I$237,ABS('Расчёт'!$G$237-('Расчёт'!$D$237+'Расчёт'!$E$237)))</f>
        <v>171.6523703726363</v>
      </c>
      <c r="K237" s="12" t="n">
        <f>MAX('Расчёт'!$F$40*('Расчёт'!$F$50+'Расчёт'!$F$86)*(MAX('Расчёт'!$F$96-'Расчёт'!$C$237,0)),'Расчёт'!$F$40*'Расчёт'!$F$50*((MAX('Расчёт'!$F$96-'Расчёт'!$C$237,0))+('Расчёт'!$F$94)*'Расчёт'!$F$87),'Расчёт'!$F$40*'Расчёт'!$F$50*((MAX('Расчёт'!$F$96-'Расчёт'!$C$237,0))+'Расчёт'!$F$98*'Расчёт'!$F$88),0.75*'Расчёт'!$F$40*'Расчёт'!$F$50*((MAX('Расчёт'!$F$96-'Расчёт'!$C$237,0))+'Расчёт'!$F$99),'Расчёт'!$F$40*'Расчёт'!$F$50*(MAX('Расчёт'!$F$96-'Расчёт'!$C$237,0))+'Расчёт'!$F$100)</f>
        <v>181.42276767147106</v>
      </c>
      <c r="L237" s="12" t="n">
        <f>MAX('Расчёт'!$K$237,'Расчёт'!$G$237)</f>
        <v>183.69238124289961</v>
      </c>
    </row>
    <row r="238" ht="17" customHeight="1" outlineLevel="1" hidden="1">
      <c r="A238" s="14" t="str">
        <v>Обшивка G / 3</v>
      </c>
      <c r="B238" s="4"/>
      <c r="C238" s="12" t="n">
        <f>MAX(('Расчёт'!$F$28*(1-COS('Расчёт'!$G$585/('Расчёт'!$F$28*1000)))),MIN((('Расчёт'!$K$587+'Расчёт'!$G$587/20)/100),'Расчёт'!$F$101))</f>
        <v>1.9402656934679101</v>
      </c>
      <c r="D238" s="12" t="n">
        <f>10*MAX('Расчёт'!$F$91-'Расчёт'!$C$238,0)</f>
        <v>30.5973430653209</v>
      </c>
      <c r="E238" s="12" t="n">
        <f>MAX(0,IF('Расчёт'!$C$238&lt;='Расчёт'!$F$91,'Расчёт'!$F$85-1.5*'Расчёт'!$F$84*('Расчёт'!$F$91-'Расчёт'!$C$238)/'Расчёт'!$F$91,'Расчёт'!$F$85-7.5*'Расчёт'!$F$48*('Расчёт'!$C$238-'Расчёт'!$F$91)))</f>
        <v>18.557332195057597</v>
      </c>
      <c r="F238" s="12" t="n">
        <f>MAX('Расчёт'!$D$238-'Расчёт'!$E$238,0)</f>
        <v>12.040010870263302</v>
      </c>
      <c r="G238" s="12" t="n">
        <f>MAX('Расчёт'!$F$40*('Расчёт'!$F$50+'Расчёт'!$F$86)*(MAX('Расчёт'!$F$95-'Расчёт'!$C$238,0)),'Расчёт'!$F$40*'Расчёт'!$F$50*((MAX('Расчёт'!$F$95-'Расчёт'!$C$238,0))+('Расчёт'!$F$93)*'Расчёт'!$F$87),'Расчёт'!$F$40*'Расчёт'!$F$50*((MAX('Расчёт'!$F$95-'Расчёт'!$C$238,0))+'Расчёт'!$F$98*'Расчёт'!$F$88),0.75*'Расчёт'!$F$40*'Расчёт'!$F$50*((MAX('Расчёт'!$F$95-'Расчёт'!$C$238,0))+'Расчёт'!$F$99),'Расчёт'!$F$40*'Расчёт'!$F$50*(MAX('Расчёт'!$F$95-'Расчёт'!$C$238,0))+'Расчёт'!$F$100)</f>
        <v>183.69238124289961</v>
      </c>
      <c r="H238" s="12" t="n">
        <f>'Расчёт'!$G$238-'Расчёт'!$F$238</f>
        <v>171.6523703726363</v>
      </c>
      <c r="I238" s="12" t="n">
        <f>10*MAX('Расчёт'!$F$92-'Расчёт'!$C$238,0)+MAX(IF('Расчёт'!$C$238&lt;='Расчёт'!$F$92,'Расчёт'!$F$85-1.5*'Расчёт'!$F$84*('Расчёт'!$F$92-'Расчёт'!$C$238)/'Расчёт'!$F$92,'Расчёт'!$F$85-7.5*'Расчёт'!$F$48*('Расчёт'!$C$238-'Расчёт'!$F$92)),IF('Расчёт'!$C$238&gt;'Расчёт'!$F$92,0.03*'Расчёт'!$F$20+5,0))</f>
        <v>90.72624591090721</v>
      </c>
      <c r="J238" s="12" t="n">
        <f>MAX('Расчёт'!$H$238,'Расчёт'!$I$238,ABS('Расчёт'!$G$238-('Расчёт'!$D$238+'Расчёт'!$E$238)))</f>
        <v>171.6523703726363</v>
      </c>
      <c r="K238" s="12" t="n">
        <f>MAX('Расчёт'!$F$40*('Расчёт'!$F$50+'Расчёт'!$F$86)*(MAX('Расчёт'!$F$96-'Расчёт'!$C$238,0)),'Расчёт'!$F$40*'Расчёт'!$F$50*((MAX('Расчёт'!$F$96-'Расчёт'!$C$238,0))+('Расчёт'!$F$94)*'Расчёт'!$F$87),'Расчёт'!$F$40*'Расчёт'!$F$50*((MAX('Расчёт'!$F$96-'Расчёт'!$C$238,0))+'Расчёт'!$F$98*'Расчёт'!$F$88),0.75*'Расчёт'!$F$40*'Расчёт'!$F$50*((MAX('Расчёт'!$F$96-'Расчёт'!$C$238,0))+'Расчёт'!$F$99),'Расчёт'!$F$40*'Расчёт'!$F$50*(MAX('Расчёт'!$F$96-'Расчёт'!$C$238,0))+'Расчёт'!$F$100)</f>
        <v>181.42276767147106</v>
      </c>
      <c r="L238" s="12" t="n">
        <f>MAX('Расчёт'!$K$238,'Расчёт'!$G$238)</f>
        <v>183.69238124289961</v>
      </c>
    </row>
    <row r="239" ht="17" customHeight="1" outlineLevel="1" hidden="1">
      <c r="A239" s="14" t="str">
        <v>Обшивка H / 1</v>
      </c>
      <c r="B239" s="4"/>
      <c r="C239" s="12" t="n">
        <f>('Расчёт'!$K$588-'Расчёт'!$G$588/20)/100</f>
        <v>1.9402656934679101</v>
      </c>
      <c r="D239" s="12" t="n">
        <f>10*MAX('Расчёт'!$F$91-'Расчёт'!$C$239,0)</f>
        <v>30.5973430653209</v>
      </c>
      <c r="E239" s="12" t="n">
        <f>MAX(0,IF('Расчёт'!$C$239&lt;='Расчёт'!$F$91,'Расчёт'!$F$85-1.5*'Расчёт'!$F$84*('Расчёт'!$F$91-'Расчёт'!$C$239)/'Расчёт'!$F$91,'Расчёт'!$F$85-7.5*'Расчёт'!$F$48*('Расчёт'!$C$239-'Расчёт'!$F$91)))</f>
        <v>18.557332195057597</v>
      </c>
      <c r="F239" s="12" t="n">
        <f>MAX('Расчёт'!$D$239-'Расчёт'!$E$239,0)</f>
        <v>12.040010870263302</v>
      </c>
      <c r="G239" s="12" t="n">
        <f>MAX('Расчёт'!$F$40*('Расчёт'!$F$50+'Расчёт'!$F$86)*(MAX('Расчёт'!$F$95-'Расчёт'!$C$239,0)),'Расчёт'!$F$40*'Расчёт'!$F$50*((MAX('Расчёт'!$F$95-'Расчёт'!$C$239,0))+('Расчёт'!$F$93)*'Расчёт'!$F$87),'Расчёт'!$F$40*'Расчёт'!$F$50*((MAX('Расчёт'!$F$95-'Расчёт'!$C$239,0))+'Расчёт'!$F$98*'Расчёт'!$F$88),0.75*'Расчёт'!$F$40*'Расчёт'!$F$50*((MAX('Расчёт'!$F$95-'Расчёт'!$C$239,0))+'Расчёт'!$F$99),'Расчёт'!$F$40*'Расчёт'!$F$50*(MAX('Расчёт'!$F$95-'Расчёт'!$C$239,0))+'Расчёт'!$F$100)</f>
        <v>183.69238124289961</v>
      </c>
      <c r="H239" s="12" t="n">
        <f>'Расчёт'!$G$239-'Расчёт'!$F$239</f>
        <v>171.6523703726363</v>
      </c>
      <c r="I239" s="12" t="n">
        <f>10*MAX('Расчёт'!$F$92-'Расчёт'!$C$239,0)+MAX(IF('Расчёт'!$C$239&lt;='Расчёт'!$F$92,'Расчёт'!$F$85-1.5*'Расчёт'!$F$84*('Расчёт'!$F$92-'Расчёт'!$C$239)/'Расчёт'!$F$92,'Расчёт'!$F$85-7.5*'Расчёт'!$F$48*('Расчёт'!$C$239-'Расчёт'!$F$92)),IF('Расчёт'!$C$239&gt;'Расчёт'!$F$92,0.03*'Расчёт'!$F$20+5,0))</f>
        <v>90.72624591090721</v>
      </c>
      <c r="J239" s="12" t="n">
        <f>MAX('Расчёт'!$H$239,'Расчёт'!$I$239,ABS('Расчёт'!$G$239-('Расчёт'!$D$239+'Расчёт'!$E$239)))</f>
        <v>171.6523703726363</v>
      </c>
      <c r="K239" s="12" t="n">
        <f>MAX('Расчёт'!$F$40*('Расчёт'!$F$50+'Расчёт'!$F$86)*(MAX('Расчёт'!$F$96-'Расчёт'!$C$239,0)),'Расчёт'!$F$40*'Расчёт'!$F$50*((MAX('Расчёт'!$F$96-'Расчёт'!$C$239,0))+('Расчёт'!$F$94)*'Расчёт'!$F$87),'Расчёт'!$F$40*'Расчёт'!$F$50*((MAX('Расчёт'!$F$96-'Расчёт'!$C$239,0))+'Расчёт'!$F$98*'Расчёт'!$F$88),0.75*'Расчёт'!$F$40*'Расчёт'!$F$50*((MAX('Расчёт'!$F$96-'Расчёт'!$C$239,0))+'Расчёт'!$F$99),'Расчёт'!$F$40*'Расчёт'!$F$50*(MAX('Расчёт'!$F$96-'Расчёт'!$C$239,0))+'Расчёт'!$F$100)</f>
        <v>181.42276767147106</v>
      </c>
      <c r="L239" s="12" t="n">
        <f>MAX('Расчёт'!$K$239,'Расчёт'!$G$239)</f>
        <v>183.69238124289961</v>
      </c>
    </row>
    <row r="240" ht="17" customHeight="1" outlineLevel="1" hidden="1">
      <c r="A240" s="14" t="str">
        <v>Обшивка H / 2</v>
      </c>
      <c r="B240" s="4"/>
      <c r="C240" s="12" t="n">
        <f>('Расчёт'!$K$588+'Расчёт'!$G$588/20)/100</f>
        <v>3.94026569346791</v>
      </c>
      <c r="D240" s="12" t="n">
        <f>10*MAX('Расчёт'!$F$91-'Расчёт'!$C$240,0)</f>
        <v>10.597343065320901</v>
      </c>
      <c r="E240" s="12" t="n">
        <f>MAX(0,IF('Расчёт'!$C$240&lt;='Расчёт'!$F$91,'Расчёт'!$F$85-1.5*'Расчёт'!$F$84*('Расчёт'!$F$91-'Расчёт'!$C$240)/'Расчёт'!$F$91,'Расчёт'!$F$85-7.5*'Расчёт'!$F$48*('Расчёт'!$C$240-'Расчёт'!$F$91)))</f>
        <v>23.905061810805165</v>
      </c>
      <c r="F240" s="12" t="n">
        <f>MAX('Расчёт'!$D$240-'Расчёт'!$E$240,0)</f>
        <v>0</v>
      </c>
      <c r="G240" s="12" t="n">
        <f>MAX('Расчёт'!$F$40*('Расчёт'!$F$50+'Расчёт'!$F$86)*(MAX('Расчёт'!$F$95-'Расчёт'!$C$240,0)),'Расчёт'!$F$40*'Расчёт'!$F$50*((MAX('Расчёт'!$F$95-'Расчёт'!$C$240,0))+('Расчёт'!$F$93)*'Расчёт'!$F$87),'Расчёт'!$F$40*'Расчёт'!$F$50*((MAX('Расчёт'!$F$95-'Расчёт'!$C$240,0))+'Расчёт'!$F$98*'Расчёт'!$F$88),0.75*'Расчёт'!$F$40*'Расчёт'!$F$50*((MAX('Расчёт'!$F$95-'Расчёт'!$C$240,0))+'Расчёт'!$F$99),'Расчёт'!$F$40*'Расчёт'!$F$50*(MAX('Расчёт'!$F$95-'Расчёт'!$C$240,0))+'Расчёт'!$F$100)</f>
        <v>163.58188124289967</v>
      </c>
      <c r="H240" s="12" t="n">
        <f>'Расчёт'!$G$240-'Расчёт'!$F$240</f>
        <v>163.58188124289967</v>
      </c>
      <c r="I240" s="12" t="n">
        <f>10*MAX('Расчёт'!$F$92-'Расчёт'!$C$240,0)+MAX(IF('Расчёт'!$C$240&lt;='Расчёт'!$F$92,'Расчёт'!$F$85-1.5*'Расчёт'!$F$84*('Расчёт'!$F$92-'Расчёт'!$C$240)/'Расчёт'!$F$92,'Расчёт'!$F$85-7.5*'Расчёт'!$F$48*('Расчёт'!$C$240-'Расчёт'!$F$92)),IF('Расчёт'!$C$240&gt;'Расчёт'!$F$92,0.03*'Расчёт'!$F$20+5,0))</f>
        <v>73.57078294056018</v>
      </c>
      <c r="J240" s="12" t="n">
        <f>MAX('Расчёт'!$H$240,'Расчёт'!$I$240,ABS('Расчёт'!$G$240-('Расчёт'!$D$240+'Расчёт'!$E$240)))</f>
        <v>163.58188124289967</v>
      </c>
      <c r="K240" s="12" t="n">
        <f>MAX('Расчёт'!$F$40*('Расчёт'!$F$50+'Расчёт'!$F$86)*(MAX('Расчёт'!$F$96-'Расчёт'!$C$240,0)),'Расчёт'!$F$40*'Расчёт'!$F$50*((MAX('Расчёт'!$F$96-'Расчёт'!$C$240,0))+('Расчёт'!$F$94)*'Расчёт'!$F$87),'Расчёт'!$F$40*'Расчёт'!$F$50*((MAX('Расчёт'!$F$96-'Расчёт'!$C$240,0))+'Расчёт'!$F$98*'Расчёт'!$F$88),0.75*'Расчёт'!$F$40*'Расчёт'!$F$50*((MAX('Расчёт'!$F$96-'Расчёт'!$C$240,0))+'Расчёт'!$F$99),'Расчёт'!$F$40*'Расчёт'!$F$50*(MAX('Расчёт'!$F$96-'Расчёт'!$C$240,0))+'Расчёт'!$F$100)</f>
        <v>161.31226767147106</v>
      </c>
      <c r="L240" s="12" t="n">
        <f>MAX('Расчёт'!$K$240,'Расчёт'!$G$240)</f>
        <v>163.58188124289967</v>
      </c>
    </row>
    <row r="241" ht="17" customHeight="1" outlineLevel="1" hidden="1">
      <c r="A241" s="14" t="str">
        <v>Обшивка H / 3</v>
      </c>
      <c r="B241" s="4"/>
      <c r="C241" s="12" t="n">
        <f>MAX((('Расчёт'!$K$588-'Расчёт'!$G$588/20)/100),MIN((('Расчёт'!$K$588+'Расчёт'!$G$588/20)/100),'Расчёт'!$F$101))</f>
        <v>2.8902530140509186</v>
      </c>
      <c r="D241" s="12" t="n">
        <f>10*MAX('Расчёт'!$F$91-'Расчёт'!$C$241,0)</f>
        <v>21.097469859490815</v>
      </c>
      <c r="E241" s="12" t="n">
        <f>MAX(0,IF('Расчёт'!$C$241&lt;='Расчёт'!$F$91,'Расчёт'!$F$85-1.5*'Расчёт'!$F$84*('Расчёт'!$F$91-'Расчёт'!$C$241)/'Расчёт'!$F$91,'Расчёт'!$F$85-7.5*'Расчёт'!$F$48*('Расчёт'!$C$241-'Расчёт'!$F$91)))</f>
        <v>21.097469859490815</v>
      </c>
      <c r="F241" s="12" t="n">
        <f>MAX('Расчёт'!$D$241-'Расчёт'!$E$241,0)</f>
        <v>0</v>
      </c>
      <c r="G241" s="12" t="n">
        <f>MAX('Расчёт'!$F$40*('Расчёт'!$F$50+'Расчёт'!$F$86)*(MAX('Расчёт'!$F$95-'Расчёт'!$C$241,0)),'Расчёт'!$F$40*'Расчёт'!$F$50*((MAX('Расчёт'!$F$95-'Расчёт'!$C$241,0))+('Расчёт'!$F$93)*'Расчёт'!$F$87),'Расчёт'!$F$40*'Расчёт'!$F$50*((MAX('Расчёт'!$F$95-'Расчёт'!$C$241,0))+'Расчёт'!$F$98*'Расчёт'!$F$88),0.75*'Расчёт'!$F$40*'Расчёт'!$F$50*((MAX('Расчёт'!$F$95-'Расчёт'!$C$241,0))+'Расчёт'!$F$99),'Расчёт'!$F$40*'Расчёт'!$F$50*(MAX('Расчёт'!$F$95-'Расчёт'!$C$241,0))+'Расчёт'!$F$100)</f>
        <v>174.14002123760736</v>
      </c>
      <c r="H241" s="12" t="n">
        <f>'Расчёт'!$G$241-'Расчёт'!$F$241</f>
        <v>174.14002123760736</v>
      </c>
      <c r="I241" s="12" t="n">
        <f>10*MAX('Расчёт'!$F$92-'Расчёт'!$C$241,0)+MAX(IF('Расчёт'!$C$241&lt;='Расчёт'!$F$92,'Расчёт'!$F$85-1.5*'Расчёт'!$F$84*('Расчёт'!$F$92-'Расчёт'!$C$241)/'Расчёт'!$F$92,'Расчёт'!$F$85-7.5*'Расчёт'!$F$48*('Расчёт'!$C$241-'Расчёт'!$F$92)),IF('Расчёт'!$C$241&gt;'Расчёт'!$F$92,0.03*'Расчёт'!$F$20+5,0))</f>
        <v>82.5775097606267</v>
      </c>
      <c r="J241" s="12" t="n">
        <f>MAX('Расчёт'!$H$241,'Расчёт'!$I$241,ABS('Расчёт'!$G$241-('Расчёт'!$D$241+'Расчёт'!$E$241)))</f>
        <v>174.14002123760736</v>
      </c>
      <c r="K241" s="12" t="n">
        <f>MAX('Расчёт'!$F$40*('Расчёт'!$F$50+'Расчёт'!$F$86)*(MAX('Расчёт'!$F$96-'Расчёт'!$C$241,0)),'Расчёт'!$F$40*'Расчёт'!$F$50*((MAX('Расчёт'!$F$96-'Расчёт'!$C$241,0))+('Расчёт'!$F$94)*'Расчёт'!$F$87),'Расчёт'!$F$40*'Расчёт'!$F$50*((MAX('Расчёт'!$F$96-'Расчёт'!$C$241,0))+'Расчёт'!$F$98*'Расчёт'!$F$88),0.75*'Расчёт'!$F$40*'Расчёт'!$F$50*((MAX('Расчёт'!$F$96-'Расчёт'!$C$241,0))+'Расчёт'!$F$99),'Расчёт'!$F$40*'Расчёт'!$F$50*(MAX('Расчёт'!$F$96-'Расчёт'!$C$241,0))+'Расчёт'!$F$100)</f>
        <v>171.87040766617875</v>
      </c>
      <c r="L241" s="12" t="n">
        <f>MAX('Расчёт'!$K$241,'Расчёт'!$G$241)</f>
        <v>174.14002123760736</v>
      </c>
    </row>
    <row r="242" ht="17" customHeight="1" outlineLevel="1" hidden="1">
      <c r="A242" s="14" t="str">
        <v>Обшивка I / 1</v>
      </c>
      <c r="B242" s="4"/>
      <c r="C242" s="12" t="n">
        <f>('Расчёт'!$K$589-'Расчёт'!$G$589/20)/100</f>
        <v>3.94026569346791</v>
      </c>
      <c r="D242" s="12" t="n">
        <f>10*MAX('Расчёт'!$F$91-'Расчёт'!$C$242,0)</f>
        <v>10.597343065320901</v>
      </c>
      <c r="E242" s="12" t="n">
        <f>MAX(0,IF('Расчёт'!$C$242&lt;='Расчёт'!$F$91,'Расчёт'!$F$85-1.5*'Расчёт'!$F$84*('Расчёт'!$F$91-'Расчёт'!$C$242)/'Расчёт'!$F$91,'Расчёт'!$F$85-7.5*'Расчёт'!$F$48*('Расчёт'!$C$242-'Расчёт'!$F$91)))</f>
        <v>23.905061810805165</v>
      </c>
      <c r="F242" s="12" t="n">
        <f>MAX('Расчёт'!$D$242-'Расчёт'!$E$242,0)</f>
        <v>0</v>
      </c>
      <c r="G242" s="12" t="n">
        <f>MAX('Расчёт'!$F$40*('Расчёт'!$F$50+'Расчёт'!$F$86)*(MAX('Расчёт'!$F$95-'Расчёт'!$C$242,0)),'Расчёт'!$F$40*'Расчёт'!$F$50*((MAX('Расчёт'!$F$95-'Расчёт'!$C$242,0))+('Расчёт'!$F$93)*'Расчёт'!$F$87),'Расчёт'!$F$40*'Расчёт'!$F$50*((MAX('Расчёт'!$F$95-'Расчёт'!$C$242,0))+'Расчёт'!$F$98*'Расчёт'!$F$88),0.75*'Расчёт'!$F$40*'Расчёт'!$F$50*((MAX('Расчёт'!$F$95-'Расчёт'!$C$242,0))+'Расчёт'!$F$99),'Расчёт'!$F$40*'Расчёт'!$F$50*(MAX('Расчёт'!$F$95-'Расчёт'!$C$242,0))+'Расчёт'!$F$100)</f>
        <v>163.58188124289967</v>
      </c>
      <c r="H242" s="12" t="n">
        <f>'Расчёт'!$G$242-'Расчёт'!$F$242</f>
        <v>163.58188124289967</v>
      </c>
      <c r="I242" s="12" t="n">
        <f>10*MAX('Расчёт'!$F$92-'Расчёт'!$C$242,0)+MAX(IF('Расчёт'!$C$242&lt;='Расчёт'!$F$92,'Расчёт'!$F$85-1.5*'Расчёт'!$F$84*('Расчёт'!$F$92-'Расчёт'!$C$242)/'Расчёт'!$F$92,'Расчёт'!$F$85-7.5*'Расчёт'!$F$48*('Расчёт'!$C$242-'Расчёт'!$F$92)),IF('Расчёт'!$C$242&gt;'Расчёт'!$F$92,0.03*'Расчёт'!$F$20+5,0))</f>
        <v>73.57078294056018</v>
      </c>
      <c r="J242" s="12" t="n">
        <f>MAX('Расчёт'!$H$242,'Расчёт'!$I$242,ABS('Расчёт'!$G$242-('Расчёт'!$D$242+'Расчёт'!$E$242)))</f>
        <v>163.58188124289967</v>
      </c>
      <c r="K242" s="12" t="n">
        <f>MAX('Расчёт'!$F$40*('Расчёт'!$F$50+'Расчёт'!$F$86)*(MAX('Расчёт'!$F$96-'Расчёт'!$C$242,0)),'Расчёт'!$F$40*'Расчёт'!$F$50*((MAX('Расчёт'!$F$96-'Расчёт'!$C$242,0))+('Расчёт'!$F$94)*'Расчёт'!$F$87),'Расчёт'!$F$40*'Расчёт'!$F$50*((MAX('Расчёт'!$F$96-'Расчёт'!$C$242,0))+'Расчёт'!$F$98*'Расчёт'!$F$88),0.75*'Расчёт'!$F$40*'Расчёт'!$F$50*((MAX('Расчёт'!$F$96-'Расчёт'!$C$242,0))+'Расчёт'!$F$99),'Расчёт'!$F$40*'Расчёт'!$F$50*(MAX('Расчёт'!$F$96-'Расчёт'!$C$242,0))+'Расчёт'!$F$100)</f>
        <v>161.31226767147106</v>
      </c>
      <c r="L242" s="12" t="n">
        <f>MAX('Расчёт'!$K$242,'Расчёт'!$G$242)</f>
        <v>163.58188124289967</v>
      </c>
    </row>
    <row r="243" ht="17" customHeight="1" outlineLevel="1" hidden="1">
      <c r="A243" s="14" t="str">
        <v>Обшивка I / 2</v>
      </c>
      <c r="B243" s="4"/>
      <c r="C243" s="12" t="n">
        <f>('Расчёт'!$K$589+'Расчёт'!$G$589/20)/100</f>
        <v>5.94026569346791</v>
      </c>
      <c r="D243" s="12" t="n">
        <f>10*MAX('Расчёт'!$F$91-'Расчёт'!$C$243,0)</f>
        <v>0</v>
      </c>
      <c r="E243" s="12" t="n">
        <f>MAX(0,IF('Расчёт'!$C$243&lt;='Расчёт'!$F$91,'Расчёт'!$F$85-1.5*'Расчёт'!$F$84*('Расчёт'!$F$91-'Расчёт'!$C$243)/'Расчёт'!$F$91,'Расчёт'!$F$85-7.5*'Расчёт'!$F$48*('Расчёт'!$C$243-'Расчёт'!$F$91)))</f>
        <v>24.85576602756836</v>
      </c>
      <c r="F243" s="12" t="n">
        <f>MAX('Расчёт'!$D$243-'Расчёт'!$E$243,0)</f>
        <v>0</v>
      </c>
      <c r="G243" s="12" t="n">
        <f>MAX('Расчёт'!$F$40*('Расчёт'!$F$50+'Расчёт'!$F$86)*(MAX('Расчёт'!$F$95-'Расчёт'!$C$243,0)),'Расчёт'!$F$40*'Расчёт'!$F$50*((MAX('Расчёт'!$F$95-'Расчёт'!$C$243,0))+('Расчёт'!$F$93)*'Расчёт'!$F$87),'Расчёт'!$F$40*'Расчёт'!$F$50*((MAX('Расчёт'!$F$95-'Расчёт'!$C$243,0))+'Расчёт'!$F$98*'Расчёт'!$F$88),0.75*'Расчёт'!$F$40*'Расчёт'!$F$50*((MAX('Расчёт'!$F$95-'Расчёт'!$C$243,0))+'Расчёт'!$F$99),'Расчёт'!$F$40*'Расчёт'!$F$50*(MAX('Расчёт'!$F$95-'Расчёт'!$C$243,0))+'Расчёт'!$F$100)</f>
        <v>143.47138124289967</v>
      </c>
      <c r="H243" s="12" t="n">
        <f>'Расчёт'!$G$243-'Расчёт'!$F$243</f>
        <v>143.47138124289967</v>
      </c>
      <c r="I243" s="12" t="n">
        <f>10*MAX('Расчёт'!$F$92-'Расчёт'!$C$243,0)+MAX(IF('Расчёт'!$C$243&lt;='Расчёт'!$F$92,'Расчёт'!$F$85-1.5*'Расчёт'!$F$84*('Расчёт'!$F$92-'Расчёт'!$C$243)/'Расчёт'!$F$92,'Расчёт'!$F$85-7.5*'Расчёт'!$F$48*('Расчёт'!$C$243-'Расчёт'!$F$92)),IF('Расчёт'!$C$243&gt;'Расчёт'!$F$92,0.03*'Расчёт'!$F$20+5,0))</f>
        <v>56.41531997021313</v>
      </c>
      <c r="J243" s="12" t="n">
        <f>MAX('Расчёт'!$H$243,'Расчёт'!$I$243,ABS('Расчёт'!$G$243-('Расчёт'!$D$243+'Расчёт'!$E$243)))</f>
        <v>143.47138124289967</v>
      </c>
      <c r="K243" s="12" t="n">
        <f>MAX('Расчёт'!$F$40*('Расчёт'!$F$50+'Расчёт'!$F$86)*(MAX('Расчёт'!$F$96-'Расчёт'!$C$243,0)),'Расчёт'!$F$40*'Расчёт'!$F$50*((MAX('Расчёт'!$F$96-'Расчёт'!$C$243,0))+('Расчёт'!$F$94)*'Расчёт'!$F$87),'Расчёт'!$F$40*'Расчёт'!$F$50*((MAX('Расчёт'!$F$96-'Расчёт'!$C$243,0))+'Расчёт'!$F$98*'Расчёт'!$F$88),0.75*'Расчёт'!$F$40*'Расчёт'!$F$50*((MAX('Расчёт'!$F$96-'Расчёт'!$C$243,0))+'Расчёт'!$F$99),'Расчёт'!$F$40*'Расчёт'!$F$50*(MAX('Расчёт'!$F$96-'Расчёт'!$C$243,0))+'Расчёт'!$F$100)</f>
        <v>141.20176767147106</v>
      </c>
      <c r="L243" s="12" t="n">
        <f>MAX('Расчёт'!$K$243,'Расчёт'!$G$243)</f>
        <v>143.47138124289967</v>
      </c>
    </row>
    <row r="244" ht="17" customHeight="1" outlineLevel="1" hidden="1">
      <c r="A244" s="14" t="str">
        <v>Обшивка I / 3</v>
      </c>
      <c r="B244" s="4"/>
      <c r="C244" s="12" t="n">
        <f>MAX((('Расчёт'!$K$589-'Расчёт'!$G$589/20)/100),MIN((('Расчёт'!$K$589+'Расчёт'!$G$589/20)/100),'Расчёт'!$F$101))</f>
        <v>3.94026569346791</v>
      </c>
      <c r="D244" s="12" t="n">
        <f>10*MAX('Расчёт'!$F$91-'Расчёт'!$C$244,0)</f>
        <v>10.597343065320901</v>
      </c>
      <c r="E244" s="12" t="n">
        <f>MAX(0,IF('Расчёт'!$C$244&lt;='Расчёт'!$F$91,'Расчёт'!$F$85-1.5*'Расчёт'!$F$84*('Расчёт'!$F$91-'Расчёт'!$C$244)/'Расчёт'!$F$91,'Расчёт'!$F$85-7.5*'Расчёт'!$F$48*('Расчёт'!$C$244-'Расчёт'!$F$91)))</f>
        <v>23.905061810805165</v>
      </c>
      <c r="F244" s="12" t="n">
        <f>MAX('Расчёт'!$D$244-'Расчёт'!$E$244,0)</f>
        <v>0</v>
      </c>
      <c r="G244" s="12" t="n">
        <f>MAX('Расчёт'!$F$40*('Расчёт'!$F$50+'Расчёт'!$F$86)*(MAX('Расчёт'!$F$95-'Расчёт'!$C$244,0)),'Расчёт'!$F$40*'Расчёт'!$F$50*((MAX('Расчёт'!$F$95-'Расчёт'!$C$244,0))+('Расчёт'!$F$93)*'Расчёт'!$F$87),'Расчёт'!$F$40*'Расчёт'!$F$50*((MAX('Расчёт'!$F$95-'Расчёт'!$C$244,0))+'Расчёт'!$F$98*'Расчёт'!$F$88),0.75*'Расчёт'!$F$40*'Расчёт'!$F$50*((MAX('Расчёт'!$F$95-'Расчёт'!$C$244,0))+'Расчёт'!$F$99),'Расчёт'!$F$40*'Расчёт'!$F$50*(MAX('Расчёт'!$F$95-'Расчёт'!$C$244,0))+'Расчёт'!$F$100)</f>
        <v>163.58188124289967</v>
      </c>
      <c r="H244" s="12" t="n">
        <f>'Расчёт'!$G$244-'Расчёт'!$F$244</f>
        <v>163.58188124289967</v>
      </c>
      <c r="I244" s="12" t="n">
        <f>10*MAX('Расчёт'!$F$92-'Расчёт'!$C$244,0)+MAX(IF('Расчёт'!$C$244&lt;='Расчёт'!$F$92,'Расчёт'!$F$85-1.5*'Расчёт'!$F$84*('Расчёт'!$F$92-'Расчёт'!$C$244)/'Расчёт'!$F$92,'Расчёт'!$F$85-7.5*'Расчёт'!$F$48*('Расчёт'!$C$244-'Расчёт'!$F$92)),IF('Расчёт'!$C$244&gt;'Расчёт'!$F$92,0.03*'Расчёт'!$F$20+5,0))</f>
        <v>73.57078294056018</v>
      </c>
      <c r="J244" s="12" t="n">
        <f>MAX('Расчёт'!$H$244,'Расчёт'!$I$244,ABS('Расчёт'!$G$244-('Расчёт'!$D$244+'Расчёт'!$E$244)))</f>
        <v>163.58188124289967</v>
      </c>
      <c r="K244" s="12" t="n">
        <f>MAX('Расчёт'!$F$40*('Расчёт'!$F$50+'Расчёт'!$F$86)*(MAX('Расчёт'!$F$96-'Расчёт'!$C$244,0)),'Расчёт'!$F$40*'Расчёт'!$F$50*((MAX('Расчёт'!$F$96-'Расчёт'!$C$244,0))+('Расчёт'!$F$94)*'Расчёт'!$F$87),'Расчёт'!$F$40*'Расчёт'!$F$50*((MAX('Расчёт'!$F$96-'Расчёт'!$C$244,0))+'Расчёт'!$F$98*'Расчёт'!$F$88),0.75*'Расчёт'!$F$40*'Расчёт'!$F$50*((MAX('Расчёт'!$F$96-'Расчёт'!$C$244,0))+'Расчёт'!$F$99),'Расчёт'!$F$40*'Расчёт'!$F$50*(MAX('Расчёт'!$F$96-'Расчёт'!$C$244,0))+'Расчёт'!$F$100)</f>
        <v>161.31226767147106</v>
      </c>
      <c r="L244" s="12" t="n">
        <f>MAX('Расчёт'!$K$244,'Расчёт'!$G$244)</f>
        <v>163.58188124289967</v>
      </c>
    </row>
    <row r="245" ht="17" customHeight="1" outlineLevel="1" hidden="1">
      <c r="A245" s="14" t="str">
        <v>Обшивка J / 1</v>
      </c>
      <c r="B245" s="4"/>
      <c r="C245" s="12" t="n">
        <f>('Расчёт'!$K$590-'Расчёт'!$G$590/20)/100</f>
        <v>5.94026569346791</v>
      </c>
      <c r="D245" s="12" t="n">
        <f>10*MAX('Расчёт'!$F$91-'Расчёт'!$C$245,0)</f>
        <v>0</v>
      </c>
      <c r="E245" s="12" t="n">
        <f>MAX(0,IF('Расчёт'!$C$245&lt;='Расчёт'!$F$91,'Расчёт'!$F$85-1.5*'Расчёт'!$F$84*('Расчёт'!$F$91-'Расчёт'!$C$245)/'Расчёт'!$F$91,'Расчёт'!$F$85-7.5*'Расчёт'!$F$48*('Расчёт'!$C$245-'Расчёт'!$F$91)))</f>
        <v>24.85576602756836</v>
      </c>
      <c r="F245" s="12" t="n">
        <f>MAX('Расчёт'!$D$245-'Расчёт'!$E$245,0)</f>
        <v>0</v>
      </c>
      <c r="G245" s="12" t="n">
        <f>MAX('Расчёт'!$F$40*('Расчёт'!$F$50+'Расчёт'!$F$86)*(MAX('Расчёт'!$F$95-'Расчёт'!$C$245,0)),'Расчёт'!$F$40*'Расчёт'!$F$50*((MAX('Расчёт'!$F$95-'Расчёт'!$C$245,0))+('Расчёт'!$F$93)*'Расчёт'!$F$87),'Расчёт'!$F$40*'Расчёт'!$F$50*((MAX('Расчёт'!$F$95-'Расчёт'!$C$245,0))+'Расчёт'!$F$98*'Расчёт'!$F$88),0.75*'Расчёт'!$F$40*'Расчёт'!$F$50*((MAX('Расчёт'!$F$95-'Расчёт'!$C$245,0))+'Расчёт'!$F$99),'Расчёт'!$F$40*'Расчёт'!$F$50*(MAX('Расчёт'!$F$95-'Расчёт'!$C$245,0))+'Расчёт'!$F$100)</f>
        <v>143.47138124289967</v>
      </c>
      <c r="H245" s="12" t="n">
        <f>'Расчёт'!$G$245-'Расчёт'!$F$245</f>
        <v>143.47138124289967</v>
      </c>
      <c r="I245" s="12" t="n">
        <f>10*MAX('Расчёт'!$F$92-'Расчёт'!$C$245,0)+MAX(IF('Расчёт'!$C$245&lt;='Расчёт'!$F$92,'Расчёт'!$F$85-1.5*'Расчёт'!$F$84*('Расчёт'!$F$92-'Расчёт'!$C$245)/'Расчёт'!$F$92,'Расчёт'!$F$85-7.5*'Расчёт'!$F$48*('Расчёт'!$C$245-'Расчёт'!$F$92)),IF('Расчёт'!$C$245&gt;'Расчёт'!$F$92,0.03*'Расчёт'!$F$20+5,0))</f>
        <v>56.41531997021313</v>
      </c>
      <c r="J245" s="12" t="n">
        <f>MAX('Расчёт'!$H$245,'Расчёт'!$I$245,ABS('Расчёт'!$G$245-('Расчёт'!$D$245+'Расчёт'!$E$245)))</f>
        <v>143.47138124289967</v>
      </c>
      <c r="K245" s="12" t="n">
        <f>MAX('Расчёт'!$F$40*('Расчёт'!$F$50+'Расчёт'!$F$86)*(MAX('Расчёт'!$F$96-'Расчёт'!$C$245,0)),'Расчёт'!$F$40*'Расчёт'!$F$50*((MAX('Расчёт'!$F$96-'Расчёт'!$C$245,0))+('Расчёт'!$F$94)*'Расчёт'!$F$87),'Расчёт'!$F$40*'Расчёт'!$F$50*((MAX('Расчёт'!$F$96-'Расчёт'!$C$245,0))+'Расчёт'!$F$98*'Расчёт'!$F$88),0.75*'Расчёт'!$F$40*'Расчёт'!$F$50*((MAX('Расчёт'!$F$96-'Расчёт'!$C$245,0))+'Расчёт'!$F$99),'Расчёт'!$F$40*'Расчёт'!$F$50*(MAX('Расчёт'!$F$96-'Расчёт'!$C$245,0))+'Расчёт'!$F$100)</f>
        <v>141.20176767147106</v>
      </c>
      <c r="L245" s="12" t="n">
        <f>MAX('Расчёт'!$K$245,'Расчёт'!$G$245)</f>
        <v>143.47138124289967</v>
      </c>
    </row>
    <row r="246" ht="17" customHeight="1" outlineLevel="1" hidden="1">
      <c r="A246" s="14" t="str">
        <v>Обшивка J / 2</v>
      </c>
      <c r="B246" s="4"/>
      <c r="C246" s="12" t="n">
        <f>('Расчёт'!$K$590+'Расчёт'!$G$590/20)/100</f>
        <v>7.94026569346791</v>
      </c>
      <c r="D246" s="12" t="n">
        <f>10*MAX('Расчёт'!$F$91-'Расчёт'!$C$246,0)</f>
        <v>0</v>
      </c>
      <c r="E246" s="12" t="n">
        <f>MAX(0,IF('Расчёт'!$C$246&lt;='Расчёт'!$F$91,'Расчёт'!$F$85-1.5*'Расчёт'!$F$84*('Расчёт'!$F$91-'Расчёт'!$C$246)/'Расчёт'!$F$91,'Расчёт'!$F$85-7.5*'Расчёт'!$F$48*('Расчёт'!$C$246-'Расчёт'!$F$91)))</f>
        <v>20.850766027568362</v>
      </c>
      <c r="F246" s="12" t="n">
        <f>MAX('Расчёт'!$D$246-'Расчёт'!$E$246,0)</f>
        <v>0</v>
      </c>
      <c r="G246" s="12" t="n">
        <f>MAX('Расчёт'!$F$40*('Расчёт'!$F$50+'Расчёт'!$F$86)*(MAX('Расчёт'!$F$95-'Расчёт'!$C$246,0)),'Расчёт'!$F$40*'Расчёт'!$F$50*((MAX('Расчёт'!$F$95-'Расчёт'!$C$246,0))+('Расчёт'!$F$93)*'Расчёт'!$F$87),'Расчёт'!$F$40*'Расчёт'!$F$50*((MAX('Расчёт'!$F$95-'Расчёт'!$C$246,0))+'Расчёт'!$F$98*'Расчёт'!$F$88),0.75*'Расчёт'!$F$40*'Расчёт'!$F$50*((MAX('Расчёт'!$F$95-'Расчёт'!$C$246,0))+'Расчёт'!$F$99),'Расчёт'!$F$40*'Расчёт'!$F$50*(MAX('Расчёт'!$F$95-'Расчёт'!$C$246,0))+'Расчёт'!$F$100)</f>
        <v>123.36088124289965</v>
      </c>
      <c r="H246" s="12" t="n">
        <f>'Расчёт'!$G$246-'Расчёт'!$F$246</f>
        <v>123.36088124289965</v>
      </c>
      <c r="I246" s="12" t="n">
        <f>10*MAX('Расчёт'!$F$92-'Расчёт'!$C$246,0)+MAX(IF('Расчёт'!$C$246&lt;='Расчёт'!$F$92,'Расчёт'!$F$85-1.5*'Расчёт'!$F$84*('Расчёт'!$F$92-'Расчёт'!$C$246)/'Расчёт'!$F$92,'Расчёт'!$F$85-7.5*'Расчёт'!$F$48*('Расчёт'!$C$246-'Расчёт'!$F$92)),IF('Расчёт'!$C$246&gt;'Расчёт'!$F$92,0.03*'Расчёт'!$F$20+5,0))</f>
        <v>39.259856999866095</v>
      </c>
      <c r="J246" s="12" t="n">
        <f>MAX('Расчёт'!$H$246,'Расчёт'!$I$246,ABS('Расчёт'!$G$246-('Расчёт'!$D$246+'Расчёт'!$E$246)))</f>
        <v>123.36088124289965</v>
      </c>
      <c r="K246" s="12" t="n">
        <f>MAX('Расчёт'!$F$40*('Расчёт'!$F$50+'Расчёт'!$F$86)*(MAX('Расчёт'!$F$96-'Расчёт'!$C$246,0)),'Расчёт'!$F$40*'Расчёт'!$F$50*((MAX('Расчёт'!$F$96-'Расчёт'!$C$246,0))+('Расчёт'!$F$94)*'Расчёт'!$F$87),'Расчёт'!$F$40*'Расчёт'!$F$50*((MAX('Расчёт'!$F$96-'Расчёт'!$C$246,0))+'Расчёт'!$F$98*'Расчёт'!$F$88),0.75*'Расчёт'!$F$40*'Расчёт'!$F$50*((MAX('Расчёт'!$F$96-'Расчёт'!$C$246,0))+'Расчёт'!$F$99),'Расчёт'!$F$40*'Расчёт'!$F$50*(MAX('Расчёт'!$F$96-'Расчёт'!$C$246,0))+'Расчёт'!$F$100)</f>
        <v>121.09126767147106</v>
      </c>
      <c r="L246" s="12" t="n">
        <f>MAX('Расчёт'!$K$246,'Расчёт'!$G$246)</f>
        <v>123.36088124289965</v>
      </c>
    </row>
    <row r="247" ht="17" customHeight="1" outlineLevel="1" hidden="1">
      <c r="A247" s="14" t="str">
        <v>Обшивка J / 3</v>
      </c>
      <c r="B247" s="4"/>
      <c r="C247" s="12" t="n">
        <f>MAX((('Расчёт'!$K$590-'Расчёт'!$G$590/20)/100),MIN((('Расчёт'!$K$590+'Расчёт'!$G$590/20)/100),'Расчёт'!$F$101))</f>
        <v>5.94026569346791</v>
      </c>
      <c r="D247" s="12" t="n">
        <f>10*MAX('Расчёт'!$F$91-'Расчёт'!$C$247,0)</f>
        <v>0</v>
      </c>
      <c r="E247" s="12" t="n">
        <f>MAX(0,IF('Расчёт'!$C$247&lt;='Расчёт'!$F$91,'Расчёт'!$F$85-1.5*'Расчёт'!$F$84*('Расчёт'!$F$91-'Расчёт'!$C$247)/'Расчёт'!$F$91,'Расчёт'!$F$85-7.5*'Расчёт'!$F$48*('Расчёт'!$C$247-'Расчёт'!$F$91)))</f>
        <v>24.85576602756836</v>
      </c>
      <c r="F247" s="12" t="n">
        <f>MAX('Расчёт'!$D$247-'Расчёт'!$E$247,0)</f>
        <v>0</v>
      </c>
      <c r="G247" s="12" t="n">
        <f>MAX('Расчёт'!$F$40*('Расчёт'!$F$50+'Расчёт'!$F$86)*(MAX('Расчёт'!$F$95-'Расчёт'!$C$247,0)),'Расчёт'!$F$40*'Расчёт'!$F$50*((MAX('Расчёт'!$F$95-'Расчёт'!$C$247,0))+('Расчёт'!$F$93)*'Расчёт'!$F$87),'Расчёт'!$F$40*'Расчёт'!$F$50*((MAX('Расчёт'!$F$95-'Расчёт'!$C$247,0))+'Расчёт'!$F$98*'Расчёт'!$F$88),0.75*'Расчёт'!$F$40*'Расчёт'!$F$50*((MAX('Расчёт'!$F$95-'Расчёт'!$C$247,0))+'Расчёт'!$F$99),'Расчёт'!$F$40*'Расчёт'!$F$50*(MAX('Расчёт'!$F$95-'Расчёт'!$C$247,0))+'Расчёт'!$F$100)</f>
        <v>143.47138124289967</v>
      </c>
      <c r="H247" s="12" t="n">
        <f>'Расчёт'!$G$247-'Расчёт'!$F$247</f>
        <v>143.47138124289967</v>
      </c>
      <c r="I247" s="12" t="n">
        <f>10*MAX('Расчёт'!$F$92-'Расчёт'!$C$247,0)+MAX(IF('Расчёт'!$C$247&lt;='Расчёт'!$F$92,'Расчёт'!$F$85-1.5*'Расчёт'!$F$84*('Расчёт'!$F$92-'Расчёт'!$C$247)/'Расчёт'!$F$92,'Расчёт'!$F$85-7.5*'Расчёт'!$F$48*('Расчёт'!$C$247-'Расчёт'!$F$92)),IF('Расчёт'!$C$247&gt;'Расчёт'!$F$92,0.03*'Расчёт'!$F$20+5,0))</f>
        <v>56.41531997021313</v>
      </c>
      <c r="J247" s="12" t="n">
        <f>MAX('Расчёт'!$H$247,'Расчёт'!$I$247,ABS('Расчёт'!$G$247-('Расчёт'!$D$247+'Расчёт'!$E$247)))</f>
        <v>143.47138124289967</v>
      </c>
      <c r="K247" s="12" t="n">
        <f>MAX('Расчёт'!$F$40*('Расчёт'!$F$50+'Расчёт'!$F$86)*(MAX('Расчёт'!$F$96-'Расчёт'!$C$247,0)),'Расчёт'!$F$40*'Расчёт'!$F$50*((MAX('Расчёт'!$F$96-'Расчёт'!$C$247,0))+('Расчёт'!$F$94)*'Расчёт'!$F$87),'Расчёт'!$F$40*'Расчёт'!$F$50*((MAX('Расчёт'!$F$96-'Расчёт'!$C$247,0))+'Расчёт'!$F$98*'Расчёт'!$F$88),0.75*'Расчёт'!$F$40*'Расчёт'!$F$50*((MAX('Расчёт'!$F$96-'Расчёт'!$C$247,0))+'Расчёт'!$F$99),'Расчёт'!$F$40*'Расчёт'!$F$50*(MAX('Расчёт'!$F$96-'Расчёт'!$C$247,0))+'Расчёт'!$F$100)</f>
        <v>141.20176767147106</v>
      </c>
      <c r="L247" s="12" t="n">
        <f>MAX('Расчёт'!$K$247,'Расчёт'!$G$247)</f>
        <v>143.47138124289967</v>
      </c>
    </row>
    <row r="248" ht="17" customHeight="1" outlineLevel="1" hidden="1">
      <c r="A248" s="14" t="str">
        <v>Обшивка K / 1</v>
      </c>
      <c r="B248" s="4"/>
      <c r="C248" s="12" t="n">
        <f>('Расчёт'!$K$591-'Расчёт'!$G$591/20)/100</f>
        <v>7.94026569346791</v>
      </c>
      <c r="D248" s="12" t="n">
        <f>10*MAX('Расчёт'!$F$91-'Расчёт'!$C$248,0)</f>
        <v>0</v>
      </c>
      <c r="E248" s="12" t="n">
        <f>MAX(0,IF('Расчёт'!$C$248&lt;='Расчёт'!$F$91,'Расчёт'!$F$85-1.5*'Расчёт'!$F$84*('Расчёт'!$F$91-'Расчёт'!$C$248)/'Расчёт'!$F$91,'Расчёт'!$F$85-7.5*'Расчёт'!$F$48*('Расчёт'!$C$248-'Расчёт'!$F$91)))</f>
        <v>20.850766027568362</v>
      </c>
      <c r="F248" s="12" t="n">
        <f>MAX('Расчёт'!$D$248-'Расчёт'!$E$248,0)</f>
        <v>0</v>
      </c>
      <c r="G248" s="12" t="n">
        <f>MAX('Расчёт'!$F$40*('Расчёт'!$F$50+'Расчёт'!$F$86)*(MAX('Расчёт'!$F$95-'Расчёт'!$C$248,0)),'Расчёт'!$F$40*'Расчёт'!$F$50*((MAX('Расчёт'!$F$95-'Расчёт'!$C$248,0))+('Расчёт'!$F$93)*'Расчёт'!$F$87),'Расчёт'!$F$40*'Расчёт'!$F$50*((MAX('Расчёт'!$F$95-'Расчёт'!$C$248,0))+'Расчёт'!$F$98*'Расчёт'!$F$88),0.75*'Расчёт'!$F$40*'Расчёт'!$F$50*((MAX('Расчёт'!$F$95-'Расчёт'!$C$248,0))+'Расчёт'!$F$99),'Расчёт'!$F$40*'Расчёт'!$F$50*(MAX('Расчёт'!$F$95-'Расчёт'!$C$248,0))+'Расчёт'!$F$100)</f>
        <v>123.36088124289965</v>
      </c>
      <c r="H248" s="12" t="n">
        <f>'Расчёт'!$G$248-'Расчёт'!$F$248</f>
        <v>123.36088124289965</v>
      </c>
      <c r="I248" s="12" t="n">
        <f>10*MAX('Расчёт'!$F$92-'Расчёт'!$C$248,0)+MAX(IF('Расчёт'!$C$248&lt;='Расчёт'!$F$92,'Расчёт'!$F$85-1.5*'Расчёт'!$F$84*('Расчёт'!$F$92-'Расчёт'!$C$248)/'Расчёт'!$F$92,'Расчёт'!$F$85-7.5*'Расчёт'!$F$48*('Расчёт'!$C$248-'Расчёт'!$F$92)),IF('Расчёт'!$C$248&gt;'Расчёт'!$F$92,0.03*'Расчёт'!$F$20+5,0))</f>
        <v>39.259856999866095</v>
      </c>
      <c r="J248" s="12" t="n">
        <f>MAX('Расчёт'!$H$248,'Расчёт'!$I$248,ABS('Расчёт'!$G$248-('Расчёт'!$D$248+'Расчёт'!$E$248)))</f>
        <v>123.36088124289965</v>
      </c>
      <c r="K248" s="12" t="n">
        <f>MAX('Расчёт'!$F$40*('Расчёт'!$F$50+'Расчёт'!$F$86)*(MAX('Расчёт'!$F$96-'Расчёт'!$C$248,0)),'Расчёт'!$F$40*'Расчёт'!$F$50*((MAX('Расчёт'!$F$96-'Расчёт'!$C$248,0))+('Расчёт'!$F$94)*'Расчёт'!$F$87),'Расчёт'!$F$40*'Расчёт'!$F$50*((MAX('Расчёт'!$F$96-'Расчёт'!$C$248,0))+'Расчёт'!$F$98*'Расчёт'!$F$88),0.75*'Расчёт'!$F$40*'Расчёт'!$F$50*((MAX('Расчёт'!$F$96-'Расчёт'!$C$248,0))+'Расчёт'!$F$99),'Расчёт'!$F$40*'Расчёт'!$F$50*(MAX('Расчёт'!$F$96-'Расчёт'!$C$248,0))+'Расчёт'!$F$100)</f>
        <v>121.09126767147106</v>
      </c>
      <c r="L248" s="12" t="n">
        <f>MAX('Расчёт'!$K$248,'Расчёт'!$G$248)</f>
        <v>123.36088124289965</v>
      </c>
    </row>
    <row r="249" ht="17" customHeight="1" outlineLevel="1" hidden="1">
      <c r="A249" s="14" t="str">
        <v>Обшивка K / 2</v>
      </c>
      <c r="B249" s="4"/>
      <c r="C249" s="12" t="n">
        <f>('Расчёт'!$K$591+'Расчёт'!$G$591/20)/100</f>
        <v>9.94026569346791</v>
      </c>
      <c r="D249" s="12" t="n">
        <f>10*MAX('Расчёт'!$F$91-'Расчёт'!$C$249,0)</f>
        <v>0</v>
      </c>
      <c r="E249" s="12" t="n">
        <f>MAX(0,IF('Расчёт'!$C$249&lt;='Расчёт'!$F$91,'Расчёт'!$F$85-1.5*'Расчёт'!$F$84*('Расчёт'!$F$91-'Расчёт'!$C$249)/'Расчёт'!$F$91,'Расчёт'!$F$85-7.5*'Расчёт'!$F$48*('Расчёт'!$C$249-'Расчёт'!$F$91)))</f>
        <v>16.84576602756836</v>
      </c>
      <c r="F249" s="12" t="n">
        <f>MAX('Расчёт'!$D$249-'Расчёт'!$E$249,0)</f>
        <v>0</v>
      </c>
      <c r="G249" s="12" t="n">
        <f>MAX('Расчёт'!$F$40*('Расчёт'!$F$50+'Расчёт'!$F$86)*(MAX('Расчёт'!$F$95-'Расчёт'!$C$249,0)),'Расчёт'!$F$40*'Расчёт'!$F$50*((MAX('Расчёт'!$F$95-'Расчёт'!$C$249,0))+('Расчёт'!$F$93)*'Расчёт'!$F$87),'Расчёт'!$F$40*'Расчёт'!$F$50*((MAX('Расчёт'!$F$95-'Расчёт'!$C$249,0))+'Расчёт'!$F$98*'Расчёт'!$F$88),0.75*'Расчёт'!$F$40*'Расчёт'!$F$50*((MAX('Расчёт'!$F$95-'Расчёт'!$C$249,0))+'Расчёт'!$F$99),'Расчёт'!$F$40*'Расчёт'!$F$50*(MAX('Расчёт'!$F$95-'Расчёт'!$C$249,0))+'Расчёт'!$F$100)</f>
        <v>103.25038124289964</v>
      </c>
      <c r="H249" s="12" t="n">
        <f>'Расчёт'!$G$249-'Расчёт'!$F$249</f>
        <v>103.25038124289964</v>
      </c>
      <c r="I249" s="12" t="n">
        <f>10*MAX('Расчёт'!$F$92-'Расчёт'!$C$249,0)+MAX(IF('Расчёт'!$C$249&lt;='Расчёт'!$F$92,'Расчёт'!$F$85-1.5*'Расчёт'!$F$84*('Расчёт'!$F$92-'Расчёт'!$C$249)/'Расчёт'!$F$92,'Расчёт'!$F$85-7.5*'Расчёт'!$F$48*('Расчёт'!$C$249-'Расчёт'!$F$92)),IF('Расчёт'!$C$249&gt;'Расчёт'!$F$92,0.03*'Расчёт'!$F$20+5,0))</f>
        <v>25.65676602756836</v>
      </c>
      <c r="J249" s="12" t="n">
        <f>MAX('Расчёт'!$H$249,'Расчёт'!$I$249,ABS('Расчёт'!$G$249-('Расчёт'!$D$249+'Расчёт'!$E$249)))</f>
        <v>103.25038124289964</v>
      </c>
      <c r="K249" s="12" t="n">
        <f>MAX('Расчёт'!$F$40*('Расчёт'!$F$50+'Расчёт'!$F$86)*(MAX('Расчёт'!$F$96-'Расчёт'!$C$249,0)),'Расчёт'!$F$40*'Расчёт'!$F$50*((MAX('Расчёт'!$F$96-'Расчёт'!$C$249,0))+('Расчёт'!$F$94)*'Расчёт'!$F$87),'Расчёт'!$F$40*'Расчёт'!$F$50*((MAX('Расчёт'!$F$96-'Расчёт'!$C$249,0))+'Расчёт'!$F$98*'Расчёт'!$F$88),0.75*'Расчёт'!$F$40*'Расчёт'!$F$50*((MAX('Расчёт'!$F$96-'Расчёт'!$C$249,0))+'Расчёт'!$F$99),'Расчёт'!$F$40*'Расчёт'!$F$50*(MAX('Расчёт'!$F$96-'Расчёт'!$C$249,0))+'Расчёт'!$F$100)</f>
        <v>100.98076767147106</v>
      </c>
      <c r="L249" s="12" t="n">
        <f>MAX('Расчёт'!$K$249,'Расчёт'!$G$249)</f>
        <v>103.25038124289964</v>
      </c>
    </row>
    <row r="250" ht="17" customHeight="1" outlineLevel="1" hidden="1">
      <c r="A250" s="14" t="str">
        <v>Обшивка K / 3</v>
      </c>
      <c r="B250" s="4"/>
      <c r="C250" s="12" t="n">
        <f>MAX((('Расчёт'!$K$591-'Расчёт'!$G$591/20)/100),MIN((('Расчёт'!$K$591+'Расчёт'!$G$591/20)/100),'Расчёт'!$F$101))</f>
        <v>7.94026569346791</v>
      </c>
      <c r="D250" s="12" t="n">
        <f>10*MAX('Расчёт'!$F$91-'Расчёт'!$C$250,0)</f>
        <v>0</v>
      </c>
      <c r="E250" s="12" t="n">
        <f>MAX(0,IF('Расчёт'!$C$250&lt;='Расчёт'!$F$91,'Расчёт'!$F$85-1.5*'Расчёт'!$F$84*('Расчёт'!$F$91-'Расчёт'!$C$250)/'Расчёт'!$F$91,'Расчёт'!$F$85-7.5*'Расчёт'!$F$48*('Расчёт'!$C$250-'Расчёт'!$F$91)))</f>
        <v>20.850766027568362</v>
      </c>
      <c r="F250" s="12" t="n">
        <f>MAX('Расчёт'!$D$250-'Расчёт'!$E$250,0)</f>
        <v>0</v>
      </c>
      <c r="G250" s="12" t="n">
        <f>MAX('Расчёт'!$F$40*('Расчёт'!$F$50+'Расчёт'!$F$86)*(MAX('Расчёт'!$F$95-'Расчёт'!$C$250,0)),'Расчёт'!$F$40*'Расчёт'!$F$50*((MAX('Расчёт'!$F$95-'Расчёт'!$C$250,0))+('Расчёт'!$F$93)*'Расчёт'!$F$87),'Расчёт'!$F$40*'Расчёт'!$F$50*((MAX('Расчёт'!$F$95-'Расчёт'!$C$250,0))+'Расчёт'!$F$98*'Расчёт'!$F$88),0.75*'Расчёт'!$F$40*'Расчёт'!$F$50*((MAX('Расчёт'!$F$95-'Расчёт'!$C$250,0))+'Расчёт'!$F$99),'Расчёт'!$F$40*'Расчёт'!$F$50*(MAX('Расчёт'!$F$95-'Расчёт'!$C$250,0))+'Расчёт'!$F$100)</f>
        <v>123.36088124289965</v>
      </c>
      <c r="H250" s="12" t="n">
        <f>'Расчёт'!$G$250-'Расчёт'!$F$250</f>
        <v>123.36088124289965</v>
      </c>
      <c r="I250" s="12" t="n">
        <f>10*MAX('Расчёт'!$F$92-'Расчёт'!$C$250,0)+MAX(IF('Расчёт'!$C$250&lt;='Расчёт'!$F$92,'Расчёт'!$F$85-1.5*'Расчёт'!$F$84*('Расчёт'!$F$92-'Расчёт'!$C$250)/'Расчёт'!$F$92,'Расчёт'!$F$85-7.5*'Расчёт'!$F$48*('Расчёт'!$C$250-'Расчёт'!$F$92)),IF('Расчёт'!$C$250&gt;'Расчёт'!$F$92,0.03*'Расчёт'!$F$20+5,0))</f>
        <v>39.259856999866095</v>
      </c>
      <c r="J250" s="12" t="n">
        <f>MAX('Расчёт'!$H$250,'Расчёт'!$I$250,ABS('Расчёт'!$G$250-('Расчёт'!$D$250+'Расчёт'!$E$250)))</f>
        <v>123.36088124289965</v>
      </c>
      <c r="K250" s="12" t="n">
        <f>MAX('Расчёт'!$F$40*('Расчёт'!$F$50+'Расчёт'!$F$86)*(MAX('Расчёт'!$F$96-'Расчёт'!$C$250,0)),'Расчёт'!$F$40*'Расчёт'!$F$50*((MAX('Расчёт'!$F$96-'Расчёт'!$C$250,0))+('Расчёт'!$F$94)*'Расчёт'!$F$87),'Расчёт'!$F$40*'Расчёт'!$F$50*((MAX('Расчёт'!$F$96-'Расчёт'!$C$250,0))+'Расчёт'!$F$98*'Расчёт'!$F$88),0.75*'Расчёт'!$F$40*'Расчёт'!$F$50*((MAX('Расчёт'!$F$96-'Расчёт'!$C$250,0))+'Расчёт'!$F$99),'Расчёт'!$F$40*'Расчёт'!$F$50*(MAX('Расчёт'!$F$96-'Расчёт'!$C$250,0))+'Расчёт'!$F$100)</f>
        <v>121.09126767147106</v>
      </c>
      <c r="L250" s="12" t="n">
        <f>MAX('Расчёт'!$K$250,'Расчёт'!$G$250)</f>
        <v>123.36088124289965</v>
      </c>
    </row>
    <row r="251" ht="17" customHeight="1" outlineLevel="1" hidden="1">
      <c r="A251" s="14" t="str">
        <v>Обшивка L / 1</v>
      </c>
      <c r="B251" s="4"/>
      <c r="C251" s="12" t="n">
        <f>('Расчёт'!$K$592-'Расчёт'!$G$592/20)/100</f>
        <v>9.940265693467909</v>
      </c>
      <c r="D251" s="12" t="n">
        <f>10*MAX('Расчёт'!$F$91-'Расчёт'!$C$251,0)</f>
        <v>0</v>
      </c>
      <c r="E251" s="12" t="n">
        <f>MAX(0,IF('Расчёт'!$C$251&lt;='Расчёт'!$F$91,'Расчёт'!$F$85-1.5*'Расчёт'!$F$84*('Расчёт'!$F$91-'Расчёт'!$C$251)/'Расчёт'!$F$91,'Расчёт'!$F$85-7.5*'Расчёт'!$F$48*('Расчёт'!$C$251-'Расчёт'!$F$91)))</f>
        <v>16.84576602756836</v>
      </c>
      <c r="F251" s="12" t="n">
        <f>MAX('Расчёт'!$D$251-'Расчёт'!$E$251,0)</f>
        <v>0</v>
      </c>
      <c r="G251" s="12" t="n">
        <f>MAX('Расчёт'!$F$40*('Расчёт'!$F$50+'Расчёт'!$F$86)*(MAX('Расчёт'!$F$95-'Расчёт'!$C$251,0)),'Расчёт'!$F$40*'Расчёт'!$F$50*((MAX('Расчёт'!$F$95-'Расчёт'!$C$251,0))+('Расчёт'!$F$93)*'Расчёт'!$F$87),'Расчёт'!$F$40*'Расчёт'!$F$50*((MAX('Расчёт'!$F$95-'Расчёт'!$C$251,0))+'Расчёт'!$F$98*'Расчёт'!$F$88),0.75*'Расчёт'!$F$40*'Расчёт'!$F$50*((MAX('Расчёт'!$F$95-'Расчёт'!$C$251,0))+'Расчёт'!$F$99),'Расчёт'!$F$40*'Расчёт'!$F$50*(MAX('Расчёт'!$F$95-'Расчёт'!$C$251,0))+'Расчёт'!$F$100)</f>
        <v>103.25038124289966</v>
      </c>
      <c r="H251" s="12" t="n">
        <f>'Расчёт'!$G$251-'Расчёт'!$F$251</f>
        <v>103.25038124289966</v>
      </c>
      <c r="I251" s="12" t="n">
        <f>10*MAX('Расчёт'!$F$92-'Расчёт'!$C$251,0)+MAX(IF('Расчёт'!$C$251&lt;='Расчёт'!$F$92,'Расчёт'!$F$85-1.5*'Расчёт'!$F$84*('Расчёт'!$F$92-'Расчёт'!$C$251)/'Расчёт'!$F$92,'Расчёт'!$F$85-7.5*'Расчёт'!$F$48*('Расчёт'!$C$251-'Расчёт'!$F$92)),IF('Расчёт'!$C$251&gt;'Расчёт'!$F$92,0.03*'Расчёт'!$F$20+5,0))</f>
        <v>25.656766027568363</v>
      </c>
      <c r="J251" s="12" t="n">
        <f>MAX('Расчёт'!$H$251,'Расчёт'!$I$251,ABS('Расчёт'!$G$251-('Расчёт'!$D$251+'Расчёт'!$E$251)))</f>
        <v>103.25038124289966</v>
      </c>
      <c r="K251" s="12" t="n">
        <f>MAX('Расчёт'!$F$40*('Расчёт'!$F$50+'Расчёт'!$F$86)*(MAX('Расчёт'!$F$96-'Расчёт'!$C$251,0)),'Расчёт'!$F$40*'Расчёт'!$F$50*((MAX('Расчёт'!$F$96-'Расчёт'!$C$251,0))+('Расчёт'!$F$94)*'Расчёт'!$F$87),'Расчёт'!$F$40*'Расчёт'!$F$50*((MAX('Расчёт'!$F$96-'Расчёт'!$C$251,0))+'Расчёт'!$F$98*'Расчёт'!$F$88),0.75*'Расчёт'!$F$40*'Расчёт'!$F$50*((MAX('Расчёт'!$F$96-'Расчёт'!$C$251,0))+'Расчёт'!$F$99),'Расчёт'!$F$40*'Расчёт'!$F$50*(MAX('Расчёт'!$F$96-'Расчёт'!$C$251,0))+'Расчёт'!$F$100)</f>
        <v>100.98076767147109</v>
      </c>
      <c r="L251" s="12" t="n">
        <f>MAX('Расчёт'!$K$251,'Расчёт'!$G$251)</f>
        <v>103.25038124289966</v>
      </c>
    </row>
    <row r="252" ht="17" customHeight="1" outlineLevel="1" hidden="1">
      <c r="A252" s="14" t="str">
        <v>Обшивка L / 2</v>
      </c>
      <c r="B252" s="4"/>
      <c r="C252" s="12" t="n">
        <f>('Расчёт'!$K$592+'Расчёт'!$G$592/20)/100</f>
        <v>11.940265693467909</v>
      </c>
      <c r="D252" s="12" t="n">
        <f>10*MAX('Расчёт'!$F$91-'Расчёт'!$C$252,0)</f>
        <v>0</v>
      </c>
      <c r="E252" s="12" t="n">
        <f>MAX(0,IF('Расчёт'!$C$252&lt;='Расчёт'!$F$91,'Расчёт'!$F$85-1.5*'Расчёт'!$F$84*('Расчёт'!$F$91-'Расчёт'!$C$252)/'Расчёт'!$F$91,'Расчёт'!$F$85-7.5*'Расчёт'!$F$48*('Расчёт'!$C$252-'Расчёт'!$F$91)))</f>
        <v>12.840766027568362</v>
      </c>
      <c r="F252" s="12" t="n">
        <f>MAX('Расчёт'!$D$252-'Расчёт'!$E$252,0)</f>
        <v>0</v>
      </c>
      <c r="G252" s="12" t="n">
        <f>MAX('Расчёт'!$F$40*('Расчёт'!$F$50+'Расчёт'!$F$86)*(MAX('Расчёт'!$F$95-'Расчёт'!$C$252,0)),'Расчёт'!$F$40*'Расчёт'!$F$50*((MAX('Расчёт'!$F$95-'Расчёт'!$C$252,0))+('Расчёт'!$F$93)*'Расчёт'!$F$87),'Расчёт'!$F$40*'Расчёт'!$F$50*((MAX('Расчёт'!$F$95-'Расчёт'!$C$252,0))+'Расчёт'!$F$98*'Расчёт'!$F$88),0.75*'Расчёт'!$F$40*'Расчёт'!$F$50*((MAX('Расчёт'!$F$95-'Расчёт'!$C$252,0))+'Расчёт'!$F$99),'Расчёт'!$F$40*'Расчёт'!$F$50*(MAX('Расчёт'!$F$95-'Расчёт'!$C$252,0))+'Расчёт'!$F$100)</f>
        <v>83.13988124289968</v>
      </c>
      <c r="H252" s="12" t="n">
        <f>'Расчёт'!$G$252-'Расчёт'!$F$252</f>
        <v>83.13988124289968</v>
      </c>
      <c r="I252" s="12" t="n">
        <f>10*MAX('Расчёт'!$F$92-'Расчёт'!$C$252,0)+MAX(IF('Расчёт'!$C$252&lt;='Расчёт'!$F$92,'Расчёт'!$F$85-1.5*'Расчёт'!$F$84*('Расчёт'!$F$92-'Расчёт'!$C$252)/'Расчёт'!$F$92,'Расчёт'!$F$85-7.5*'Расчёт'!$F$48*('Расчёт'!$C$252-'Расчёт'!$F$92)),IF('Расчёт'!$C$252&gt;'Расчёт'!$F$92,0.03*'Расчёт'!$F$20+5,0))</f>
        <v>21.651766027568364</v>
      </c>
      <c r="J252" s="12" t="n">
        <f>MAX('Расчёт'!$H$252,'Расчёт'!$I$252,ABS('Расчёт'!$G$252-('Расчёт'!$D$252+'Расчёт'!$E$252)))</f>
        <v>83.13988124289968</v>
      </c>
      <c r="K252" s="12" t="n">
        <f>MAX('Расчёт'!$F$40*('Расчёт'!$F$50+'Расчёт'!$F$86)*(MAX('Расчёт'!$F$96-'Расчёт'!$C$252,0)),'Расчёт'!$F$40*'Расчёт'!$F$50*((MAX('Расчёт'!$F$96-'Расчёт'!$C$252,0))+('Расчёт'!$F$94)*'Расчёт'!$F$87),'Расчёт'!$F$40*'Расчёт'!$F$50*((MAX('Расчёт'!$F$96-'Расчёт'!$C$252,0))+'Расчёт'!$F$98*'Расчёт'!$F$88),0.75*'Расчёт'!$F$40*'Расчёт'!$F$50*((MAX('Расчёт'!$F$96-'Расчёт'!$C$252,0))+'Расчёт'!$F$99),'Расчёт'!$F$40*'Расчёт'!$F$50*(MAX('Расчёт'!$F$96-'Расчёт'!$C$252,0))+'Расчёт'!$F$100)</f>
        <v>80.87026767147108</v>
      </c>
      <c r="L252" s="12" t="n">
        <f>MAX('Расчёт'!$K$252,'Расчёт'!$G$252)</f>
        <v>83.13988124289968</v>
      </c>
    </row>
    <row r="253" ht="17" customHeight="1" outlineLevel="1" hidden="1">
      <c r="A253" s="14" t="str">
        <v>Обшивка L / 3</v>
      </c>
      <c r="B253" s="4"/>
      <c r="C253" s="12" t="n">
        <f>MAX((('Расчёт'!$K$592-'Расчёт'!$G$592/20)/100),MIN((('Расчёт'!$K$592+'Расчёт'!$G$592/20)/100),'Расчёт'!$F$101))</f>
        <v>9.940265693467909</v>
      </c>
      <c r="D253" s="12" t="n">
        <f>10*MAX('Расчёт'!$F$91-'Расчёт'!$C$253,0)</f>
        <v>0</v>
      </c>
      <c r="E253" s="12" t="n">
        <f>MAX(0,IF('Расчёт'!$C$253&lt;='Расчёт'!$F$91,'Расчёт'!$F$85-1.5*'Расчёт'!$F$84*('Расчёт'!$F$91-'Расчёт'!$C$253)/'Расчёт'!$F$91,'Расчёт'!$F$85-7.5*'Расчёт'!$F$48*('Расчёт'!$C$253-'Расчёт'!$F$91)))</f>
        <v>16.84576602756836</v>
      </c>
      <c r="F253" s="12" t="n">
        <f>MAX('Расчёт'!$D$253-'Расчёт'!$E$253,0)</f>
        <v>0</v>
      </c>
      <c r="G253" s="12" t="n">
        <f>MAX('Расчёт'!$F$40*('Расчёт'!$F$50+'Расчёт'!$F$86)*(MAX('Расчёт'!$F$95-'Расчёт'!$C$253,0)),'Расчёт'!$F$40*'Расчёт'!$F$50*((MAX('Расчёт'!$F$95-'Расчёт'!$C$253,0))+('Расчёт'!$F$93)*'Расчёт'!$F$87),'Расчёт'!$F$40*'Расчёт'!$F$50*((MAX('Расчёт'!$F$95-'Расчёт'!$C$253,0))+'Расчёт'!$F$98*'Расчёт'!$F$88),0.75*'Расчёт'!$F$40*'Расчёт'!$F$50*((MAX('Расчёт'!$F$95-'Расчёт'!$C$253,0))+'Расчёт'!$F$99),'Расчёт'!$F$40*'Расчёт'!$F$50*(MAX('Расчёт'!$F$95-'Расчёт'!$C$253,0))+'Расчёт'!$F$100)</f>
        <v>103.25038124289966</v>
      </c>
      <c r="H253" s="12" t="n">
        <f>'Расчёт'!$G$253-'Расчёт'!$F$253</f>
        <v>103.25038124289966</v>
      </c>
      <c r="I253" s="12" t="n">
        <f>10*MAX('Расчёт'!$F$92-'Расчёт'!$C$253,0)+MAX(IF('Расчёт'!$C$253&lt;='Расчёт'!$F$92,'Расчёт'!$F$85-1.5*'Расчёт'!$F$84*('Расчёт'!$F$92-'Расчёт'!$C$253)/'Расчёт'!$F$92,'Расчёт'!$F$85-7.5*'Расчёт'!$F$48*('Расчёт'!$C$253-'Расчёт'!$F$92)),IF('Расчёт'!$C$253&gt;'Расчёт'!$F$92,0.03*'Расчёт'!$F$20+5,0))</f>
        <v>25.656766027568363</v>
      </c>
      <c r="J253" s="12" t="n">
        <f>MAX('Расчёт'!$H$253,'Расчёт'!$I$253,ABS('Расчёт'!$G$253-('Расчёт'!$D$253+'Расчёт'!$E$253)))</f>
        <v>103.25038124289966</v>
      </c>
      <c r="K253" s="12" t="n">
        <f>MAX('Расчёт'!$F$40*('Расчёт'!$F$50+'Расчёт'!$F$86)*(MAX('Расчёт'!$F$96-'Расчёт'!$C$253,0)),'Расчёт'!$F$40*'Расчёт'!$F$50*((MAX('Расчёт'!$F$96-'Расчёт'!$C$253,0))+('Расчёт'!$F$94)*'Расчёт'!$F$87),'Расчёт'!$F$40*'Расчёт'!$F$50*((MAX('Расчёт'!$F$96-'Расчёт'!$C$253,0))+'Расчёт'!$F$98*'Расчёт'!$F$88),0.75*'Расчёт'!$F$40*'Расчёт'!$F$50*((MAX('Расчёт'!$F$96-'Расчёт'!$C$253,0))+'Расчёт'!$F$99),'Расчёт'!$F$40*'Расчёт'!$F$50*(MAX('Расчёт'!$F$96-'Расчёт'!$C$253,0))+'Расчёт'!$F$100)</f>
        <v>100.98076767147109</v>
      </c>
      <c r="L253" s="12" t="n">
        <f>MAX('Расчёт'!$K$253,'Расчёт'!$G$253)</f>
        <v>103.25038124289966</v>
      </c>
    </row>
    <row r="254" ht="17" customHeight="1" outlineLevel="1" hidden="1">
      <c r="A254" s="14" t="str">
        <v>Обшивка M / 1</v>
      </c>
      <c r="B254" s="4"/>
      <c r="C254" s="12" t="n">
        <f>('Расчёт'!$K$593-'Расчёт'!$G$593/20)/100</f>
        <v>11.940265693467909</v>
      </c>
      <c r="D254" s="12" t="n">
        <f>10*MAX('Расчёт'!$F$91-'Расчёт'!$C$254,0)</f>
        <v>0</v>
      </c>
      <c r="E254" s="12" t="n">
        <f>MAX(0,IF('Расчёт'!$C$254&lt;='Расчёт'!$F$91,'Расчёт'!$F$85-1.5*'Расчёт'!$F$84*('Расчёт'!$F$91-'Расчёт'!$C$254)/'Расчёт'!$F$91,'Расчёт'!$F$85-7.5*'Расчёт'!$F$48*('Расчёт'!$C$254-'Расчёт'!$F$91)))</f>
        <v>12.840766027568362</v>
      </c>
      <c r="F254" s="12" t="n">
        <f>MAX('Расчёт'!$D$254-'Расчёт'!$E$254,0)</f>
        <v>0</v>
      </c>
      <c r="G254" s="12" t="n">
        <f>MAX('Расчёт'!$F$40*('Расчёт'!$F$50+'Расчёт'!$F$86)*(MAX('Расчёт'!$F$95-'Расчёт'!$C$254,0)),'Расчёт'!$F$40*'Расчёт'!$F$50*((MAX('Расчёт'!$F$95-'Расчёт'!$C$254,0))+('Расчёт'!$F$93)*'Расчёт'!$F$87),'Расчёт'!$F$40*'Расчёт'!$F$50*((MAX('Расчёт'!$F$95-'Расчёт'!$C$254,0))+'Расчёт'!$F$98*'Расчёт'!$F$88),0.75*'Расчёт'!$F$40*'Расчёт'!$F$50*((MAX('Расчёт'!$F$95-'Расчёт'!$C$254,0))+'Расчёт'!$F$99),'Расчёт'!$F$40*'Расчёт'!$F$50*(MAX('Расчёт'!$F$95-'Расчёт'!$C$254,0))+'Расчёт'!$F$100)</f>
        <v>83.13988124289968</v>
      </c>
      <c r="H254" s="12" t="n">
        <f>'Расчёт'!$G$254-'Расчёт'!$F$254</f>
        <v>83.13988124289968</v>
      </c>
      <c r="I254" s="12" t="n">
        <f>10*MAX('Расчёт'!$F$92-'Расчёт'!$C$254,0)+MAX(IF('Расчёт'!$C$254&lt;='Расчёт'!$F$92,'Расчёт'!$F$85-1.5*'Расчёт'!$F$84*('Расчёт'!$F$92-'Расчёт'!$C$254)/'Расчёт'!$F$92,'Расчёт'!$F$85-7.5*'Расчёт'!$F$48*('Расчёт'!$C$254-'Расчёт'!$F$92)),IF('Расчёт'!$C$254&gt;'Расчёт'!$F$92,0.03*'Расчёт'!$F$20+5,0))</f>
        <v>21.651766027568364</v>
      </c>
      <c r="J254" s="12" t="n">
        <f>MAX('Расчёт'!$H$254,'Расчёт'!$I$254,ABS('Расчёт'!$G$254-('Расчёт'!$D$254+'Расчёт'!$E$254)))</f>
        <v>83.13988124289968</v>
      </c>
      <c r="K254" s="12" t="n">
        <f>MAX('Расчёт'!$F$40*('Расчёт'!$F$50+'Расчёт'!$F$86)*(MAX('Расчёт'!$F$96-'Расчёт'!$C$254,0)),'Расчёт'!$F$40*'Расчёт'!$F$50*((MAX('Расчёт'!$F$96-'Расчёт'!$C$254,0))+('Расчёт'!$F$94)*'Расчёт'!$F$87),'Расчёт'!$F$40*'Расчёт'!$F$50*((MAX('Расчёт'!$F$96-'Расчёт'!$C$254,0))+'Расчёт'!$F$98*'Расчёт'!$F$88),0.75*'Расчёт'!$F$40*'Расчёт'!$F$50*((MAX('Расчёт'!$F$96-'Расчёт'!$C$254,0))+'Расчёт'!$F$99),'Расчёт'!$F$40*'Расчёт'!$F$50*(MAX('Расчёт'!$F$96-'Расчёт'!$C$254,0))+'Расчёт'!$F$100)</f>
        <v>80.87026767147108</v>
      </c>
      <c r="L254" s="12" t="n">
        <f>MAX('Расчёт'!$K$254,'Расчёт'!$G$254)</f>
        <v>83.13988124289968</v>
      </c>
    </row>
    <row r="255" ht="17" customHeight="1" outlineLevel="1" hidden="1">
      <c r="A255" s="14" t="str">
        <v>Обшивка M / 2</v>
      </c>
      <c r="B255" s="4"/>
      <c r="C255" s="12" t="n">
        <f>('Расчёт'!$K$593+'Расчёт'!$G$593/20)/100</f>
        <v>12.945132846733955</v>
      </c>
      <c r="D255" s="12" t="n">
        <f>10*MAX('Расчёт'!$F$91-'Расчёт'!$C$255,0)</f>
        <v>0</v>
      </c>
      <c r="E255" s="12" t="n">
        <f>MAX(0,IF('Расчёт'!$C$255&lt;='Расчёт'!$F$91,'Расчёт'!$F$85-1.5*'Расчёт'!$F$84*('Расчёт'!$F$91-'Расчёт'!$C$255)/'Расчёт'!$F$91,'Расчёт'!$F$85-7.5*'Расчёт'!$F$48*('Расчёт'!$C$255-'Расчёт'!$F$91)))</f>
        <v>10.828519553153106</v>
      </c>
      <c r="F255" s="12" t="n">
        <f>MAX('Расчёт'!$D$255-'Расчёт'!$E$255,0)</f>
        <v>0</v>
      </c>
      <c r="G255" s="12" t="n">
        <f>MAX('Расчёт'!$F$40*('Расчёт'!$F$50+'Расчёт'!$F$86)*(MAX('Расчёт'!$F$95-'Расчёт'!$C$255,0)),'Расчёт'!$F$40*'Расчёт'!$F$50*((MAX('Расчёт'!$F$95-'Расчёт'!$C$255,0))+('Расчёт'!$F$93)*'Расчёт'!$F$87),'Расчёт'!$F$40*'Расчёт'!$F$50*((MAX('Расчёт'!$F$95-'Расчёт'!$C$255,0))+'Расчёт'!$F$98*'Расчёт'!$F$88),0.75*'Расчёт'!$F$40*'Расчёт'!$F$50*((MAX('Расчёт'!$F$95-'Расчёт'!$C$255,0))+'Расчёт'!$F$99),'Расчёт'!$F$40*'Расчёт'!$F$50*(MAX('Расчёт'!$F$95-'Расчёт'!$C$255,0))+'Расчёт'!$F$100)</f>
        <v>73.03569080002126</v>
      </c>
      <c r="H255" s="12" t="n">
        <f>'Расчёт'!$G$255-'Расчёт'!$F$255</f>
        <v>73.03569080002126</v>
      </c>
      <c r="I255" s="12" t="n">
        <f>10*MAX('Расчёт'!$F$92-'Расчёт'!$C$255,0)+MAX(IF('Расчёт'!$C$255&lt;='Расчёт'!$F$92,'Расчёт'!$F$85-1.5*'Расчёт'!$F$84*('Расчёт'!$F$92-'Расчёт'!$C$255)/'Расчёт'!$F$92,'Расчёт'!$F$85-7.5*'Расчёт'!$F$48*('Расчёт'!$C$255-'Расчёт'!$F$92)),IF('Расчёт'!$C$255&gt;'Расчёт'!$F$92,0.03*'Расчёт'!$F$20+5,0))</f>
        <v>19.639519553153107</v>
      </c>
      <c r="J255" s="12" t="n">
        <f>MAX('Расчёт'!$H$255,'Расчёт'!$I$255,ABS('Расчёт'!$G$255-('Расчёт'!$D$255+'Расчёт'!$E$255)))</f>
        <v>73.03569080002126</v>
      </c>
      <c r="K255" s="12" t="n">
        <f>MAX('Расчёт'!$F$40*('Расчёт'!$F$50+'Расчёт'!$F$86)*(MAX('Расчёт'!$F$96-'Расчёт'!$C$255,0)),'Расчёт'!$F$40*'Расчёт'!$F$50*((MAX('Расчёт'!$F$96-'Расчёт'!$C$255,0))+('Расчёт'!$F$94)*'Расчёт'!$F$87),'Расчёт'!$F$40*'Расчёт'!$F$50*((MAX('Расчёт'!$F$96-'Расчёт'!$C$255,0))+'Расчёт'!$F$98*'Расчёт'!$F$88),0.75*'Расчёт'!$F$40*'Расчёт'!$F$50*((MAX('Расчёт'!$F$96-'Расчёт'!$C$255,0))+'Расчёт'!$F$99),'Расчёт'!$F$40*'Расчёт'!$F$50*(MAX('Расчёт'!$F$96-'Расчёт'!$C$255,0))+'Расчёт'!$F$100)</f>
        <v>70.76607722859268</v>
      </c>
      <c r="L255" s="12" t="n">
        <f>MAX('Расчёт'!$K$255,'Расчёт'!$G$255)</f>
        <v>73.03569080002126</v>
      </c>
    </row>
    <row r="256" ht="17" customHeight="1" outlineLevel="1" hidden="1">
      <c r="A256" s="14" t="str">
        <v>Обшивка M / 3</v>
      </c>
      <c r="B256" s="4"/>
      <c r="C256" s="12" t="n">
        <f>MAX((('Расчёт'!$K$593-'Расчёт'!$G$593/20)/100),MIN((('Расчёт'!$K$593+'Расчёт'!$G$593/20)/100),'Расчёт'!$F$101))</f>
        <v>11.940265693467909</v>
      </c>
      <c r="D256" s="12" t="n">
        <f>10*MAX('Расчёт'!$F$91-'Расчёт'!$C$256,0)</f>
        <v>0</v>
      </c>
      <c r="E256" s="12" t="n">
        <f>MAX(0,IF('Расчёт'!$C$256&lt;='Расчёт'!$F$91,'Расчёт'!$F$85-1.5*'Расчёт'!$F$84*('Расчёт'!$F$91-'Расчёт'!$C$256)/'Расчёт'!$F$91,'Расчёт'!$F$85-7.5*'Расчёт'!$F$48*('Расчёт'!$C$256-'Расчёт'!$F$91)))</f>
        <v>12.840766027568362</v>
      </c>
      <c r="F256" s="12" t="n">
        <f>MAX('Расчёт'!$D$256-'Расчёт'!$E$256,0)</f>
        <v>0</v>
      </c>
      <c r="G256" s="12" t="n">
        <f>MAX('Расчёт'!$F$40*('Расчёт'!$F$50+'Расчёт'!$F$86)*(MAX('Расчёт'!$F$95-'Расчёт'!$C$256,0)),'Расчёт'!$F$40*'Расчёт'!$F$50*((MAX('Расчёт'!$F$95-'Расчёт'!$C$256,0))+('Расчёт'!$F$93)*'Расчёт'!$F$87),'Расчёт'!$F$40*'Расчёт'!$F$50*((MAX('Расчёт'!$F$95-'Расчёт'!$C$256,0))+'Расчёт'!$F$98*'Расчёт'!$F$88),0.75*'Расчёт'!$F$40*'Расчёт'!$F$50*((MAX('Расчёт'!$F$95-'Расчёт'!$C$256,0))+'Расчёт'!$F$99),'Расчёт'!$F$40*'Расчёт'!$F$50*(MAX('Расчёт'!$F$95-'Расчёт'!$C$256,0))+'Расчёт'!$F$100)</f>
        <v>83.13988124289968</v>
      </c>
      <c r="H256" s="12" t="n">
        <f>'Расчёт'!$G$256-'Расчёт'!$F$256</f>
        <v>83.13988124289968</v>
      </c>
      <c r="I256" s="12" t="n">
        <f>10*MAX('Расчёт'!$F$92-'Расчёт'!$C$256,0)+MAX(IF('Расчёт'!$C$256&lt;='Расчёт'!$F$92,'Расчёт'!$F$85-1.5*'Расчёт'!$F$84*('Расчёт'!$F$92-'Расчёт'!$C$256)/'Расчёт'!$F$92,'Расчёт'!$F$85-7.5*'Расчёт'!$F$48*('Расчёт'!$C$256-'Расчёт'!$F$92)),IF('Расчёт'!$C$256&gt;'Расчёт'!$F$92,0.03*'Расчёт'!$F$20+5,0))</f>
        <v>21.651766027568364</v>
      </c>
      <c r="J256" s="12" t="n">
        <f>MAX('Расчёт'!$H$256,'Расчёт'!$I$256,ABS('Расчёт'!$G$256-('Расчёт'!$D$256+'Расчёт'!$E$256)))</f>
        <v>83.13988124289968</v>
      </c>
      <c r="K256" s="12" t="n">
        <f>MAX('Расчёт'!$F$40*('Расчёт'!$F$50+'Расчёт'!$F$86)*(MAX('Расчёт'!$F$96-'Расчёт'!$C$256,0)),'Расчёт'!$F$40*'Расчёт'!$F$50*((MAX('Расчёт'!$F$96-'Расчёт'!$C$256,0))+('Расчёт'!$F$94)*'Расчёт'!$F$87),'Расчёт'!$F$40*'Расчёт'!$F$50*((MAX('Расчёт'!$F$96-'Расчёт'!$C$256,0))+'Расчёт'!$F$98*'Расчёт'!$F$88),0.75*'Расчёт'!$F$40*'Расчёт'!$F$50*((MAX('Расчёт'!$F$96-'Расчёт'!$C$256,0))+'Расчёт'!$F$99),'Расчёт'!$F$40*'Расчёт'!$F$50*(MAX('Расчёт'!$F$96-'Расчёт'!$C$256,0))+'Расчёт'!$F$100)</f>
        <v>80.87026767147108</v>
      </c>
      <c r="L256" s="12" t="n">
        <f>MAX('Расчёт'!$K$256,'Расчёт'!$G$256)</f>
        <v>83.13988124289968</v>
      </c>
    </row>
    <row r="257" ht="17" customHeight="1" outlineLevel="1" hidden="1">
      <c r="A257" s="14" t="str">
        <v>Обшивка N / 1</v>
      </c>
      <c r="B257" s="4"/>
      <c r="C257" s="12" t="n">
        <f>('Расчёт'!$K$594-'Расчёт'!$G$594/20)/100</f>
        <v>12.945132846733955</v>
      </c>
      <c r="D257" s="12" t="n">
        <f>10*MAX('Расчёт'!$F$91-'Расчёт'!$C$257,0)</f>
        <v>0</v>
      </c>
      <c r="E257" s="12" t="n">
        <f>MAX(0,IF('Расчёт'!$C$257&lt;='Расчёт'!$F$91,'Расчёт'!$F$85-1.5*'Расчёт'!$F$84*('Расчёт'!$F$91-'Расчёт'!$C$257)/'Расчёт'!$F$91,'Расчёт'!$F$85-7.5*'Расчёт'!$F$48*('Расчёт'!$C$257-'Расчёт'!$F$91)))</f>
        <v>10.828519553153106</v>
      </c>
      <c r="F257" s="12" t="n">
        <f>MAX('Расчёт'!$D$257-'Расчёт'!$E$257,0)</f>
        <v>0</v>
      </c>
      <c r="G257" s="12" t="n">
        <f>MAX('Расчёт'!$F$40*('Расчёт'!$F$50+'Расчёт'!$F$86)*(MAX('Расчёт'!$F$95-'Расчёт'!$C$257,0)),'Расчёт'!$F$40*'Расчёт'!$F$50*((MAX('Расчёт'!$F$95-'Расчёт'!$C$257,0))+('Расчёт'!$F$93)*'Расчёт'!$F$87),'Расчёт'!$F$40*'Расчёт'!$F$50*((MAX('Расчёт'!$F$95-'Расчёт'!$C$257,0))+'Расчёт'!$F$98*'Расчёт'!$F$88),0.75*'Расчёт'!$F$40*'Расчёт'!$F$50*((MAX('Расчёт'!$F$95-'Расчёт'!$C$257,0))+'Расчёт'!$F$99),'Расчёт'!$F$40*'Расчёт'!$F$50*(MAX('Расчёт'!$F$95-'Расчёт'!$C$257,0))+'Расчёт'!$F$100)</f>
        <v>73.03569080002126</v>
      </c>
      <c r="H257" s="12" t="n">
        <f>'Расчёт'!$G$257-'Расчёт'!$F$257</f>
        <v>73.03569080002126</v>
      </c>
      <c r="I257" s="12" t="n">
        <f>10*MAX('Расчёт'!$F$92-'Расчёт'!$C$257,0)+MAX(IF('Расчёт'!$C$257&lt;='Расчёт'!$F$92,'Расчёт'!$F$85-1.5*'Расчёт'!$F$84*('Расчёт'!$F$92-'Расчёт'!$C$257)/'Расчёт'!$F$92,'Расчёт'!$F$85-7.5*'Расчёт'!$F$48*('Расчёт'!$C$257-'Расчёт'!$F$92)),IF('Расчёт'!$C$257&gt;'Расчёт'!$F$92,0.03*'Расчёт'!$F$20+5,0))</f>
        <v>19.639519553153107</v>
      </c>
      <c r="J257" s="12" t="n">
        <f>MAX('Расчёт'!$H$257,'Расчёт'!$I$257,ABS('Расчёт'!$G$257-('Расчёт'!$D$257+'Расчёт'!$E$257)))</f>
        <v>73.03569080002126</v>
      </c>
      <c r="K257" s="12" t="n">
        <f>MAX('Расчёт'!$F$40*('Расчёт'!$F$50+'Расчёт'!$F$86)*(MAX('Расчёт'!$F$96-'Расчёт'!$C$257,0)),'Расчёт'!$F$40*'Расчёт'!$F$50*((MAX('Расчёт'!$F$96-'Расчёт'!$C$257,0))+('Расчёт'!$F$94)*'Расчёт'!$F$87),'Расчёт'!$F$40*'Расчёт'!$F$50*((MAX('Расчёт'!$F$96-'Расчёт'!$C$257,0))+'Расчёт'!$F$98*'Расчёт'!$F$88),0.75*'Расчёт'!$F$40*'Расчёт'!$F$50*((MAX('Расчёт'!$F$96-'Расчёт'!$C$257,0))+'Расчёт'!$F$99),'Расчёт'!$F$40*'Расчёт'!$F$50*(MAX('Расчёт'!$F$96-'Расчёт'!$C$257,0))+'Расчёт'!$F$100)</f>
        <v>70.76607722859268</v>
      </c>
      <c r="L257" s="12" t="n">
        <f>MAX('Расчёт'!$K$257,'Расчёт'!$G$257)</f>
        <v>73.03569080002126</v>
      </c>
    </row>
    <row r="258" ht="17" customHeight="1" outlineLevel="1" hidden="1">
      <c r="A258" s="14" t="str">
        <v>Обшивка N / 2</v>
      </c>
      <c r="B258" s="4"/>
      <c r="C258" s="12" t="n">
        <f>('Расчёт'!$K$594+'Расчёт'!$G$594/20)/100</f>
        <v>13.95</v>
      </c>
      <c r="D258" s="12" t="n">
        <f>10*MAX('Расчёт'!$F$91-'Расчёт'!$C$258,0)</f>
        <v>0</v>
      </c>
      <c r="E258" s="12" t="n">
        <f>MAX(0,IF('Расчёт'!$C$258&lt;='Расчёт'!$F$91,'Расчёт'!$F$85-1.5*'Расчёт'!$F$84*('Расчёт'!$F$91-'Расчёт'!$C$258)/'Расчёт'!$F$91,'Расчёт'!$F$85-7.5*'Расчёт'!$F$48*('Расчёт'!$C$258-'Расчёт'!$F$91)))</f>
        <v>8.81627307873785</v>
      </c>
      <c r="F258" s="12" t="n">
        <f>MAX('Расчёт'!$D$258-'Расчёт'!$E$258,0)</f>
        <v>0</v>
      </c>
      <c r="G258" s="12" t="n">
        <f>MAX('Расчёт'!$F$40*('Расчёт'!$F$50+'Расчёт'!$F$86)*(MAX('Расчёт'!$F$95-'Расчёт'!$C$258,0)),'Расчёт'!$F$40*'Расчёт'!$F$50*((MAX('Расчёт'!$F$95-'Расчёт'!$C$258,0))+('Расчёт'!$F$93)*'Расчёт'!$F$87),'Расчёт'!$F$40*'Расчёт'!$F$50*((MAX('Расчёт'!$F$95-'Расчёт'!$C$258,0))+'Расчёт'!$F$98*'Расчёт'!$F$88),0.75*'Расчёт'!$F$40*'Расчёт'!$F$50*((MAX('Расчёт'!$F$95-'Расчёт'!$C$258,0))+'Расчёт'!$F$99),'Расчёт'!$F$40*'Расчёт'!$F$50*(MAX('Расчёт'!$F$95-'Расчёт'!$C$258,0))+'Расчёт'!$F$100)</f>
        <v>62.931500357142866</v>
      </c>
      <c r="H258" s="12" t="n">
        <f>'Расчёт'!$G$258-'Расчёт'!$F$258</f>
        <v>62.931500357142866</v>
      </c>
      <c r="I258" s="12" t="n">
        <f>10*MAX('Расчёт'!$F$92-'Расчёт'!$C$258,0)+MAX(IF('Расчёт'!$C$258&lt;='Расчёт'!$F$92,'Расчёт'!$F$85-1.5*'Расчёт'!$F$84*('Расчёт'!$F$92-'Расчёт'!$C$258)/'Расчёт'!$F$92,'Расчёт'!$F$85-7.5*'Расчёт'!$F$48*('Расчёт'!$C$258-'Расчёт'!$F$92)),IF('Расчёт'!$C$258&gt;'Расчёт'!$F$92,0.03*'Расчёт'!$F$20+5,0))</f>
        <v>17.62727307873785</v>
      </c>
      <c r="J258" s="12" t="n">
        <f>MAX('Расчёт'!$H$258,'Расчёт'!$I$258,ABS('Расчёт'!$G$258-('Расчёт'!$D$258+'Расчёт'!$E$258)))</f>
        <v>62.931500357142866</v>
      </c>
      <c r="K258" s="12" t="n">
        <f>MAX('Расчёт'!$F$40*('Расчёт'!$F$50+'Расчёт'!$F$86)*(MAX('Расчёт'!$F$96-'Расчёт'!$C$258,0)),'Расчёт'!$F$40*'Расчёт'!$F$50*((MAX('Расчёт'!$F$96-'Расчёт'!$C$258,0))+('Расчёт'!$F$94)*'Расчёт'!$F$87),'Расчёт'!$F$40*'Расчёт'!$F$50*((MAX('Расчёт'!$F$96-'Расчёт'!$C$258,0))+'Расчёт'!$F$98*'Расчёт'!$F$88),0.75*'Расчёт'!$F$40*'Расчёт'!$F$50*((MAX('Расчёт'!$F$96-'Расчёт'!$C$258,0))+'Расчёт'!$F$99),'Расчёт'!$F$40*'Расчёт'!$F$50*(MAX('Расчёт'!$F$96-'Расчёт'!$C$258,0))+'Расчёт'!$F$100)</f>
        <v>60.66188678571428</v>
      </c>
      <c r="L258" s="12" t="n">
        <f>MAX('Расчёт'!$K$258,'Расчёт'!$G$258)</f>
        <v>62.931500357142866</v>
      </c>
    </row>
    <row r="259" ht="17" customHeight="1" outlineLevel="1" hidden="1">
      <c r="A259" s="14" t="str">
        <v>Обшивка N / 3</v>
      </c>
      <c r="B259" s="4"/>
      <c r="C259" s="12" t="n">
        <f>MAX((('Расчёт'!$K$594-'Расчёт'!$G$594/20)/100),MIN((('Расчёт'!$K$594+'Расчёт'!$G$594/20)/100),'Расчёт'!$F$101))</f>
        <v>12.945132846733955</v>
      </c>
      <c r="D259" s="12" t="n">
        <f>10*MAX('Расчёт'!$F$91-'Расчёт'!$C$259,0)</f>
        <v>0</v>
      </c>
      <c r="E259" s="12" t="n">
        <f>MAX(0,IF('Расчёт'!$C$259&lt;='Расчёт'!$F$91,'Расчёт'!$F$85-1.5*'Расчёт'!$F$84*('Расчёт'!$F$91-'Расчёт'!$C$259)/'Расчёт'!$F$91,'Расчёт'!$F$85-7.5*'Расчёт'!$F$48*('Расчёт'!$C$259-'Расчёт'!$F$91)))</f>
        <v>10.828519553153106</v>
      </c>
      <c r="F259" s="12" t="n">
        <f>MAX('Расчёт'!$D$259-'Расчёт'!$E$259,0)</f>
        <v>0</v>
      </c>
      <c r="G259" s="12" t="n">
        <f>MAX('Расчёт'!$F$40*('Расчёт'!$F$50+'Расчёт'!$F$86)*(MAX('Расчёт'!$F$95-'Расчёт'!$C$259,0)),'Расчёт'!$F$40*'Расчёт'!$F$50*((MAX('Расчёт'!$F$95-'Расчёт'!$C$259,0))+('Расчёт'!$F$93)*'Расчёт'!$F$87),'Расчёт'!$F$40*'Расчёт'!$F$50*((MAX('Расчёт'!$F$95-'Расчёт'!$C$259,0))+'Расчёт'!$F$98*'Расчёт'!$F$88),0.75*'Расчёт'!$F$40*'Расчёт'!$F$50*((MAX('Расчёт'!$F$95-'Расчёт'!$C$259,0))+'Расчёт'!$F$99),'Расчёт'!$F$40*'Расчёт'!$F$50*(MAX('Расчёт'!$F$95-'Расчёт'!$C$259,0))+'Расчёт'!$F$100)</f>
        <v>73.03569080002126</v>
      </c>
      <c r="H259" s="12" t="n">
        <f>'Расчёт'!$G$259-'Расчёт'!$F$259</f>
        <v>73.03569080002126</v>
      </c>
      <c r="I259" s="12" t="n">
        <f>10*MAX('Расчёт'!$F$92-'Расчёт'!$C$259,0)+MAX(IF('Расчёт'!$C$259&lt;='Расчёт'!$F$92,'Расчёт'!$F$85-1.5*'Расчёт'!$F$84*('Расчёт'!$F$92-'Расчёт'!$C$259)/'Расчёт'!$F$92,'Расчёт'!$F$85-7.5*'Расчёт'!$F$48*('Расчёт'!$C$259-'Расчёт'!$F$92)),IF('Расчёт'!$C$259&gt;'Расчёт'!$F$92,0.03*'Расчёт'!$F$20+5,0))</f>
        <v>19.639519553153107</v>
      </c>
      <c r="J259" s="12" t="n">
        <f>MAX('Расчёт'!$H$259,'Расчёт'!$I$259,ABS('Расчёт'!$G$259-('Расчёт'!$D$259+'Расчёт'!$E$259)))</f>
        <v>73.03569080002126</v>
      </c>
      <c r="K259" s="12" t="n">
        <f>MAX('Расчёт'!$F$40*('Расчёт'!$F$50+'Расчёт'!$F$86)*(MAX('Расчёт'!$F$96-'Расчёт'!$C$259,0)),'Расчёт'!$F$40*'Расчёт'!$F$50*((MAX('Расчёт'!$F$96-'Расчёт'!$C$259,0))+('Расчёт'!$F$94)*'Расчёт'!$F$87),'Расчёт'!$F$40*'Расчёт'!$F$50*((MAX('Расчёт'!$F$96-'Расчёт'!$C$259,0))+'Расчёт'!$F$98*'Расчёт'!$F$88),0.75*'Расчёт'!$F$40*'Расчёт'!$F$50*((MAX('Расчёт'!$F$96-'Расчёт'!$C$259,0))+'Расчёт'!$F$99),'Расчёт'!$F$40*'Расчёт'!$F$50*(MAX('Расчёт'!$F$96-'Расчёт'!$C$259,0))+'Расчёт'!$F$100)</f>
        <v>70.76607722859268</v>
      </c>
      <c r="L259" s="12" t="n">
        <f>MAX('Расчёт'!$K$259,'Расчёт'!$G$259)</f>
        <v>73.03569080002126</v>
      </c>
    </row>
    <row r="260" ht="17" customHeight="1" outlineLevel="1" hidden="1">
      <c r="A260" s="14" t="str">
        <v>Обшивка SH / 1</v>
      </c>
      <c r="B260" s="4"/>
      <c r="C260" s="12" t="n">
        <f>('Расчёт'!$K$595-'Расчёт'!$G$595/20)/100</f>
        <v>13.95</v>
      </c>
      <c r="D260" s="12" t="n">
        <f>10*MAX('Расчёт'!$F$91-'Расчёт'!$C$260,0)</f>
        <v>0</v>
      </c>
      <c r="E260" s="12" t="n">
        <f>MAX(0,IF('Расчёт'!$C$260&lt;='Расчёт'!$F$91,'Расчёт'!$F$85-1.5*'Расчёт'!$F$84*('Расчёт'!$F$91-'Расчёт'!$C$260)/'Расчёт'!$F$91,'Расчёт'!$F$85-7.5*'Расчёт'!$F$48*('Расчёт'!$C$260-'Расчёт'!$F$91)))</f>
        <v>8.81627307873785</v>
      </c>
      <c r="F260" s="12" t="n">
        <f>MAX('Расчёт'!$D$260-'Расчёт'!$E$260,0)</f>
        <v>0</v>
      </c>
      <c r="G260" s="12" t="n">
        <f>MAX('Расчёт'!$F$40*('Расчёт'!$F$50+'Расчёт'!$F$86)*(MAX('Расчёт'!$F$95-'Расчёт'!$C$260,0)),'Расчёт'!$F$40*'Расчёт'!$F$50*((MAX('Расчёт'!$F$95-'Расчёт'!$C$260,0))+('Расчёт'!$F$93)*'Расчёт'!$F$87),'Расчёт'!$F$40*'Расчёт'!$F$50*((MAX('Расчёт'!$F$95-'Расчёт'!$C$260,0))+'Расчёт'!$F$98*'Расчёт'!$F$88),0.75*'Расчёт'!$F$40*'Расчёт'!$F$50*((MAX('Расчёт'!$F$95-'Расчёт'!$C$260,0))+'Расчёт'!$F$99),'Расчёт'!$F$40*'Расчёт'!$F$50*(MAX('Расчёт'!$F$95-'Расчёт'!$C$260,0))+'Расчёт'!$F$100)</f>
        <v>62.931500357142866</v>
      </c>
      <c r="H260" s="12" t="n">
        <f>'Расчёт'!$G$260-'Расчёт'!$F$260</f>
        <v>62.931500357142866</v>
      </c>
      <c r="I260" s="12" t="n">
        <f>10*MAX('Расчёт'!$F$92-'Расчёт'!$C$260,0)+MAX(IF('Расчёт'!$C$260&lt;='Расчёт'!$F$92,'Расчёт'!$F$85-1.5*'Расчёт'!$F$84*('Расчёт'!$F$92-'Расчёт'!$C$260)/'Расчёт'!$F$92,'Расчёт'!$F$85-7.5*'Расчёт'!$F$48*('Расчёт'!$C$260-'Расчёт'!$F$92)),IF('Расчёт'!$C$260&gt;'Расчёт'!$F$92,0.03*'Расчёт'!$F$20+5,0))</f>
        <v>17.62727307873785</v>
      </c>
      <c r="J260" s="12" t="n">
        <f>MAX('Расчёт'!$H$260,'Расчёт'!$I$260,ABS('Расчёт'!$G$260-('Расчёт'!$D$260+'Расчёт'!$E$260)))</f>
        <v>62.931500357142866</v>
      </c>
      <c r="K260" s="12" t="n">
        <f>MAX('Расчёт'!$F$40*('Расчёт'!$F$50+'Расчёт'!$F$86)*(MAX('Расчёт'!$F$96-'Расчёт'!$C$260,0)),'Расчёт'!$F$40*'Расчёт'!$F$50*((MAX('Расчёт'!$F$96-'Расчёт'!$C$260,0))+('Расчёт'!$F$94)*'Расчёт'!$F$87),'Расчёт'!$F$40*'Расчёт'!$F$50*((MAX('Расчёт'!$F$96-'Расчёт'!$C$260,0))+'Расчёт'!$F$98*'Расчёт'!$F$88),0.75*'Расчёт'!$F$40*'Расчёт'!$F$50*((MAX('Расчёт'!$F$96-'Расчёт'!$C$260,0))+'Расчёт'!$F$99),'Расчёт'!$F$40*'Расчёт'!$F$50*(MAX('Расчёт'!$F$96-'Расчёт'!$C$260,0))+'Расчёт'!$F$100)</f>
        <v>60.66188678571428</v>
      </c>
      <c r="L260" s="12" t="n">
        <f>MAX('Расчёт'!$K$260,'Расчёт'!$G$260)</f>
        <v>62.931500357142866</v>
      </c>
    </row>
    <row r="261" ht="17" customHeight="1" outlineLevel="1" hidden="1">
      <c r="A261" s="14" t="str">
        <v>Обшивка SH / 2</v>
      </c>
      <c r="B261" s="4"/>
      <c r="C261" s="12" t="n">
        <f>('Расчёт'!$K$595+'Расчёт'!$G$595/20)/100</f>
        <v>15.5</v>
      </c>
      <c r="D261" s="12" t="n">
        <f>10*MAX('Расчёт'!$F$91-'Расчёт'!$C$261,0)</f>
        <v>0</v>
      </c>
      <c r="E261" s="12" t="n">
        <f>MAX(0,IF('Расчёт'!$C$261&lt;='Расчёт'!$F$91,'Расчёт'!$F$85-1.5*'Расчёт'!$F$84*('Расчёт'!$F$91-'Расчёт'!$C$261)/'Расчёт'!$F$91,'Расчёт'!$F$85-7.5*'Расчёт'!$F$48*('Расчёт'!$C$261-'Расчёт'!$F$91)))</f>
        <v>5.7123980787378486</v>
      </c>
      <c r="F261" s="12" t="n">
        <f>MAX('Расчёт'!$D$261-'Расчёт'!$E$261,0)</f>
        <v>0</v>
      </c>
      <c r="G261" s="12" t="n">
        <f>MAX('Расчёт'!$F$40*('Расчёт'!$F$50+'Расчёт'!$F$86)*(MAX('Расчёт'!$F$95-'Расчёт'!$C$261,0)),'Расчёт'!$F$40*'Расчёт'!$F$50*((MAX('Расчёт'!$F$95-'Расчёт'!$C$261,0))+('Расчёт'!$F$93)*'Расчёт'!$F$87),'Расчёт'!$F$40*'Расчёт'!$F$50*((MAX('Расчёт'!$F$95-'Расчёт'!$C$261,0))+'Расчёт'!$F$98*'Расчёт'!$F$88),0.75*'Расчёт'!$F$40*'Расчёт'!$F$50*((MAX('Расчёт'!$F$95-'Расчёт'!$C$261,0))+'Расчёт'!$F$99),'Расчёт'!$F$40*'Расчёт'!$F$50*(MAX('Расчёт'!$F$95-'Расчёт'!$C$261,0))+'Расчёт'!$F$100)</f>
        <v>47.345862857142855</v>
      </c>
      <c r="H261" s="12" t="n">
        <f>'Расчёт'!$G$261-'Расчёт'!$F$261</f>
        <v>47.345862857142855</v>
      </c>
      <c r="I261" s="12" t="n">
        <f>10*MAX('Расчёт'!$F$92-'Расчёт'!$C$261,0)+MAX(IF('Расчёт'!$C$261&lt;='Расчёт'!$F$92,'Расчёт'!$F$85-1.5*'Расчёт'!$F$84*('Расчёт'!$F$92-'Расчёт'!$C$261)/'Расчёт'!$F$92,'Расчёт'!$F$85-7.5*'Расчёт'!$F$48*('Расчёт'!$C$261-'Расчёт'!$F$92)),IF('Расчёт'!$C$261&gt;'Расчёт'!$F$92,0.03*'Расчёт'!$F$20+5,0))</f>
        <v>14.52339807873785</v>
      </c>
      <c r="J261" s="12" t="n">
        <f>MAX('Расчёт'!$H$261,'Расчёт'!$I$261,ABS('Расчёт'!$G$261-('Расчёт'!$D$261+'Расчёт'!$E$261)))</f>
        <v>47.345862857142855</v>
      </c>
      <c r="K261" s="12" t="n">
        <f>MAX('Расчёт'!$F$40*('Расчёт'!$F$50+'Расчёт'!$F$86)*(MAX('Расчёт'!$F$96-'Расчёт'!$C$261,0)),'Расчёт'!$F$40*'Расчёт'!$F$50*((MAX('Расчёт'!$F$96-'Расчёт'!$C$261,0))+('Расчёт'!$F$94)*'Расчёт'!$F$87),'Расчёт'!$F$40*'Расчёт'!$F$50*((MAX('Расчёт'!$F$96-'Расчёт'!$C$261,0))+'Расчёт'!$F$98*'Расчёт'!$F$88),0.75*'Расчёт'!$F$40*'Расчёт'!$F$50*((MAX('Расчёт'!$F$96-'Расчёт'!$C$261,0))+'Расчёт'!$F$99),'Расчёт'!$F$40*'Расчёт'!$F$50*(MAX('Расчёт'!$F$96-'Расчёт'!$C$261,0))+'Расчёт'!$F$100)</f>
        <v>45.076249285714276</v>
      </c>
      <c r="L261" s="12" t="n">
        <f>MAX('Расчёт'!$K$261,'Расчёт'!$G$261)</f>
        <v>47.345862857142855</v>
      </c>
    </row>
    <row r="262" ht="17" customHeight="1" outlineLevel="1" hidden="1">
      <c r="A262" s="14" t="str">
        <v>Обшивка SH / 3</v>
      </c>
      <c r="B262" s="4"/>
      <c r="C262" s="12" t="n">
        <f>MAX((('Расчёт'!$K$595-'Расчёт'!$G$595/20)/100),MIN((('Расчёт'!$K$595+'Расчёт'!$G$595/20)/100),'Расчёт'!$F$101))</f>
        <v>13.95</v>
      </c>
      <c r="D262" s="12" t="n">
        <f>10*MAX('Расчёт'!$F$91-'Расчёт'!$C$262,0)</f>
        <v>0</v>
      </c>
      <c r="E262" s="12" t="n">
        <f>MAX(0,IF('Расчёт'!$C$262&lt;='Расчёт'!$F$91,'Расчёт'!$F$85-1.5*'Расчёт'!$F$84*('Расчёт'!$F$91-'Расчёт'!$C$262)/'Расчёт'!$F$91,'Расчёт'!$F$85-7.5*'Расчёт'!$F$48*('Расчёт'!$C$262-'Расчёт'!$F$91)))</f>
        <v>8.81627307873785</v>
      </c>
      <c r="F262" s="12" t="n">
        <f>MAX('Расчёт'!$D$262-'Расчёт'!$E$262,0)</f>
        <v>0</v>
      </c>
      <c r="G262" s="12" t="n">
        <f>MAX('Расчёт'!$F$40*('Расчёт'!$F$50+'Расчёт'!$F$86)*(MAX('Расчёт'!$F$95-'Расчёт'!$C$262,0)),'Расчёт'!$F$40*'Расчёт'!$F$50*((MAX('Расчёт'!$F$95-'Расчёт'!$C$262,0))+('Расчёт'!$F$93)*'Расчёт'!$F$87),'Расчёт'!$F$40*'Расчёт'!$F$50*((MAX('Расчёт'!$F$95-'Расчёт'!$C$262,0))+'Расчёт'!$F$98*'Расчёт'!$F$88),0.75*'Расчёт'!$F$40*'Расчёт'!$F$50*((MAX('Расчёт'!$F$95-'Расчёт'!$C$262,0))+'Расчёт'!$F$99),'Расчёт'!$F$40*'Расчёт'!$F$50*(MAX('Расчёт'!$F$95-'Расчёт'!$C$262,0))+'Расчёт'!$F$100)</f>
        <v>62.931500357142866</v>
      </c>
      <c r="H262" s="12" t="n">
        <f>'Расчёт'!$G$262-'Расчёт'!$F$262</f>
        <v>62.931500357142866</v>
      </c>
      <c r="I262" s="12" t="n">
        <f>10*MAX('Расчёт'!$F$92-'Расчёт'!$C$262,0)+MAX(IF('Расчёт'!$C$262&lt;='Расчёт'!$F$92,'Расчёт'!$F$85-1.5*'Расчёт'!$F$84*('Расчёт'!$F$92-'Расчёт'!$C$262)/'Расчёт'!$F$92,'Расчёт'!$F$85-7.5*'Расчёт'!$F$48*('Расчёт'!$C$262-'Расчёт'!$F$92)),IF('Расчёт'!$C$262&gt;'Расчёт'!$F$92,0.03*'Расчёт'!$F$20+5,0))</f>
        <v>17.62727307873785</v>
      </c>
      <c r="J262" s="12" t="n">
        <f>MAX('Расчёт'!$H$262,'Расчёт'!$I$262,ABS('Расчёт'!$G$262-('Расчёт'!$D$262+'Расчёт'!$E$262)))</f>
        <v>62.931500357142866</v>
      </c>
      <c r="K262" s="12" t="n">
        <f>MAX('Расчёт'!$F$40*('Расчёт'!$F$50+'Расчёт'!$F$86)*(MAX('Расчёт'!$F$96-'Расчёт'!$C$262,0)),'Расчёт'!$F$40*'Расчёт'!$F$50*((MAX('Расчёт'!$F$96-'Расчёт'!$C$262,0))+('Расчёт'!$F$94)*'Расчёт'!$F$87),'Расчёт'!$F$40*'Расчёт'!$F$50*((MAX('Расчёт'!$F$96-'Расчёт'!$C$262,0))+'Расчёт'!$F$98*'Расчёт'!$F$88),0.75*'Расчёт'!$F$40*'Расчёт'!$F$50*((MAX('Расчёт'!$F$96-'Расчёт'!$C$262,0))+'Расчёт'!$F$99),'Расчёт'!$F$40*'Расчёт'!$F$50*(MAX('Расчёт'!$F$96-'Расчёт'!$C$262,0))+'Расчёт'!$F$100)</f>
        <v>60.66188678571428</v>
      </c>
      <c r="L262" s="12" t="n">
        <f>MAX('Расчёт'!$K$262,'Расчёт'!$G$262)</f>
        <v>62.931500357142866</v>
      </c>
    </row>
    <row r="263" ht="17" customHeight="1" outlineLevel="1" hidden="1">
      <c r="A263" s="14" t="str">
        <v>ISG / 1</v>
      </c>
      <c r="B263" s="4"/>
      <c r="C263" s="12" t="n">
        <f>('Расчёт'!$K$599-'Расчёт'!$G$599/20)/100</f>
        <v>1.8</v>
      </c>
      <c r="D263" s="12" t="n">
        <f>10*MAX('Расчёт'!$F$91-'Расчёт'!$C$263,0)</f>
        <v>32</v>
      </c>
      <c r="E263" s="12" t="n">
        <f>MAX(0,IF('Расчёт'!$C$263&lt;='Расчёт'!$F$91,'Расчёт'!$F$85-1.5*'Расчёт'!$F$84*('Расчёт'!$F$91-'Расчёт'!$C$263)/'Расчёт'!$F$91,'Расчёт'!$F$85-7.5*'Расчёт'!$F$48*('Расчёт'!$C$263-'Расчёт'!$F$91)))</f>
        <v>18.18228069354174</v>
      </c>
      <c r="F263" s="12" t="n">
        <f>MAX('Расчёт'!$D$263-'Расчёт'!$E$263,0)</f>
        <v>13.817719306458262</v>
      </c>
      <c r="G263" s="12" t="n">
        <f>MAX('Расчёт'!$F$40*('Расчёт'!$F$50+'Расчёт'!$F$86)*(MAX('Расчёт'!$F$95-'Расчёт'!$C$263,0)),'Расчёт'!$F$40*'Расчёт'!$F$50*((MAX('Расчёт'!$F$95-'Расчёт'!$C$263,0))+('Расчёт'!$F$93)*'Расчёт'!$F$87),'Расчёт'!$F$40*'Расчёт'!$F$50*((MAX('Расчёт'!$F$95-'Расчёт'!$C$263,0))+'Расчёт'!$F$98*'Расчёт'!$F$88),0.75*'Расчёт'!$F$40*'Расчёт'!$F$50*((MAX('Расчёт'!$F$95-'Расчёт'!$C$263,0))+'Расчёт'!$F$99),'Расчёт'!$F$40*'Расчёт'!$F$50*(MAX('Расчёт'!$F$95-'Расчёт'!$C$263,0))+'Расчёт'!$F$100)</f>
        <v>185.10278785714283</v>
      </c>
      <c r="H263" s="12" t="n">
        <f>'Расчёт'!$G$263-'Расчёт'!$F$263</f>
        <v>171.28506855068457</v>
      </c>
      <c r="I263" s="12" t="n">
        <f>10*MAX('Расчёт'!$F$92-'Расчёт'!$C$263,0)+MAX(IF('Расчёт'!$C$263&lt;='Расчёт'!$F$92,'Расчёт'!$F$85-1.5*'Расчёт'!$F$84*('Расчёт'!$F$92-'Расчёт'!$C$263)/'Расчёт'!$F$92,'Расчёт'!$F$85-7.5*'Расчёт'!$F$48*('Расчёт'!$C$263-'Расчёт'!$F$92)),IF('Расчёт'!$C$263&gt;'Расчёт'!$F$92,0.03*'Расчёт'!$F$20+5,0))</f>
        <v>91.9294073660566</v>
      </c>
      <c r="J263" s="12" t="n">
        <f>MAX('Расчёт'!$H$263,'Расчёт'!$I$263,ABS('Расчёт'!$G$263-('Расчёт'!$D$263+'Расчёт'!$E$263)))</f>
        <v>171.28506855068457</v>
      </c>
      <c r="K263" s="12" t="n">
        <f>MAX('Расчёт'!$F$40*('Расчёт'!$F$50+'Расчёт'!$F$86)*(MAX('Расчёт'!$F$96-'Расчёт'!$C$263,0)),'Расчёт'!$F$40*'Расчёт'!$F$50*((MAX('Расчёт'!$F$96-'Расчёт'!$C$263,0))+('Расчёт'!$F$94)*'Расчёт'!$F$87),'Расчёт'!$F$40*'Расчёт'!$F$50*((MAX('Расчёт'!$F$96-'Расчёт'!$C$263,0))+'Расчёт'!$F$98*'Расчёт'!$F$88),0.75*'Расчёт'!$F$40*'Расчёт'!$F$50*((MAX('Расчёт'!$F$96-'Расчёт'!$C$263,0))+'Расчёт'!$F$99),'Расчёт'!$F$40*'Расчёт'!$F$50*(MAX('Расчёт'!$F$96-'Расчёт'!$C$263,0))+'Расчёт'!$F$100)</f>
        <v>182.83317428571425</v>
      </c>
      <c r="L263" s="12" t="n">
        <f>MAX('Расчёт'!$K$263,'Расчёт'!$G$263)</f>
        <v>185.10278785714283</v>
      </c>
    </row>
    <row r="264" ht="17" customHeight="1" outlineLevel="1" hidden="1">
      <c r="A264" s="14" t="str">
        <v>ISG / 2</v>
      </c>
      <c r="B264" s="4"/>
      <c r="C264" s="12" t="n">
        <f>('Расчёт'!$K$599+'Расчёт'!$G$599/20)/100</f>
        <v>3.8</v>
      </c>
      <c r="D264" s="12" t="n">
        <f>10*MAX('Расчёт'!$F$91-'Расчёт'!$C$264,0)</f>
        <v>12.000000000000002</v>
      </c>
      <c r="E264" s="12" t="n">
        <f>MAX(0,IF('Расчёт'!$C$264&lt;='Расчёт'!$F$91,'Расчёт'!$F$85-1.5*'Расчёт'!$F$84*('Расчёт'!$F$91-'Расчёт'!$C$264)/'Расчёт'!$F$91,'Расчёт'!$F$85-7.5*'Расчёт'!$F$48*('Расчёт'!$C$264-'Расчёт'!$F$91)))</f>
        <v>23.530010309289306</v>
      </c>
      <c r="F264" s="12" t="n">
        <f>MAX('Расчёт'!$D$264-'Расчёт'!$E$264,0)</f>
        <v>0</v>
      </c>
      <c r="G264" s="12" t="n">
        <f>MAX('Расчёт'!$F$40*('Расчёт'!$F$50+'Расчёт'!$F$86)*(MAX('Расчёт'!$F$95-'Расчёт'!$C$264,0)),'Расчёт'!$F$40*'Расчёт'!$F$50*((MAX('Расчёт'!$F$95-'Расчёт'!$C$264,0))+('Расчёт'!$F$93)*'Расчёт'!$F$87),'Расчёт'!$F$40*'Расчёт'!$F$50*((MAX('Расчёт'!$F$95-'Расчёт'!$C$264,0))+'Расчёт'!$F$98*'Расчёт'!$F$88),0.75*'Расчёт'!$F$40*'Расчёт'!$F$50*((MAX('Расчёт'!$F$95-'Расчёт'!$C$264,0))+'Расчёт'!$F$99),'Расчёт'!$F$40*'Расчёт'!$F$50*(MAX('Расчёт'!$F$95-'Расчёт'!$C$264,0))+'Расчёт'!$F$100)</f>
        <v>164.99228785714286</v>
      </c>
      <c r="H264" s="12" t="n">
        <f>'Расчёт'!$G$264-'Расчёт'!$F$264</f>
        <v>164.99228785714286</v>
      </c>
      <c r="I264" s="12" t="n">
        <f>10*MAX('Расчёт'!$F$92-'Расчёт'!$C$264,0)+MAX(IF('Расчёт'!$C$264&lt;='Расчёт'!$F$92,'Расчёт'!$F$85-1.5*'Расчёт'!$F$84*('Расчёт'!$F$92-'Расчёт'!$C$264)/'Расчёт'!$F$92,'Расчёт'!$F$85-7.5*'Расчёт'!$F$48*('Расчёт'!$C$264-'Расчёт'!$F$92)),IF('Расчёт'!$C$264&gt;'Расчёт'!$F$92,0.03*'Расчёт'!$F$20+5,0))</f>
        <v>74.77394439570956</v>
      </c>
      <c r="J264" s="12" t="n">
        <f>MAX('Расчёт'!$H$264,'Расчёт'!$I$264,ABS('Расчёт'!$G$264-('Расчёт'!$D$264+'Расчёт'!$E$264)))</f>
        <v>164.99228785714286</v>
      </c>
      <c r="K264" s="12" t="n">
        <f>MAX('Расчёт'!$F$40*('Расчёт'!$F$50+'Расчёт'!$F$86)*(MAX('Расчёт'!$F$96-'Расчёт'!$C$264,0)),'Расчёт'!$F$40*'Расчёт'!$F$50*((MAX('Расчёт'!$F$96-'Расчёт'!$C$264,0))+('Расчёт'!$F$94)*'Расчёт'!$F$87),'Расчёт'!$F$40*'Расчёт'!$F$50*((MAX('Расчёт'!$F$96-'Расчёт'!$C$264,0))+'Расчёт'!$F$98*'Расчёт'!$F$88),0.75*'Расчёт'!$F$40*'Расчёт'!$F$50*((MAX('Расчёт'!$F$96-'Расчёт'!$C$264,0))+'Расчёт'!$F$99),'Расчёт'!$F$40*'Расчёт'!$F$50*(MAX('Расчёт'!$F$96-'Расчёт'!$C$264,0))+'Расчёт'!$F$100)</f>
        <v>162.72267428571425</v>
      </c>
      <c r="L264" s="12" t="n">
        <f>MAX('Расчёт'!$K$264,'Расчёт'!$G$264)</f>
        <v>164.99228785714286</v>
      </c>
    </row>
    <row r="265" ht="17" customHeight="1" outlineLevel="1" hidden="1">
      <c r="A265" s="14" t="str">
        <v>ISG / 3</v>
      </c>
      <c r="B265" s="4"/>
      <c r="C265" s="12" t="n">
        <f>MAX((('Расчёт'!$K$599-'Расчёт'!$G$599/20)/100),MIN((('Расчёт'!$K$599+'Расчёт'!$G$599/20)/100),'Расчёт'!$F$101))</f>
        <v>2.8902530140509186</v>
      </c>
      <c r="D265" s="12" t="n">
        <f>10*MAX('Расчёт'!$F$91-'Расчёт'!$C$265,0)</f>
        <v>21.097469859490815</v>
      </c>
      <c r="E265" s="12" t="n">
        <f>MAX(0,IF('Расчёт'!$C$265&lt;='Расчёт'!$F$91,'Расчёт'!$F$85-1.5*'Расчёт'!$F$84*('Расчёт'!$F$91-'Расчёт'!$C$265)/'Расчёт'!$F$91,'Расчёт'!$F$85-7.5*'Расчёт'!$F$48*('Расчёт'!$C$265-'Расчёт'!$F$91)))</f>
        <v>21.097469859490815</v>
      </c>
      <c r="F265" s="12" t="n">
        <f>MAX('Расчёт'!$D$265-'Расчёт'!$E$265,0)</f>
        <v>0</v>
      </c>
      <c r="G265" s="12" t="n">
        <f>MAX('Расчёт'!$F$40*('Расчёт'!$F$50+'Расчёт'!$F$86)*(MAX('Расчёт'!$F$95-'Расчёт'!$C$265,0)),'Расчёт'!$F$40*'Расчёт'!$F$50*((MAX('Расчёт'!$F$95-'Расчёт'!$C$265,0))+('Расчёт'!$F$93)*'Расчёт'!$F$87),'Расчёт'!$F$40*'Расчёт'!$F$50*((MAX('Расчёт'!$F$95-'Расчёт'!$C$265,0))+'Расчёт'!$F$98*'Расчёт'!$F$88),0.75*'Расчёт'!$F$40*'Расчёт'!$F$50*((MAX('Расчёт'!$F$95-'Расчёт'!$C$265,0))+'Расчёт'!$F$99),'Расчёт'!$F$40*'Расчёт'!$F$50*(MAX('Расчёт'!$F$95-'Расчёт'!$C$265,0))+'Расчёт'!$F$100)</f>
        <v>174.14002123760736</v>
      </c>
      <c r="H265" s="12" t="n">
        <f>'Расчёт'!$G$265-'Расчёт'!$F$265</f>
        <v>174.14002123760736</v>
      </c>
      <c r="I265" s="12" t="n">
        <f>10*MAX('Расчёт'!$F$92-'Расчёт'!$C$265,0)+MAX(IF('Расчёт'!$C$265&lt;='Расчёт'!$F$92,'Расчёт'!$F$85-1.5*'Расчёт'!$F$84*('Расчёт'!$F$92-'Расчёт'!$C$265)/'Расчёт'!$F$92,'Расчёт'!$F$85-7.5*'Расчёт'!$F$48*('Расчёт'!$C$265-'Расчёт'!$F$92)),IF('Расчёт'!$C$265&gt;'Расчёт'!$F$92,0.03*'Расчёт'!$F$20+5,0))</f>
        <v>82.5775097606267</v>
      </c>
      <c r="J265" s="12" t="n">
        <f>MAX('Расчёт'!$H$265,'Расчёт'!$I$265,ABS('Расчёт'!$G$265-('Расчёт'!$D$265+'Расчёт'!$E$265)))</f>
        <v>174.14002123760736</v>
      </c>
      <c r="K265" s="12" t="n">
        <f>MAX('Расчёт'!$F$40*('Расчёт'!$F$50+'Расчёт'!$F$86)*(MAX('Расчёт'!$F$96-'Расчёт'!$C$265,0)),'Расчёт'!$F$40*'Расчёт'!$F$50*((MAX('Расчёт'!$F$96-'Расчёт'!$C$265,0))+('Расчёт'!$F$94)*'Расчёт'!$F$87),'Расчёт'!$F$40*'Расчёт'!$F$50*((MAX('Расчёт'!$F$96-'Расчёт'!$C$265,0))+'Расчёт'!$F$98*'Расчёт'!$F$88),0.75*'Расчёт'!$F$40*'Расчёт'!$F$50*((MAX('Расчёт'!$F$96-'Расчёт'!$C$265,0))+'Расчёт'!$F$99),'Расчёт'!$F$40*'Расчёт'!$F$50*(MAX('Расчёт'!$F$96-'Расчёт'!$C$265,0))+'Расчёт'!$F$100)</f>
        <v>171.87040766617875</v>
      </c>
      <c r="L265" s="12" t="n">
        <f>MAX('Расчёт'!$K$265,'Расчёт'!$G$265)</f>
        <v>174.14002123760736</v>
      </c>
    </row>
    <row r="266" ht="17" customHeight="1" outlineLevel="1" hidden="1">
      <c r="A266" s="14" t="str">
        <v>ISF / 1</v>
      </c>
      <c r="B266" s="4"/>
      <c r="C266" s="12" t="n">
        <f>('Расчёт'!$K$600-'Расчёт'!$G$600/20)/100</f>
        <v>3.8</v>
      </c>
      <c r="D266" s="12" t="n">
        <f>10*MAX('Расчёт'!$F$91-'Расчёт'!$C$266,0)</f>
        <v>12.000000000000002</v>
      </c>
      <c r="E266" s="12" t="n">
        <f>MAX(0,IF('Расчёт'!$C$266&lt;='Расчёт'!$F$91,'Расчёт'!$F$85-1.5*'Расчёт'!$F$84*('Расчёт'!$F$91-'Расчёт'!$C$266)/'Расчёт'!$F$91,'Расчёт'!$F$85-7.5*'Расчёт'!$F$48*('Расчёт'!$C$266-'Расчёт'!$F$91)))</f>
        <v>23.530010309289306</v>
      </c>
      <c r="F266" s="12" t="n">
        <f>MAX('Расчёт'!$D$266-'Расчёт'!$E$266,0)</f>
        <v>0</v>
      </c>
      <c r="G266" s="12" t="n">
        <f>MAX('Расчёт'!$F$40*('Расчёт'!$F$50+'Расчёт'!$F$86)*(MAX('Расчёт'!$F$95-'Расчёт'!$C$266,0)),'Расчёт'!$F$40*'Расчёт'!$F$50*((MAX('Расчёт'!$F$95-'Расчёт'!$C$266,0))+('Расчёт'!$F$93)*'Расчёт'!$F$87),'Расчёт'!$F$40*'Расчёт'!$F$50*((MAX('Расчёт'!$F$95-'Расчёт'!$C$266,0))+'Расчёт'!$F$98*'Расчёт'!$F$88),0.75*'Расчёт'!$F$40*'Расчёт'!$F$50*((MAX('Расчёт'!$F$95-'Расчёт'!$C$266,0))+'Расчёт'!$F$99),'Расчёт'!$F$40*'Расчёт'!$F$50*(MAX('Расчёт'!$F$95-'Расчёт'!$C$266,0))+'Расчёт'!$F$100)</f>
        <v>164.99228785714286</v>
      </c>
      <c r="H266" s="12" t="n">
        <f>'Расчёт'!$G$266-'Расчёт'!$F$266</f>
        <v>164.99228785714286</v>
      </c>
      <c r="I266" s="12" t="n">
        <f>10*MAX('Расчёт'!$F$92-'Расчёт'!$C$266,0)+MAX(IF('Расчёт'!$C$266&lt;='Расчёт'!$F$92,'Расчёт'!$F$85-1.5*'Расчёт'!$F$84*('Расчёт'!$F$92-'Расчёт'!$C$266)/'Расчёт'!$F$92,'Расчёт'!$F$85-7.5*'Расчёт'!$F$48*('Расчёт'!$C$266-'Расчёт'!$F$92)),IF('Расчёт'!$C$266&gt;'Расчёт'!$F$92,0.03*'Расчёт'!$F$20+5,0))</f>
        <v>74.77394439570956</v>
      </c>
      <c r="J266" s="12" t="n">
        <f>MAX('Расчёт'!$H$266,'Расчёт'!$I$266,ABS('Расчёт'!$G$266-('Расчёт'!$D$266+'Расчёт'!$E$266)))</f>
        <v>164.99228785714286</v>
      </c>
      <c r="K266" s="12" t="n">
        <f>MAX('Расчёт'!$F$40*('Расчёт'!$F$50+'Расчёт'!$F$86)*(MAX('Расчёт'!$F$96-'Расчёт'!$C$266,0)),'Расчёт'!$F$40*'Расчёт'!$F$50*((MAX('Расчёт'!$F$96-'Расчёт'!$C$266,0))+('Расчёт'!$F$94)*'Расчёт'!$F$87),'Расчёт'!$F$40*'Расчёт'!$F$50*((MAX('Расчёт'!$F$96-'Расчёт'!$C$266,0))+'Расчёт'!$F$98*'Расчёт'!$F$88),0.75*'Расчёт'!$F$40*'Расчёт'!$F$50*((MAX('Расчёт'!$F$96-'Расчёт'!$C$266,0))+'Расчёт'!$F$99),'Расчёт'!$F$40*'Расчёт'!$F$50*(MAX('Расчёт'!$F$96-'Расчёт'!$C$266,0))+'Расчёт'!$F$100)</f>
        <v>162.72267428571425</v>
      </c>
      <c r="L266" s="12" t="n">
        <f>MAX('Расчёт'!$K$266,'Расчёт'!$G$266)</f>
        <v>164.99228785714286</v>
      </c>
    </row>
    <row r="267" ht="17" customHeight="1" outlineLevel="1" hidden="1">
      <c r="A267" s="14" t="str">
        <v>ISF / 2</v>
      </c>
      <c r="B267" s="4"/>
      <c r="C267" s="12" t="n">
        <f>('Расчёт'!$K$600+'Расчёт'!$G$600/20)/100</f>
        <v>5.8</v>
      </c>
      <c r="D267" s="12" t="n">
        <f>10*MAX('Расчёт'!$F$91-'Расчёт'!$C$267,0)</f>
        <v>0</v>
      </c>
      <c r="E267" s="12" t="n">
        <f>MAX(0,IF('Расчёт'!$C$267&lt;='Расчёт'!$F$91,'Расчёт'!$F$85-1.5*'Расчёт'!$F$84*('Расчёт'!$F$91-'Расчёт'!$C$267)/'Расчёт'!$F$91,'Расчёт'!$F$85-7.5*'Расчёт'!$F$48*('Расчёт'!$C$267-'Расчёт'!$F$91)))</f>
        <v>25.13664807873785</v>
      </c>
      <c r="F267" s="12" t="n">
        <f>MAX('Расчёт'!$D$267-'Расчёт'!$E$267,0)</f>
        <v>0</v>
      </c>
      <c r="G267" s="12" t="n">
        <f>MAX('Расчёт'!$F$40*('Расчёт'!$F$50+'Расчёт'!$F$86)*(MAX('Расчёт'!$F$95-'Расчёт'!$C$267,0)),'Расчёт'!$F$40*'Расчёт'!$F$50*((MAX('Расчёт'!$F$95-'Расчёт'!$C$267,0))+('Расчёт'!$F$93)*'Расчёт'!$F$87),'Расчёт'!$F$40*'Расчёт'!$F$50*((MAX('Расчёт'!$F$95-'Расчёт'!$C$267,0))+'Расчёт'!$F$98*'Расчёт'!$F$88),0.75*'Расчёт'!$F$40*'Расчёт'!$F$50*((MAX('Расчёт'!$F$95-'Расчёт'!$C$267,0))+'Расчёт'!$F$99),'Расчёт'!$F$40*'Расчёт'!$F$50*(MAX('Расчёт'!$F$95-'Расчёт'!$C$267,0))+'Расчёт'!$F$100)</f>
        <v>144.88178785714288</v>
      </c>
      <c r="H267" s="12" t="n">
        <f>'Расчёт'!$G$267-'Расчёт'!$F$267</f>
        <v>144.88178785714288</v>
      </c>
      <c r="I267" s="12" t="n">
        <f>10*MAX('Расчёт'!$F$92-'Расчёт'!$C$267,0)+MAX(IF('Расчёт'!$C$267&lt;='Расчёт'!$F$92,'Расчёт'!$F$85-1.5*'Расчёт'!$F$84*('Расчёт'!$F$92-'Расчёт'!$C$267)/'Расчёт'!$F$92,'Расчёт'!$F$85-7.5*'Расчёт'!$F$48*('Расчёт'!$C$267-'Расчёт'!$F$92)),IF('Расчёт'!$C$267&gt;'Расчёт'!$F$92,0.03*'Расчёт'!$F$20+5,0))</f>
        <v>57.618481425362525</v>
      </c>
      <c r="J267" s="12" t="n">
        <f>MAX('Расчёт'!$H$267,'Расчёт'!$I$267,ABS('Расчёт'!$G$267-('Расчёт'!$D$267+'Расчёт'!$E$267)))</f>
        <v>144.88178785714288</v>
      </c>
      <c r="K267" s="12" t="n">
        <f>MAX('Расчёт'!$F$40*('Расчёт'!$F$50+'Расчёт'!$F$86)*(MAX('Расчёт'!$F$96-'Расчёт'!$C$267,0)),'Расчёт'!$F$40*'Расчёт'!$F$50*((MAX('Расчёт'!$F$96-'Расчёт'!$C$267,0))+('Расчёт'!$F$94)*'Расчёт'!$F$87),'Расчёт'!$F$40*'Расчёт'!$F$50*((MAX('Расчёт'!$F$96-'Расчёт'!$C$267,0))+'Расчёт'!$F$98*'Расчёт'!$F$88),0.75*'Расчёт'!$F$40*'Расчёт'!$F$50*((MAX('Расчёт'!$F$96-'Расчёт'!$C$267,0))+'Расчёт'!$F$99),'Расчёт'!$F$40*'Расчёт'!$F$50*(MAX('Расчёт'!$F$96-'Расчёт'!$C$267,0))+'Расчёт'!$F$100)</f>
        <v>142.61217428571425</v>
      </c>
      <c r="L267" s="12" t="n">
        <f>MAX('Расчёт'!$K$267,'Расчёт'!$G$267)</f>
        <v>144.88178785714288</v>
      </c>
    </row>
    <row r="268" ht="17" customHeight="1" outlineLevel="1" hidden="1">
      <c r="A268" s="14" t="str">
        <v>ISF / 3</v>
      </c>
      <c r="B268" s="4"/>
      <c r="C268" s="12" t="n">
        <f>MAX((('Расчёт'!$K$600-'Расчёт'!$G$600/20)/100),MIN((('Расчёт'!$K$600+'Расчёт'!$G$600/20)/100),'Расчёт'!$F$101))</f>
        <v>3.8</v>
      </c>
      <c r="D268" s="12" t="n">
        <f>10*MAX('Расчёт'!$F$91-'Расчёт'!$C$268,0)</f>
        <v>12.000000000000002</v>
      </c>
      <c r="E268" s="12" t="n">
        <f>MAX(0,IF('Расчёт'!$C$268&lt;='Расчёт'!$F$91,'Расчёт'!$F$85-1.5*'Расчёт'!$F$84*('Расчёт'!$F$91-'Расчёт'!$C$268)/'Расчёт'!$F$91,'Расчёт'!$F$85-7.5*'Расчёт'!$F$48*('Расчёт'!$C$268-'Расчёт'!$F$91)))</f>
        <v>23.530010309289306</v>
      </c>
      <c r="F268" s="12" t="n">
        <f>MAX('Расчёт'!$D$268-'Расчёт'!$E$268,0)</f>
        <v>0</v>
      </c>
      <c r="G268" s="12" t="n">
        <f>MAX('Расчёт'!$F$40*('Расчёт'!$F$50+'Расчёт'!$F$86)*(MAX('Расчёт'!$F$95-'Расчёт'!$C$268,0)),'Расчёт'!$F$40*'Расчёт'!$F$50*((MAX('Расчёт'!$F$95-'Расчёт'!$C$268,0))+('Расчёт'!$F$93)*'Расчёт'!$F$87),'Расчёт'!$F$40*'Расчёт'!$F$50*((MAX('Расчёт'!$F$95-'Расчёт'!$C$268,0))+'Расчёт'!$F$98*'Расчёт'!$F$88),0.75*'Расчёт'!$F$40*'Расчёт'!$F$50*((MAX('Расчёт'!$F$95-'Расчёт'!$C$268,0))+'Расчёт'!$F$99),'Расчёт'!$F$40*'Расчёт'!$F$50*(MAX('Расчёт'!$F$95-'Расчёт'!$C$268,0))+'Расчёт'!$F$100)</f>
        <v>164.99228785714286</v>
      </c>
      <c r="H268" s="12" t="n">
        <f>'Расчёт'!$G$268-'Расчёт'!$F$268</f>
        <v>164.99228785714286</v>
      </c>
      <c r="I268" s="12" t="n">
        <f>10*MAX('Расчёт'!$F$92-'Расчёт'!$C$268,0)+MAX(IF('Расчёт'!$C$268&lt;='Расчёт'!$F$92,'Расчёт'!$F$85-1.5*'Расчёт'!$F$84*('Расчёт'!$F$92-'Расчёт'!$C$268)/'Расчёт'!$F$92,'Расчёт'!$F$85-7.5*'Расчёт'!$F$48*('Расчёт'!$C$268-'Расчёт'!$F$92)),IF('Расчёт'!$C$268&gt;'Расчёт'!$F$92,0.03*'Расчёт'!$F$20+5,0))</f>
        <v>74.77394439570956</v>
      </c>
      <c r="J268" s="12" t="n">
        <f>MAX('Расчёт'!$H$268,'Расчёт'!$I$268,ABS('Расчёт'!$G$268-('Расчёт'!$D$268+'Расчёт'!$E$268)))</f>
        <v>164.99228785714286</v>
      </c>
      <c r="K268" s="12" t="n">
        <f>MAX('Расчёт'!$F$40*('Расчёт'!$F$50+'Расчёт'!$F$86)*(MAX('Расчёт'!$F$96-'Расчёт'!$C$268,0)),'Расчёт'!$F$40*'Расчёт'!$F$50*((MAX('Расчёт'!$F$96-'Расчёт'!$C$268,0))+('Расчёт'!$F$94)*'Расчёт'!$F$87),'Расчёт'!$F$40*'Расчёт'!$F$50*((MAX('Расчёт'!$F$96-'Расчёт'!$C$268,0))+'Расчёт'!$F$98*'Расчёт'!$F$88),0.75*'Расчёт'!$F$40*'Расчёт'!$F$50*((MAX('Расчёт'!$F$96-'Расчёт'!$C$268,0))+'Расчёт'!$F$99),'Расчёт'!$F$40*'Расчёт'!$F$50*(MAX('Расчёт'!$F$96-'Расчёт'!$C$268,0))+'Расчёт'!$F$100)</f>
        <v>162.72267428571425</v>
      </c>
      <c r="L268" s="12" t="n">
        <f>MAX('Расчёт'!$K$268,'Расчёт'!$G$268)</f>
        <v>164.99228785714286</v>
      </c>
    </row>
    <row r="269" ht="17" customHeight="1" outlineLevel="1" hidden="1">
      <c r="A269" s="14" t="str">
        <v>ISE / 1</v>
      </c>
      <c r="B269" s="4"/>
      <c r="C269" s="12" t="n">
        <f>('Расчёт'!$K$601-'Расчёт'!$G$601/20)/100</f>
        <v>5.8</v>
      </c>
      <c r="D269" s="12" t="n">
        <f>10*MAX('Расчёт'!$F$91-'Расчёт'!$C$269,0)</f>
        <v>0</v>
      </c>
      <c r="E269" s="12" t="n">
        <f>MAX(0,IF('Расчёт'!$C$269&lt;='Расчёт'!$F$91,'Расчёт'!$F$85-1.5*'Расчёт'!$F$84*('Расчёт'!$F$91-'Расчёт'!$C$269)/'Расчёт'!$F$91,'Расчёт'!$F$85-7.5*'Расчёт'!$F$48*('Расчёт'!$C$269-'Расчёт'!$F$91)))</f>
        <v>25.13664807873785</v>
      </c>
      <c r="F269" s="12" t="n">
        <f>MAX('Расчёт'!$D$269-'Расчёт'!$E$269,0)</f>
        <v>0</v>
      </c>
      <c r="G269" s="12" t="n">
        <f>MAX('Расчёт'!$F$40*('Расчёт'!$F$50+'Расчёт'!$F$86)*(MAX('Расчёт'!$F$95-'Расчёт'!$C$269,0)),'Расчёт'!$F$40*'Расчёт'!$F$50*((MAX('Расчёт'!$F$95-'Расчёт'!$C$269,0))+('Расчёт'!$F$93)*'Расчёт'!$F$87),'Расчёт'!$F$40*'Расчёт'!$F$50*((MAX('Расчёт'!$F$95-'Расчёт'!$C$269,0))+'Расчёт'!$F$98*'Расчёт'!$F$88),0.75*'Расчёт'!$F$40*'Расчёт'!$F$50*((MAX('Расчёт'!$F$95-'Расчёт'!$C$269,0))+'Расчёт'!$F$99),'Расчёт'!$F$40*'Расчёт'!$F$50*(MAX('Расчёт'!$F$95-'Расчёт'!$C$269,0))+'Расчёт'!$F$100)</f>
        <v>144.88178785714288</v>
      </c>
      <c r="H269" s="12" t="n">
        <f>'Расчёт'!$G$269-'Расчёт'!$F$269</f>
        <v>144.88178785714288</v>
      </c>
      <c r="I269" s="12" t="n">
        <f>10*MAX('Расчёт'!$F$92-'Расчёт'!$C$269,0)+MAX(IF('Расчёт'!$C$269&lt;='Расчёт'!$F$92,'Расчёт'!$F$85-1.5*'Расчёт'!$F$84*('Расчёт'!$F$92-'Расчёт'!$C$269)/'Расчёт'!$F$92,'Расчёт'!$F$85-7.5*'Расчёт'!$F$48*('Расчёт'!$C$269-'Расчёт'!$F$92)),IF('Расчёт'!$C$269&gt;'Расчёт'!$F$92,0.03*'Расчёт'!$F$20+5,0))</f>
        <v>57.618481425362525</v>
      </c>
      <c r="J269" s="12" t="n">
        <f>MAX('Расчёт'!$H$269,'Расчёт'!$I$269,ABS('Расчёт'!$G$269-('Расчёт'!$D$269+'Расчёт'!$E$269)))</f>
        <v>144.88178785714288</v>
      </c>
      <c r="K269" s="12" t="n">
        <f>MAX('Расчёт'!$F$40*('Расчёт'!$F$50+'Расчёт'!$F$86)*(MAX('Расчёт'!$F$96-'Расчёт'!$C$269,0)),'Расчёт'!$F$40*'Расчёт'!$F$50*((MAX('Расчёт'!$F$96-'Расчёт'!$C$269,0))+('Расчёт'!$F$94)*'Расчёт'!$F$87),'Расчёт'!$F$40*'Расчёт'!$F$50*((MAX('Расчёт'!$F$96-'Расчёт'!$C$269,0))+'Расчёт'!$F$98*'Расчёт'!$F$88),0.75*'Расчёт'!$F$40*'Расчёт'!$F$50*((MAX('Расчёт'!$F$96-'Расчёт'!$C$269,0))+'Расчёт'!$F$99),'Расчёт'!$F$40*'Расчёт'!$F$50*(MAX('Расчёт'!$F$96-'Расчёт'!$C$269,0))+'Расчёт'!$F$100)</f>
        <v>142.61217428571425</v>
      </c>
      <c r="L269" s="12" t="n">
        <f>MAX('Расчёт'!$K$269,'Расчёт'!$G$269)</f>
        <v>144.88178785714288</v>
      </c>
    </row>
    <row r="270" ht="17" customHeight="1" outlineLevel="1" hidden="1">
      <c r="A270" s="14" t="str">
        <v>ISE / 2</v>
      </c>
      <c r="B270" s="4"/>
      <c r="C270" s="12" t="n">
        <f>('Расчёт'!$K$601+'Расчёт'!$G$601/20)/100</f>
        <v>7.8</v>
      </c>
      <c r="D270" s="12" t="n">
        <f>10*MAX('Расчёт'!$F$91-'Расчёт'!$C$270,0)</f>
        <v>0</v>
      </c>
      <c r="E270" s="12" t="n">
        <f>MAX(0,IF('Расчёт'!$C$270&lt;='Расчёт'!$F$91,'Расчёт'!$F$85-1.5*'Расчёт'!$F$84*('Расчёт'!$F$91-'Расчёт'!$C$270)/'Расчёт'!$F$91,'Расчёт'!$F$85-7.5*'Расчёт'!$F$48*('Расчёт'!$C$270-'Расчёт'!$F$91)))</f>
        <v>21.13164807873785</v>
      </c>
      <c r="F270" s="12" t="n">
        <f>MAX('Расчёт'!$D$270-'Расчёт'!$E$270,0)</f>
        <v>0</v>
      </c>
      <c r="G270" s="12" t="n">
        <f>MAX('Расчёт'!$F$40*('Расчёт'!$F$50+'Расчёт'!$F$86)*(MAX('Расчёт'!$F$95-'Расчёт'!$C$270,0)),'Расчёт'!$F$40*'Расчёт'!$F$50*((MAX('Расчёт'!$F$95-'Расчёт'!$C$270,0))+('Расчёт'!$F$93)*'Расчёт'!$F$87),'Расчёт'!$F$40*'Расчёт'!$F$50*((MAX('Расчёт'!$F$95-'Расчёт'!$C$270,0))+'Расчёт'!$F$98*'Расчёт'!$F$88),0.75*'Расчёт'!$F$40*'Расчёт'!$F$50*((MAX('Расчёт'!$F$95-'Расчёт'!$C$270,0))+'Расчёт'!$F$99),'Расчёт'!$F$40*'Расчёт'!$F$50*(MAX('Расчёт'!$F$95-'Расчёт'!$C$270,0))+'Расчёт'!$F$100)</f>
        <v>124.77128785714285</v>
      </c>
      <c r="H270" s="12" t="n">
        <f>'Расчёт'!$G$270-'Расчёт'!$F$270</f>
        <v>124.77128785714285</v>
      </c>
      <c r="I270" s="12" t="n">
        <f>10*MAX('Расчёт'!$F$92-'Расчёт'!$C$270,0)+MAX(IF('Расчёт'!$C$270&lt;='Расчёт'!$F$92,'Расчёт'!$F$85-1.5*'Расчёт'!$F$84*('Расчёт'!$F$92-'Расчёт'!$C$270)/'Расчёт'!$F$92,'Расчёт'!$F$85-7.5*'Расчёт'!$F$48*('Расчёт'!$C$270-'Расчёт'!$F$92)),IF('Расчёт'!$C$270&gt;'Расчёт'!$F$92,0.03*'Расчёт'!$F$20+5,0))</f>
        <v>40.46301845501549</v>
      </c>
      <c r="J270" s="12" t="n">
        <f>MAX('Расчёт'!$H$270,'Расчёт'!$I$270,ABS('Расчёт'!$G$270-('Расчёт'!$D$270+'Расчёт'!$E$270)))</f>
        <v>124.77128785714285</v>
      </c>
      <c r="K270" s="12" t="n">
        <f>MAX('Расчёт'!$F$40*('Расчёт'!$F$50+'Расчёт'!$F$86)*(MAX('Расчёт'!$F$96-'Расчёт'!$C$270,0)),'Расчёт'!$F$40*'Расчёт'!$F$50*((MAX('Расчёт'!$F$96-'Расчёт'!$C$270,0))+('Расчёт'!$F$94)*'Расчёт'!$F$87),'Расчёт'!$F$40*'Расчёт'!$F$50*((MAX('Расчёт'!$F$96-'Расчёт'!$C$270,0))+'Расчёт'!$F$98*'Расчёт'!$F$88),0.75*'Расчёт'!$F$40*'Расчёт'!$F$50*((MAX('Расчёт'!$F$96-'Расчёт'!$C$270,0))+'Расчёт'!$F$99),'Расчёт'!$F$40*'Расчёт'!$F$50*(MAX('Расчёт'!$F$96-'Расчёт'!$C$270,0))+'Расчёт'!$F$100)</f>
        <v>122.50167428571426</v>
      </c>
      <c r="L270" s="12" t="n">
        <f>MAX('Расчёт'!$K$270,'Расчёт'!$G$270)</f>
        <v>124.77128785714285</v>
      </c>
    </row>
    <row r="271" ht="17" customHeight="1" outlineLevel="1" hidden="1">
      <c r="A271" s="14" t="str">
        <v>ISE / 3</v>
      </c>
      <c r="B271" s="4"/>
      <c r="C271" s="12" t="n">
        <f>MAX((('Расчёт'!$K$601-'Расчёт'!$G$601/20)/100),MIN((('Расчёт'!$K$601+'Расчёт'!$G$601/20)/100),'Расчёт'!$F$101))</f>
        <v>5.8</v>
      </c>
      <c r="D271" s="12" t="n">
        <f>10*MAX('Расчёт'!$F$91-'Расчёт'!$C$271,0)</f>
        <v>0</v>
      </c>
      <c r="E271" s="12" t="n">
        <f>MAX(0,IF('Расчёт'!$C$271&lt;='Расчёт'!$F$91,'Расчёт'!$F$85-1.5*'Расчёт'!$F$84*('Расчёт'!$F$91-'Расчёт'!$C$271)/'Расчёт'!$F$91,'Расчёт'!$F$85-7.5*'Расчёт'!$F$48*('Расчёт'!$C$271-'Расчёт'!$F$91)))</f>
        <v>25.13664807873785</v>
      </c>
      <c r="F271" s="12" t="n">
        <f>MAX('Расчёт'!$D$271-'Расчёт'!$E$271,0)</f>
        <v>0</v>
      </c>
      <c r="G271" s="12" t="n">
        <f>MAX('Расчёт'!$F$40*('Расчёт'!$F$50+'Расчёт'!$F$86)*(MAX('Расчёт'!$F$95-'Расчёт'!$C$271,0)),'Расчёт'!$F$40*'Расчёт'!$F$50*((MAX('Расчёт'!$F$95-'Расчёт'!$C$271,0))+('Расчёт'!$F$93)*'Расчёт'!$F$87),'Расчёт'!$F$40*'Расчёт'!$F$50*((MAX('Расчёт'!$F$95-'Расчёт'!$C$271,0))+'Расчёт'!$F$98*'Расчёт'!$F$88),0.75*'Расчёт'!$F$40*'Расчёт'!$F$50*((MAX('Расчёт'!$F$95-'Расчёт'!$C$271,0))+'Расчёт'!$F$99),'Расчёт'!$F$40*'Расчёт'!$F$50*(MAX('Расчёт'!$F$95-'Расчёт'!$C$271,0))+'Расчёт'!$F$100)</f>
        <v>144.88178785714288</v>
      </c>
      <c r="H271" s="12" t="n">
        <f>'Расчёт'!$G$271-'Расчёт'!$F$271</f>
        <v>144.88178785714288</v>
      </c>
      <c r="I271" s="12" t="n">
        <f>10*MAX('Расчёт'!$F$92-'Расчёт'!$C$271,0)+MAX(IF('Расчёт'!$C$271&lt;='Расчёт'!$F$92,'Расчёт'!$F$85-1.5*'Расчёт'!$F$84*('Расчёт'!$F$92-'Расчёт'!$C$271)/'Расчёт'!$F$92,'Расчёт'!$F$85-7.5*'Расчёт'!$F$48*('Расчёт'!$C$271-'Расчёт'!$F$92)),IF('Расчёт'!$C$271&gt;'Расчёт'!$F$92,0.03*'Расчёт'!$F$20+5,0))</f>
        <v>57.618481425362525</v>
      </c>
      <c r="J271" s="12" t="n">
        <f>MAX('Расчёт'!$H$271,'Расчёт'!$I$271,ABS('Расчёт'!$G$271-('Расчёт'!$D$271+'Расчёт'!$E$271)))</f>
        <v>144.88178785714288</v>
      </c>
      <c r="K271" s="12" t="n">
        <f>MAX('Расчёт'!$F$40*('Расчёт'!$F$50+'Расчёт'!$F$86)*(MAX('Расчёт'!$F$96-'Расчёт'!$C$271,0)),'Расчёт'!$F$40*'Расчёт'!$F$50*((MAX('Расчёт'!$F$96-'Расчёт'!$C$271,0))+('Расчёт'!$F$94)*'Расчёт'!$F$87),'Расчёт'!$F$40*'Расчёт'!$F$50*((MAX('Расчёт'!$F$96-'Расчёт'!$C$271,0))+'Расчёт'!$F$98*'Расчёт'!$F$88),0.75*'Расчёт'!$F$40*'Расчёт'!$F$50*((MAX('Расчёт'!$F$96-'Расчёт'!$C$271,0))+'Расчёт'!$F$99),'Расчёт'!$F$40*'Расчёт'!$F$50*(MAX('Расчёт'!$F$96-'Расчёт'!$C$271,0))+'Расчёт'!$F$100)</f>
        <v>142.61217428571425</v>
      </c>
      <c r="L271" s="12" t="n">
        <f>MAX('Расчёт'!$K$271,'Расчёт'!$G$271)</f>
        <v>144.88178785714288</v>
      </c>
    </row>
    <row r="272" ht="17" customHeight="1" outlineLevel="1" hidden="1">
      <c r="A272" s="14" t="str">
        <v>ISD / 1</v>
      </c>
      <c r="B272" s="4"/>
      <c r="C272" s="12" t="n">
        <f>('Расчёт'!$K$602-'Расчёт'!$G$602/20)/100</f>
        <v>7.8</v>
      </c>
      <c r="D272" s="12" t="n">
        <f>10*MAX('Расчёт'!$F$91-'Расчёт'!$C$272,0)</f>
        <v>0</v>
      </c>
      <c r="E272" s="12" t="n">
        <f>MAX(0,IF('Расчёт'!$C$272&lt;='Расчёт'!$F$91,'Расчёт'!$F$85-1.5*'Расчёт'!$F$84*('Расчёт'!$F$91-'Расчёт'!$C$272)/'Расчёт'!$F$91,'Расчёт'!$F$85-7.5*'Расчёт'!$F$48*('Расчёт'!$C$272-'Расчёт'!$F$91)))</f>
        <v>21.13164807873785</v>
      </c>
      <c r="F272" s="12" t="n">
        <f>MAX('Расчёт'!$D$272-'Расчёт'!$E$272,0)</f>
        <v>0</v>
      </c>
      <c r="G272" s="12" t="n">
        <f>MAX('Расчёт'!$F$40*('Расчёт'!$F$50+'Расчёт'!$F$86)*(MAX('Расчёт'!$F$95-'Расчёт'!$C$272,0)),'Расчёт'!$F$40*'Расчёт'!$F$50*((MAX('Расчёт'!$F$95-'Расчёт'!$C$272,0))+('Расчёт'!$F$93)*'Расчёт'!$F$87),'Расчёт'!$F$40*'Расчёт'!$F$50*((MAX('Расчёт'!$F$95-'Расчёт'!$C$272,0))+'Расчёт'!$F$98*'Расчёт'!$F$88),0.75*'Расчёт'!$F$40*'Расчёт'!$F$50*((MAX('Расчёт'!$F$95-'Расчёт'!$C$272,0))+'Расчёт'!$F$99),'Расчёт'!$F$40*'Расчёт'!$F$50*(MAX('Расчёт'!$F$95-'Расчёт'!$C$272,0))+'Расчёт'!$F$100)</f>
        <v>124.77128785714285</v>
      </c>
      <c r="H272" s="12" t="n">
        <f>'Расчёт'!$G$272-'Расчёт'!$F$272</f>
        <v>124.77128785714285</v>
      </c>
      <c r="I272" s="12" t="n">
        <f>10*MAX('Расчёт'!$F$92-'Расчёт'!$C$272,0)+MAX(IF('Расчёт'!$C$272&lt;='Расчёт'!$F$92,'Расчёт'!$F$85-1.5*'Расчёт'!$F$84*('Расчёт'!$F$92-'Расчёт'!$C$272)/'Расчёт'!$F$92,'Расчёт'!$F$85-7.5*'Расчёт'!$F$48*('Расчёт'!$C$272-'Расчёт'!$F$92)),IF('Расчёт'!$C$272&gt;'Расчёт'!$F$92,0.03*'Расчёт'!$F$20+5,0))</f>
        <v>40.46301845501549</v>
      </c>
      <c r="J272" s="12" t="n">
        <f>MAX('Расчёт'!$H$272,'Расчёт'!$I$272,ABS('Расчёт'!$G$272-('Расчёт'!$D$272+'Расчёт'!$E$272)))</f>
        <v>124.77128785714285</v>
      </c>
      <c r="K272" s="12" t="n">
        <f>MAX('Расчёт'!$F$40*('Расчёт'!$F$50+'Расчёт'!$F$86)*(MAX('Расчёт'!$F$96-'Расчёт'!$C$272,0)),'Расчёт'!$F$40*'Расчёт'!$F$50*((MAX('Расчёт'!$F$96-'Расчёт'!$C$272,0))+('Расчёт'!$F$94)*'Расчёт'!$F$87),'Расчёт'!$F$40*'Расчёт'!$F$50*((MAX('Расчёт'!$F$96-'Расчёт'!$C$272,0))+'Расчёт'!$F$98*'Расчёт'!$F$88),0.75*'Расчёт'!$F$40*'Расчёт'!$F$50*((MAX('Расчёт'!$F$96-'Расчёт'!$C$272,0))+'Расчёт'!$F$99),'Расчёт'!$F$40*'Расчёт'!$F$50*(MAX('Расчёт'!$F$96-'Расчёт'!$C$272,0))+'Расчёт'!$F$100)</f>
        <v>122.50167428571426</v>
      </c>
      <c r="L272" s="12" t="n">
        <f>MAX('Расчёт'!$K$272,'Расчёт'!$G$272)</f>
        <v>124.77128785714285</v>
      </c>
    </row>
    <row r="273" ht="17" customHeight="1" outlineLevel="1" hidden="1">
      <c r="A273" s="14" t="str">
        <v>ISD / 2</v>
      </c>
      <c r="B273" s="4"/>
      <c r="C273" s="12" t="n">
        <f>('Расчёт'!$K$602+'Расчёт'!$G$602/20)/100</f>
        <v>9.8</v>
      </c>
      <c r="D273" s="12" t="n">
        <f>10*MAX('Расчёт'!$F$91-'Расчёт'!$C$273,0)</f>
        <v>0</v>
      </c>
      <c r="E273" s="12" t="n">
        <f>MAX(0,IF('Расчёт'!$C$273&lt;='Расчёт'!$F$91,'Расчёт'!$F$85-1.5*'Расчёт'!$F$84*('Расчёт'!$F$91-'Расчёт'!$C$273)/'Расчёт'!$F$91,'Расчёт'!$F$85-7.5*'Расчёт'!$F$48*('Расчёт'!$C$273-'Расчёт'!$F$91)))</f>
        <v>17.126648078737848</v>
      </c>
      <c r="F273" s="12" t="n">
        <f>MAX('Расчёт'!$D$273-'Расчёт'!$E$273,0)</f>
        <v>0</v>
      </c>
      <c r="G273" s="12" t="n">
        <f>MAX('Расчёт'!$F$40*('Расчёт'!$F$50+'Расчёт'!$F$86)*(MAX('Расчёт'!$F$95-'Расчёт'!$C$273,0)),'Расчёт'!$F$40*'Расчёт'!$F$50*((MAX('Расчёт'!$F$95-'Расчёт'!$C$273,0))+('Расчёт'!$F$93)*'Расчёт'!$F$87),'Расчёт'!$F$40*'Расчёт'!$F$50*((MAX('Расчёт'!$F$95-'Расчёт'!$C$273,0))+'Расчёт'!$F$98*'Расчёт'!$F$88),0.75*'Расчёт'!$F$40*'Расчёт'!$F$50*((MAX('Расчёт'!$F$95-'Расчёт'!$C$273,0))+'Расчёт'!$F$99),'Расчёт'!$F$40*'Расчёт'!$F$50*(MAX('Расчёт'!$F$95-'Расчёт'!$C$273,0))+'Расчёт'!$F$100)</f>
        <v>104.66078785714284</v>
      </c>
      <c r="H273" s="12" t="n">
        <f>'Расчёт'!$G$273-'Расчёт'!$F$273</f>
        <v>104.66078785714284</v>
      </c>
      <c r="I273" s="12" t="n">
        <f>10*MAX('Расчёт'!$F$92-'Расчёт'!$C$273,0)+MAX(IF('Расчёт'!$C$273&lt;='Расчёт'!$F$92,'Расчёт'!$F$85-1.5*'Расчёт'!$F$84*('Расчёт'!$F$92-'Расчёт'!$C$273)/'Расчёт'!$F$92,'Расчёт'!$F$85-7.5*'Расчёт'!$F$48*('Расчёт'!$C$273-'Расчёт'!$F$92)),IF('Расчёт'!$C$273&gt;'Расчёт'!$F$92,0.03*'Расчёт'!$F$20+5,0))</f>
        <v>25.937648078737848</v>
      </c>
      <c r="J273" s="12" t="n">
        <f>MAX('Расчёт'!$H$273,'Расчёт'!$I$273,ABS('Расчёт'!$G$273-('Расчёт'!$D$273+'Расчёт'!$E$273)))</f>
        <v>104.66078785714284</v>
      </c>
      <c r="K273" s="12" t="n">
        <f>MAX('Расчёт'!$F$40*('Расчёт'!$F$50+'Расчёт'!$F$86)*(MAX('Расчёт'!$F$96-'Расчёт'!$C$273,0)),'Расчёт'!$F$40*'Расчёт'!$F$50*((MAX('Расчёт'!$F$96-'Расчёт'!$C$273,0))+('Расчёт'!$F$94)*'Расчёт'!$F$87),'Расчёт'!$F$40*'Расчёт'!$F$50*((MAX('Расчёт'!$F$96-'Расчёт'!$C$273,0))+'Расчёт'!$F$98*'Расчёт'!$F$88),0.75*'Расчёт'!$F$40*'Расчёт'!$F$50*((MAX('Расчёт'!$F$96-'Расчёт'!$C$273,0))+'Расчёт'!$F$99),'Расчёт'!$F$40*'Расчёт'!$F$50*(MAX('Расчёт'!$F$96-'Расчёт'!$C$273,0))+'Расчёт'!$F$100)</f>
        <v>102.39117428571426</v>
      </c>
      <c r="L273" s="12" t="n">
        <f>MAX('Расчёт'!$K$273,'Расчёт'!$G$273)</f>
        <v>104.66078785714284</v>
      </c>
    </row>
    <row r="274" ht="17" customHeight="1" outlineLevel="1" hidden="1">
      <c r="A274" s="14" t="str">
        <v>ISD / 3</v>
      </c>
      <c r="B274" s="4"/>
      <c r="C274" s="12" t="n">
        <f>MAX((('Расчёт'!$K$602-'Расчёт'!$G$602/20)/100),MIN((('Расчёт'!$K$602+'Расчёт'!$G$602/20)/100),'Расчёт'!$F$101))</f>
        <v>7.8</v>
      </c>
      <c r="D274" s="12" t="n">
        <f>10*MAX('Расчёт'!$F$91-'Расчёт'!$C$274,0)</f>
        <v>0</v>
      </c>
      <c r="E274" s="12" t="n">
        <f>MAX(0,IF('Расчёт'!$C$274&lt;='Расчёт'!$F$91,'Расчёт'!$F$85-1.5*'Расчёт'!$F$84*('Расчёт'!$F$91-'Расчёт'!$C$274)/'Расчёт'!$F$91,'Расчёт'!$F$85-7.5*'Расчёт'!$F$48*('Расчёт'!$C$274-'Расчёт'!$F$91)))</f>
        <v>21.13164807873785</v>
      </c>
      <c r="F274" s="12" t="n">
        <f>MAX('Расчёт'!$D$274-'Расчёт'!$E$274,0)</f>
        <v>0</v>
      </c>
      <c r="G274" s="12" t="n">
        <f>MAX('Расчёт'!$F$40*('Расчёт'!$F$50+'Расчёт'!$F$86)*(MAX('Расчёт'!$F$95-'Расчёт'!$C$274,0)),'Расчёт'!$F$40*'Расчёт'!$F$50*((MAX('Расчёт'!$F$95-'Расчёт'!$C$274,0))+('Расчёт'!$F$93)*'Расчёт'!$F$87),'Расчёт'!$F$40*'Расчёт'!$F$50*((MAX('Расчёт'!$F$95-'Расчёт'!$C$274,0))+'Расчёт'!$F$98*'Расчёт'!$F$88),0.75*'Расчёт'!$F$40*'Расчёт'!$F$50*((MAX('Расчёт'!$F$95-'Расчёт'!$C$274,0))+'Расчёт'!$F$99),'Расчёт'!$F$40*'Расчёт'!$F$50*(MAX('Расчёт'!$F$95-'Расчёт'!$C$274,0))+'Расчёт'!$F$100)</f>
        <v>124.77128785714285</v>
      </c>
      <c r="H274" s="12" t="n">
        <f>'Расчёт'!$G$274-'Расчёт'!$F$274</f>
        <v>124.77128785714285</v>
      </c>
      <c r="I274" s="12" t="n">
        <f>10*MAX('Расчёт'!$F$92-'Расчёт'!$C$274,0)+MAX(IF('Расчёт'!$C$274&lt;='Расчёт'!$F$92,'Расчёт'!$F$85-1.5*'Расчёт'!$F$84*('Расчёт'!$F$92-'Расчёт'!$C$274)/'Расчёт'!$F$92,'Расчёт'!$F$85-7.5*'Расчёт'!$F$48*('Расчёт'!$C$274-'Расчёт'!$F$92)),IF('Расчёт'!$C$274&gt;'Расчёт'!$F$92,0.03*'Расчёт'!$F$20+5,0))</f>
        <v>40.46301845501549</v>
      </c>
      <c r="J274" s="12" t="n">
        <f>MAX('Расчёт'!$H$274,'Расчёт'!$I$274,ABS('Расчёт'!$G$274-('Расчёт'!$D$274+'Расчёт'!$E$274)))</f>
        <v>124.77128785714285</v>
      </c>
      <c r="K274" s="12" t="n">
        <f>MAX('Расчёт'!$F$40*('Расчёт'!$F$50+'Расчёт'!$F$86)*(MAX('Расчёт'!$F$96-'Расчёт'!$C$274,0)),'Расчёт'!$F$40*'Расчёт'!$F$50*((MAX('Расчёт'!$F$96-'Расчёт'!$C$274,0))+('Расчёт'!$F$94)*'Расчёт'!$F$87),'Расчёт'!$F$40*'Расчёт'!$F$50*((MAX('Расчёт'!$F$96-'Расчёт'!$C$274,0))+'Расчёт'!$F$98*'Расчёт'!$F$88),0.75*'Расчёт'!$F$40*'Расчёт'!$F$50*((MAX('Расчёт'!$F$96-'Расчёт'!$C$274,0))+'Расчёт'!$F$99),'Расчёт'!$F$40*'Расчёт'!$F$50*(MAX('Расчёт'!$F$96-'Расчёт'!$C$274,0))+'Расчёт'!$F$100)</f>
        <v>122.50167428571426</v>
      </c>
      <c r="L274" s="12" t="n">
        <f>MAX('Расчёт'!$K$274,'Расчёт'!$G$274)</f>
        <v>124.77128785714285</v>
      </c>
    </row>
    <row r="275" ht="17" customHeight="1" outlineLevel="1" hidden="1">
      <c r="A275" s="14" t="str">
        <v>ISC / 1</v>
      </c>
      <c r="B275" s="4"/>
      <c r="C275" s="12" t="n">
        <f>('Расчёт'!$K$603-'Расчёт'!$G$603/20)/100</f>
        <v>9.8</v>
      </c>
      <c r="D275" s="12" t="n">
        <f>10*MAX('Расчёт'!$F$91-'Расчёт'!$C$275,0)</f>
        <v>0</v>
      </c>
      <c r="E275" s="12" t="n">
        <f>MAX(0,IF('Расчёт'!$C$275&lt;='Расчёт'!$F$91,'Расчёт'!$F$85-1.5*'Расчёт'!$F$84*('Расчёт'!$F$91-'Расчёт'!$C$275)/'Расчёт'!$F$91,'Расчёт'!$F$85-7.5*'Расчёт'!$F$48*('Расчёт'!$C$275-'Расчёт'!$F$91)))</f>
        <v>17.126648078737848</v>
      </c>
      <c r="F275" s="12" t="n">
        <f>MAX('Расчёт'!$D$275-'Расчёт'!$E$275,0)</f>
        <v>0</v>
      </c>
      <c r="G275" s="12" t="n">
        <f>MAX('Расчёт'!$F$40*('Расчёт'!$F$50+'Расчёт'!$F$86)*(MAX('Расчёт'!$F$95-'Расчёт'!$C$275,0)),'Расчёт'!$F$40*'Расчёт'!$F$50*((MAX('Расчёт'!$F$95-'Расчёт'!$C$275,0))+('Расчёт'!$F$93)*'Расчёт'!$F$87),'Расчёт'!$F$40*'Расчёт'!$F$50*((MAX('Расчёт'!$F$95-'Расчёт'!$C$275,0))+'Расчёт'!$F$98*'Расчёт'!$F$88),0.75*'Расчёт'!$F$40*'Расчёт'!$F$50*((MAX('Расчёт'!$F$95-'Расчёт'!$C$275,0))+'Расчёт'!$F$99),'Расчёт'!$F$40*'Расчёт'!$F$50*(MAX('Расчёт'!$F$95-'Расчёт'!$C$275,0))+'Расчёт'!$F$100)</f>
        <v>104.66078785714284</v>
      </c>
      <c r="H275" s="12" t="n">
        <f>'Расчёт'!$G$275-'Расчёт'!$F$275</f>
        <v>104.66078785714284</v>
      </c>
      <c r="I275" s="12" t="n">
        <f>10*MAX('Расчёт'!$F$92-'Расчёт'!$C$275,0)+MAX(IF('Расчёт'!$C$275&lt;='Расчёт'!$F$92,'Расчёт'!$F$85-1.5*'Расчёт'!$F$84*('Расчёт'!$F$92-'Расчёт'!$C$275)/'Расчёт'!$F$92,'Расчёт'!$F$85-7.5*'Расчёт'!$F$48*('Расчёт'!$C$275-'Расчёт'!$F$92)),IF('Расчёт'!$C$275&gt;'Расчёт'!$F$92,0.03*'Расчёт'!$F$20+5,0))</f>
        <v>25.937648078737848</v>
      </c>
      <c r="J275" s="12" t="n">
        <f>MAX('Расчёт'!$H$275,'Расчёт'!$I$275,ABS('Расчёт'!$G$275-('Расчёт'!$D$275+'Расчёт'!$E$275)))</f>
        <v>104.66078785714284</v>
      </c>
      <c r="K275" s="12" t="n">
        <f>MAX('Расчёт'!$F$40*('Расчёт'!$F$50+'Расчёт'!$F$86)*(MAX('Расчёт'!$F$96-'Расчёт'!$C$275,0)),'Расчёт'!$F$40*'Расчёт'!$F$50*((MAX('Расчёт'!$F$96-'Расчёт'!$C$275,0))+('Расчёт'!$F$94)*'Расчёт'!$F$87),'Расчёт'!$F$40*'Расчёт'!$F$50*((MAX('Расчёт'!$F$96-'Расчёт'!$C$275,0))+'Расчёт'!$F$98*'Расчёт'!$F$88),0.75*'Расчёт'!$F$40*'Расчёт'!$F$50*((MAX('Расчёт'!$F$96-'Расчёт'!$C$275,0))+'Расчёт'!$F$99),'Расчёт'!$F$40*'Расчёт'!$F$50*(MAX('Расчёт'!$F$96-'Расчёт'!$C$275,0))+'Расчёт'!$F$100)</f>
        <v>102.39117428571426</v>
      </c>
      <c r="L275" s="12" t="n">
        <f>MAX('Расчёт'!$K$275,'Расчёт'!$G$275)</f>
        <v>104.66078785714284</v>
      </c>
    </row>
    <row r="276" ht="17" customHeight="1" outlineLevel="1" hidden="1">
      <c r="A276" s="14" t="str">
        <v>ISC / 2</v>
      </c>
      <c r="B276" s="4"/>
      <c r="C276" s="12" t="n">
        <f>('Расчёт'!$K$603+'Расчёт'!$G$603/20)/100</f>
        <v>11.8</v>
      </c>
      <c r="D276" s="12" t="n">
        <f>10*MAX('Расчёт'!$F$91-'Расчёт'!$C$276,0)</f>
        <v>0</v>
      </c>
      <c r="E276" s="12" t="n">
        <f>MAX(0,IF('Расчёт'!$C$276&lt;='Расчёт'!$F$91,'Расчёт'!$F$85-1.5*'Расчёт'!$F$84*('Расчёт'!$F$91-'Расчёт'!$C$276)/'Расчёт'!$F$91,'Расчёт'!$F$85-7.5*'Расчёт'!$F$48*('Расчёт'!$C$276-'Расчёт'!$F$91)))</f>
        <v>13.121648078737849</v>
      </c>
      <c r="F276" s="12" t="n">
        <f>MAX('Расчёт'!$D$276-'Расчёт'!$E$276,0)</f>
        <v>0</v>
      </c>
      <c r="G276" s="12" t="n">
        <f>MAX('Расчёт'!$F$40*('Расчёт'!$F$50+'Расчёт'!$F$86)*(MAX('Расчёт'!$F$95-'Расчёт'!$C$276,0)),'Расчёт'!$F$40*'Расчёт'!$F$50*((MAX('Расчёт'!$F$95-'Расчёт'!$C$276,0))+('Расчёт'!$F$93)*'Расчёт'!$F$87),'Расчёт'!$F$40*'Расчёт'!$F$50*((MAX('Расчёт'!$F$95-'Расчёт'!$C$276,0))+'Расчёт'!$F$98*'Расчёт'!$F$88),0.75*'Расчёт'!$F$40*'Расчёт'!$F$50*((MAX('Расчёт'!$F$95-'Расчёт'!$C$276,0))+'Расчёт'!$F$99),'Расчёт'!$F$40*'Расчёт'!$F$50*(MAX('Расчёт'!$F$95-'Расчёт'!$C$276,0))+'Расчёт'!$F$100)</f>
        <v>84.55028785714283</v>
      </c>
      <c r="H276" s="12" t="n">
        <f>'Расчёт'!$G$276-'Расчёт'!$F$276</f>
        <v>84.55028785714283</v>
      </c>
      <c r="I276" s="12" t="n">
        <f>10*MAX('Расчёт'!$F$92-'Расчёт'!$C$276,0)+MAX(IF('Расчёт'!$C$276&lt;='Расчёт'!$F$92,'Расчёт'!$F$85-1.5*'Расчёт'!$F$84*('Расчёт'!$F$92-'Расчёт'!$C$276)/'Расчёт'!$F$92,'Расчёт'!$F$85-7.5*'Расчёт'!$F$48*('Расчёт'!$C$276-'Расчёт'!$F$92)),IF('Расчёт'!$C$276&gt;'Расчёт'!$F$92,0.03*'Расчёт'!$F$20+5,0))</f>
        <v>21.93264807873785</v>
      </c>
      <c r="J276" s="12" t="n">
        <f>MAX('Расчёт'!$H$276,'Расчёт'!$I$276,ABS('Расчёт'!$G$276-('Расчёт'!$D$276+'Расчёт'!$E$276)))</f>
        <v>84.55028785714283</v>
      </c>
      <c r="K276" s="12" t="n">
        <f>MAX('Расчёт'!$F$40*('Расчёт'!$F$50+'Расчёт'!$F$86)*(MAX('Расчёт'!$F$96-'Расчёт'!$C$276,0)),'Расчёт'!$F$40*'Расчёт'!$F$50*((MAX('Расчёт'!$F$96-'Расчёт'!$C$276,0))+('Расчёт'!$F$94)*'Расчёт'!$F$87),'Расчёт'!$F$40*'Расчёт'!$F$50*((MAX('Расчёт'!$F$96-'Расчёт'!$C$276,0))+'Расчёт'!$F$98*'Расчёт'!$F$88),0.75*'Расчёт'!$F$40*'Расчёт'!$F$50*((MAX('Расчёт'!$F$96-'Расчёт'!$C$276,0))+'Расчёт'!$F$99),'Расчёт'!$F$40*'Расчёт'!$F$50*(MAX('Расчёт'!$F$96-'Расчёт'!$C$276,0))+'Расчёт'!$F$100)</f>
        <v>82.28067428571427</v>
      </c>
      <c r="L276" s="12" t="n">
        <f>MAX('Расчёт'!$K$276,'Расчёт'!$G$276)</f>
        <v>84.55028785714283</v>
      </c>
    </row>
    <row r="277" ht="17" customHeight="1" outlineLevel="1" hidden="1">
      <c r="A277" s="14" t="str">
        <v>ISC / 3</v>
      </c>
      <c r="B277" s="4"/>
      <c r="C277" s="12" t="n">
        <f>MAX((('Расчёт'!$K$603-'Расчёт'!$G$603/20)/100),MIN((('Расчёт'!$K$603+'Расчёт'!$G$603/20)/100),'Расчёт'!$F$101))</f>
        <v>9.8</v>
      </c>
      <c r="D277" s="12" t="n">
        <f>10*MAX('Расчёт'!$F$91-'Расчёт'!$C$277,0)</f>
        <v>0</v>
      </c>
      <c r="E277" s="12" t="n">
        <f>MAX(0,IF('Расчёт'!$C$277&lt;='Расчёт'!$F$91,'Расчёт'!$F$85-1.5*'Расчёт'!$F$84*('Расчёт'!$F$91-'Расчёт'!$C$277)/'Расчёт'!$F$91,'Расчёт'!$F$85-7.5*'Расчёт'!$F$48*('Расчёт'!$C$277-'Расчёт'!$F$91)))</f>
        <v>17.126648078737848</v>
      </c>
      <c r="F277" s="12" t="n">
        <f>MAX('Расчёт'!$D$277-'Расчёт'!$E$277,0)</f>
        <v>0</v>
      </c>
      <c r="G277" s="12" t="n">
        <f>MAX('Расчёт'!$F$40*('Расчёт'!$F$50+'Расчёт'!$F$86)*(MAX('Расчёт'!$F$95-'Расчёт'!$C$277,0)),'Расчёт'!$F$40*'Расчёт'!$F$50*((MAX('Расчёт'!$F$95-'Расчёт'!$C$277,0))+('Расчёт'!$F$93)*'Расчёт'!$F$87),'Расчёт'!$F$40*'Расчёт'!$F$50*((MAX('Расчёт'!$F$95-'Расчёт'!$C$277,0))+'Расчёт'!$F$98*'Расчёт'!$F$88),0.75*'Расчёт'!$F$40*'Расчёт'!$F$50*((MAX('Расчёт'!$F$95-'Расчёт'!$C$277,0))+'Расчёт'!$F$99),'Расчёт'!$F$40*'Расчёт'!$F$50*(MAX('Расчёт'!$F$95-'Расчёт'!$C$277,0))+'Расчёт'!$F$100)</f>
        <v>104.66078785714284</v>
      </c>
      <c r="H277" s="12" t="n">
        <f>'Расчёт'!$G$277-'Расчёт'!$F$277</f>
        <v>104.66078785714284</v>
      </c>
      <c r="I277" s="12" t="n">
        <f>10*MAX('Расчёт'!$F$92-'Расчёт'!$C$277,0)+MAX(IF('Расчёт'!$C$277&lt;='Расчёт'!$F$92,'Расчёт'!$F$85-1.5*'Расчёт'!$F$84*('Расчёт'!$F$92-'Расчёт'!$C$277)/'Расчёт'!$F$92,'Расчёт'!$F$85-7.5*'Расчёт'!$F$48*('Расчёт'!$C$277-'Расчёт'!$F$92)),IF('Расчёт'!$C$277&gt;'Расчёт'!$F$92,0.03*'Расчёт'!$F$20+5,0))</f>
        <v>25.937648078737848</v>
      </c>
      <c r="J277" s="12" t="n">
        <f>MAX('Расчёт'!$H$277,'Расчёт'!$I$277,ABS('Расчёт'!$G$277-('Расчёт'!$D$277+'Расчёт'!$E$277)))</f>
        <v>104.66078785714284</v>
      </c>
      <c r="K277" s="12" t="n">
        <f>MAX('Расчёт'!$F$40*('Расчёт'!$F$50+'Расчёт'!$F$86)*(MAX('Расчёт'!$F$96-'Расчёт'!$C$277,0)),'Расчёт'!$F$40*'Расчёт'!$F$50*((MAX('Расчёт'!$F$96-'Расчёт'!$C$277,0))+('Расчёт'!$F$94)*'Расчёт'!$F$87),'Расчёт'!$F$40*'Расчёт'!$F$50*((MAX('Расчёт'!$F$96-'Расчёт'!$C$277,0))+'Расчёт'!$F$98*'Расчёт'!$F$88),0.75*'Расчёт'!$F$40*'Расчёт'!$F$50*((MAX('Расчёт'!$F$96-'Расчёт'!$C$277,0))+'Расчёт'!$F$99),'Расчёт'!$F$40*'Расчёт'!$F$50*(MAX('Расчёт'!$F$96-'Расчёт'!$C$277,0))+'Расчёт'!$F$100)</f>
        <v>102.39117428571426</v>
      </c>
      <c r="L277" s="12" t="n">
        <f>MAX('Расчёт'!$K$277,'Расчёт'!$G$277)</f>
        <v>104.66078785714284</v>
      </c>
    </row>
    <row r="278" ht="17" customHeight="1" outlineLevel="1" hidden="1">
      <c r="A278" s="14" t="str">
        <v>ISB / 1</v>
      </c>
      <c r="B278" s="4"/>
      <c r="C278" s="12" t="n">
        <f>('Расчёт'!$K$604-'Расчёт'!$G$604/20)/100</f>
        <v>11.8</v>
      </c>
      <c r="D278" s="12" t="n">
        <f>10*MAX('Расчёт'!$F$91-'Расчёт'!$C$278,0)</f>
        <v>0</v>
      </c>
      <c r="E278" s="12" t="n">
        <f>MAX(0,IF('Расчёт'!$C$278&lt;='Расчёт'!$F$91,'Расчёт'!$F$85-1.5*'Расчёт'!$F$84*('Расчёт'!$F$91-'Расчёт'!$C$278)/'Расчёт'!$F$91,'Расчёт'!$F$85-7.5*'Расчёт'!$F$48*('Расчёт'!$C$278-'Расчёт'!$F$91)))</f>
        <v>13.121648078737849</v>
      </c>
      <c r="F278" s="12" t="n">
        <f>MAX('Расчёт'!$D$278-'Расчёт'!$E$278,0)</f>
        <v>0</v>
      </c>
      <c r="G278" s="12" t="n">
        <f>MAX('Расчёт'!$F$40*('Расчёт'!$F$50+'Расчёт'!$F$86)*(MAX('Расчёт'!$F$95-'Расчёт'!$C$278,0)),'Расчёт'!$F$40*'Расчёт'!$F$50*((MAX('Расчёт'!$F$95-'Расчёт'!$C$278,0))+('Расчёт'!$F$93)*'Расчёт'!$F$87),'Расчёт'!$F$40*'Расчёт'!$F$50*((MAX('Расчёт'!$F$95-'Расчёт'!$C$278,0))+'Расчёт'!$F$98*'Расчёт'!$F$88),0.75*'Расчёт'!$F$40*'Расчёт'!$F$50*((MAX('Расчёт'!$F$95-'Расчёт'!$C$278,0))+'Расчёт'!$F$99),'Расчёт'!$F$40*'Расчёт'!$F$50*(MAX('Расчёт'!$F$95-'Расчёт'!$C$278,0))+'Расчёт'!$F$100)</f>
        <v>84.55028785714283</v>
      </c>
      <c r="H278" s="12" t="n">
        <f>'Расчёт'!$G$278-'Расчёт'!$F$278</f>
        <v>84.55028785714283</v>
      </c>
      <c r="I278" s="12" t="n">
        <f>10*MAX('Расчёт'!$F$92-'Расчёт'!$C$278,0)+MAX(IF('Расчёт'!$C$278&lt;='Расчёт'!$F$92,'Расчёт'!$F$85-1.5*'Расчёт'!$F$84*('Расчёт'!$F$92-'Расчёт'!$C$278)/'Расчёт'!$F$92,'Расчёт'!$F$85-7.5*'Расчёт'!$F$48*('Расчёт'!$C$278-'Расчёт'!$F$92)),IF('Расчёт'!$C$278&gt;'Расчёт'!$F$92,0.03*'Расчёт'!$F$20+5,0))</f>
        <v>21.93264807873785</v>
      </c>
      <c r="J278" s="12" t="n">
        <f>MAX('Расчёт'!$H$278,'Расчёт'!$I$278,ABS('Расчёт'!$G$278-('Расчёт'!$D$278+'Расчёт'!$E$278)))</f>
        <v>84.55028785714283</v>
      </c>
      <c r="K278" s="12" t="n">
        <f>MAX('Расчёт'!$F$40*('Расчёт'!$F$50+'Расчёт'!$F$86)*(MAX('Расчёт'!$F$96-'Расчёт'!$C$278,0)),'Расчёт'!$F$40*'Расчёт'!$F$50*((MAX('Расчёт'!$F$96-'Расчёт'!$C$278,0))+('Расчёт'!$F$94)*'Расчёт'!$F$87),'Расчёт'!$F$40*'Расчёт'!$F$50*((MAX('Расчёт'!$F$96-'Расчёт'!$C$278,0))+'Расчёт'!$F$98*'Расчёт'!$F$88),0.75*'Расчёт'!$F$40*'Расчёт'!$F$50*((MAX('Расчёт'!$F$96-'Расчёт'!$C$278,0))+'Расчёт'!$F$99),'Расчёт'!$F$40*'Расчёт'!$F$50*(MAX('Расчёт'!$F$96-'Расчёт'!$C$278,0))+'Расчёт'!$F$100)</f>
        <v>82.28067428571427</v>
      </c>
      <c r="L278" s="12" t="n">
        <f>MAX('Расчёт'!$K$278,'Расчёт'!$G$278)</f>
        <v>84.55028785714283</v>
      </c>
    </row>
    <row r="279" ht="17" customHeight="1" outlineLevel="1" hidden="1">
      <c r="A279" s="14" t="str">
        <v>ISB / 2</v>
      </c>
      <c r="B279" s="4"/>
      <c r="C279" s="12" t="n">
        <f>('Расчёт'!$K$604+'Расчёт'!$G$604/20)/100</f>
        <v>13.8</v>
      </c>
      <c r="D279" s="12" t="n">
        <f>10*MAX('Расчёт'!$F$91-'Расчёт'!$C$279,0)</f>
        <v>0</v>
      </c>
      <c r="E279" s="12" t="n">
        <f>MAX(0,IF('Расчёт'!$C$279&lt;='Расчёт'!$F$91,'Расчёт'!$F$85-1.5*'Расчёт'!$F$84*('Расчёт'!$F$91-'Расчёт'!$C$279)/'Расчёт'!$F$91,'Расчёт'!$F$85-7.5*'Расчёт'!$F$48*('Расчёт'!$C$279-'Расчёт'!$F$91)))</f>
        <v>9.11664807873785</v>
      </c>
      <c r="F279" s="12" t="n">
        <f>MAX('Расчёт'!$D$279-'Расчёт'!$E$279,0)</f>
        <v>0</v>
      </c>
      <c r="G279" s="12" t="n">
        <f>MAX('Расчёт'!$F$40*('Расчёт'!$F$50+'Расчёт'!$F$86)*(MAX('Расчёт'!$F$95-'Расчёт'!$C$279,0)),'Расчёт'!$F$40*'Расчёт'!$F$50*((MAX('Расчёт'!$F$95-'Расчёт'!$C$279,0))+('Расчёт'!$F$93)*'Расчёт'!$F$87),'Расчёт'!$F$40*'Расчёт'!$F$50*((MAX('Расчёт'!$F$95-'Расчёт'!$C$279,0))+'Расчёт'!$F$98*'Расчёт'!$F$88),0.75*'Расчёт'!$F$40*'Расчёт'!$F$50*((MAX('Расчёт'!$F$95-'Расчёт'!$C$279,0))+'Расчёт'!$F$99),'Расчёт'!$F$40*'Расчёт'!$F$50*(MAX('Расчёт'!$F$95-'Расчёт'!$C$279,0))+'Расчёт'!$F$100)</f>
        <v>64.43978785714285</v>
      </c>
      <c r="H279" s="12" t="n">
        <f>'Расчёт'!$G$279-'Расчёт'!$F$279</f>
        <v>64.43978785714285</v>
      </c>
      <c r="I279" s="12" t="n">
        <f>10*MAX('Расчёт'!$F$92-'Расчёт'!$C$279,0)+MAX(IF('Расчёт'!$C$279&lt;='Расчёт'!$F$92,'Расчёт'!$F$85-1.5*'Расчёт'!$F$84*('Расчёт'!$F$92-'Расчёт'!$C$279)/'Расчёт'!$F$92,'Расчёт'!$F$85-7.5*'Расчёт'!$F$48*('Расчёт'!$C$279-'Расчёт'!$F$92)),IF('Расчёт'!$C$279&gt;'Расчёт'!$F$92,0.03*'Расчёт'!$F$20+5,0))</f>
        <v>17.92764807873785</v>
      </c>
      <c r="J279" s="12" t="n">
        <f>MAX('Расчёт'!$H$279,'Расчёт'!$I$279,ABS('Расчёт'!$G$279-('Расчёт'!$D$279+'Расчёт'!$E$279)))</f>
        <v>64.43978785714285</v>
      </c>
      <c r="K279" s="12" t="n">
        <f>MAX('Расчёт'!$F$40*('Расчёт'!$F$50+'Расчёт'!$F$86)*(MAX('Расчёт'!$F$96-'Расчёт'!$C$279,0)),'Расчёт'!$F$40*'Расчёт'!$F$50*((MAX('Расчёт'!$F$96-'Расчёт'!$C$279,0))+('Расчёт'!$F$94)*'Расчёт'!$F$87),'Расчёт'!$F$40*'Расчёт'!$F$50*((MAX('Расчёт'!$F$96-'Расчёт'!$C$279,0))+'Расчёт'!$F$98*'Расчёт'!$F$88),0.75*'Расчёт'!$F$40*'Расчёт'!$F$50*((MAX('Расчёт'!$F$96-'Расчёт'!$C$279,0))+'Расчёт'!$F$99),'Расчёт'!$F$40*'Расчёт'!$F$50*(MAX('Расчёт'!$F$96-'Расчёт'!$C$279,0))+'Расчёт'!$F$100)</f>
        <v>62.17017428571427</v>
      </c>
      <c r="L279" s="12" t="n">
        <f>MAX('Расчёт'!$K$279,'Расчёт'!$G$279)</f>
        <v>64.43978785714285</v>
      </c>
    </row>
    <row r="280" ht="17" customHeight="1" outlineLevel="1" hidden="1">
      <c r="A280" s="14" t="str">
        <v>ISB / 3</v>
      </c>
      <c r="B280" s="4"/>
      <c r="C280" s="12" t="n">
        <f>MAX((('Расчёт'!$K$604-'Расчёт'!$G$604/20)/100),MIN((('Расчёт'!$K$604+'Расчёт'!$G$604/20)/100),'Расчёт'!$F$101))</f>
        <v>11.8</v>
      </c>
      <c r="D280" s="12" t="n">
        <f>10*MAX('Расчёт'!$F$91-'Расчёт'!$C$280,0)</f>
        <v>0</v>
      </c>
      <c r="E280" s="12" t="n">
        <f>MAX(0,IF('Расчёт'!$C$280&lt;='Расчёт'!$F$91,'Расчёт'!$F$85-1.5*'Расчёт'!$F$84*('Расчёт'!$F$91-'Расчёт'!$C$280)/'Расчёт'!$F$91,'Расчёт'!$F$85-7.5*'Расчёт'!$F$48*('Расчёт'!$C$280-'Расчёт'!$F$91)))</f>
        <v>13.121648078737849</v>
      </c>
      <c r="F280" s="12" t="n">
        <f>MAX('Расчёт'!$D$280-'Расчёт'!$E$280,0)</f>
        <v>0</v>
      </c>
      <c r="G280" s="12" t="n">
        <f>MAX('Расчёт'!$F$40*('Расчёт'!$F$50+'Расчёт'!$F$86)*(MAX('Расчёт'!$F$95-'Расчёт'!$C$280,0)),'Расчёт'!$F$40*'Расчёт'!$F$50*((MAX('Расчёт'!$F$95-'Расчёт'!$C$280,0))+('Расчёт'!$F$93)*'Расчёт'!$F$87),'Расчёт'!$F$40*'Расчёт'!$F$50*((MAX('Расчёт'!$F$95-'Расчёт'!$C$280,0))+'Расчёт'!$F$98*'Расчёт'!$F$88),0.75*'Расчёт'!$F$40*'Расчёт'!$F$50*((MAX('Расчёт'!$F$95-'Расчёт'!$C$280,0))+'Расчёт'!$F$99),'Расчёт'!$F$40*'Расчёт'!$F$50*(MAX('Расчёт'!$F$95-'Расчёт'!$C$280,0))+'Расчёт'!$F$100)</f>
        <v>84.55028785714283</v>
      </c>
      <c r="H280" s="12" t="n">
        <f>'Расчёт'!$G$280-'Расчёт'!$F$280</f>
        <v>84.55028785714283</v>
      </c>
      <c r="I280" s="12" t="n">
        <f>10*MAX('Расчёт'!$F$92-'Расчёт'!$C$280,0)+MAX(IF('Расчёт'!$C$280&lt;='Расчёт'!$F$92,'Расчёт'!$F$85-1.5*'Расчёт'!$F$84*('Расчёт'!$F$92-'Расчёт'!$C$280)/'Расчёт'!$F$92,'Расчёт'!$F$85-7.5*'Расчёт'!$F$48*('Расчёт'!$C$280-'Расчёт'!$F$92)),IF('Расчёт'!$C$280&gt;'Расчёт'!$F$92,0.03*'Расчёт'!$F$20+5,0))</f>
        <v>21.93264807873785</v>
      </c>
      <c r="J280" s="12" t="n">
        <f>MAX('Расчёт'!$H$280,'Расчёт'!$I$280,ABS('Расчёт'!$G$280-('Расчёт'!$D$280+'Расчёт'!$E$280)))</f>
        <v>84.55028785714283</v>
      </c>
      <c r="K280" s="12" t="n">
        <f>MAX('Расчёт'!$F$40*('Расчёт'!$F$50+'Расчёт'!$F$86)*(MAX('Расчёт'!$F$96-'Расчёт'!$C$280,0)),'Расчёт'!$F$40*'Расчёт'!$F$50*((MAX('Расчёт'!$F$96-'Расчёт'!$C$280,0))+('Расчёт'!$F$94)*'Расчёт'!$F$87),'Расчёт'!$F$40*'Расчёт'!$F$50*((MAX('Расчёт'!$F$96-'Расчёт'!$C$280,0))+'Расчёт'!$F$98*'Расчёт'!$F$88),0.75*'Расчёт'!$F$40*'Расчёт'!$F$50*((MAX('Расчёт'!$F$96-'Расчёт'!$C$280,0))+'Расчёт'!$F$99),'Расчёт'!$F$40*'Расчёт'!$F$50*(MAX('Расчёт'!$F$96-'Расчёт'!$C$280,0))+'Расчёт'!$F$100)</f>
        <v>82.28067428571427</v>
      </c>
      <c r="L280" s="12" t="n">
        <f>MAX('Расчёт'!$K$280,'Расчёт'!$G$280)</f>
        <v>84.55028785714283</v>
      </c>
    </row>
    <row r="281" ht="17" customHeight="1" outlineLevel="1" hidden="1">
      <c r="A281" s="14" t="str">
        <v>ISA / 1</v>
      </c>
      <c r="B281" s="4"/>
      <c r="C281" s="12" t="n">
        <f>('Расчёт'!$K$605-'Расчёт'!$G$605/20)/100</f>
        <v>13.8</v>
      </c>
      <c r="D281" s="12" t="n">
        <f>10*MAX('Расчёт'!$F$91-'Расчёт'!$C$281,0)</f>
        <v>0</v>
      </c>
      <c r="E281" s="12" t="n">
        <f>MAX(0,IF('Расчёт'!$C$281&lt;='Расчёт'!$F$91,'Расчёт'!$F$85-1.5*'Расчёт'!$F$84*('Расчёт'!$F$91-'Расчёт'!$C$281)/'Расчёт'!$F$91,'Расчёт'!$F$85-7.5*'Расчёт'!$F$48*('Расчёт'!$C$281-'Расчёт'!$F$91)))</f>
        <v>9.11664807873785</v>
      </c>
      <c r="F281" s="12" t="n">
        <f>MAX('Расчёт'!$D$281-'Расчёт'!$E$281,0)</f>
        <v>0</v>
      </c>
      <c r="G281" s="12" t="n">
        <f>MAX('Расчёт'!$F$40*('Расчёт'!$F$50+'Расчёт'!$F$86)*(MAX('Расчёт'!$F$95-'Расчёт'!$C$281,0)),'Расчёт'!$F$40*'Расчёт'!$F$50*((MAX('Расчёт'!$F$95-'Расчёт'!$C$281,0))+('Расчёт'!$F$93)*'Расчёт'!$F$87),'Расчёт'!$F$40*'Расчёт'!$F$50*((MAX('Расчёт'!$F$95-'Расчёт'!$C$281,0))+'Расчёт'!$F$98*'Расчёт'!$F$88),0.75*'Расчёт'!$F$40*'Расчёт'!$F$50*((MAX('Расчёт'!$F$95-'Расчёт'!$C$281,0))+'Расчёт'!$F$99),'Расчёт'!$F$40*'Расчёт'!$F$50*(MAX('Расчёт'!$F$95-'Расчёт'!$C$281,0))+'Расчёт'!$F$100)</f>
        <v>64.43978785714285</v>
      </c>
      <c r="H281" s="12" t="n">
        <f>'Расчёт'!$G$281-'Расчёт'!$F$281</f>
        <v>64.43978785714285</v>
      </c>
      <c r="I281" s="12" t="n">
        <f>10*MAX('Расчёт'!$F$92-'Расчёт'!$C$281,0)+MAX(IF('Расчёт'!$C$281&lt;='Расчёт'!$F$92,'Расчёт'!$F$85-1.5*'Расчёт'!$F$84*('Расчёт'!$F$92-'Расчёт'!$C$281)/'Расчёт'!$F$92,'Расчёт'!$F$85-7.5*'Расчёт'!$F$48*('Расчёт'!$C$281-'Расчёт'!$F$92)),IF('Расчёт'!$C$281&gt;'Расчёт'!$F$92,0.03*'Расчёт'!$F$20+5,0))</f>
        <v>17.92764807873785</v>
      </c>
      <c r="J281" s="12" t="n">
        <f>MAX('Расчёт'!$H$281,'Расчёт'!$I$281,ABS('Расчёт'!$G$281-('Расчёт'!$D$281+'Расчёт'!$E$281)))</f>
        <v>64.43978785714285</v>
      </c>
      <c r="K281" s="12" t="n">
        <f>MAX('Расчёт'!$F$40*('Расчёт'!$F$50+'Расчёт'!$F$86)*(MAX('Расчёт'!$F$96-'Расчёт'!$C$281,0)),'Расчёт'!$F$40*'Расчёт'!$F$50*((MAX('Расчёт'!$F$96-'Расчёт'!$C$281,0))+('Расчёт'!$F$94)*'Расчёт'!$F$87),'Расчёт'!$F$40*'Расчёт'!$F$50*((MAX('Расчёт'!$F$96-'Расчёт'!$C$281,0))+'Расчёт'!$F$98*'Расчёт'!$F$88),0.75*'Расчёт'!$F$40*'Расчёт'!$F$50*((MAX('Расчёт'!$F$96-'Расчёт'!$C$281,0))+'Расчёт'!$F$99),'Расчёт'!$F$40*'Расчёт'!$F$50*(MAX('Расчёт'!$F$96-'Расчёт'!$C$281,0))+'Расчёт'!$F$100)</f>
        <v>62.17017428571427</v>
      </c>
      <c r="L281" s="12" t="n">
        <f>MAX('Расчёт'!$K$281,'Расчёт'!$G$281)</f>
        <v>64.43978785714285</v>
      </c>
    </row>
    <row r="282" ht="17" customHeight="1" outlineLevel="1" hidden="1">
      <c r="A282" s="14" t="str">
        <v>ISA / 2</v>
      </c>
      <c r="B282" s="4"/>
      <c r="C282" s="12" t="n">
        <f>('Расчёт'!$K$605+'Расчёт'!$G$605/20)/100</f>
        <v>15.58</v>
      </c>
      <c r="D282" s="12" t="n">
        <f>10*MAX('Расчёт'!$F$91-'Расчёт'!$C$282,0)</f>
        <v>0</v>
      </c>
      <c r="E282" s="12" t="n">
        <f>MAX(0,IF('Расчёт'!$C$282&lt;='Расчёт'!$F$91,'Расчёт'!$F$85-1.5*'Расчёт'!$F$84*('Расчёт'!$F$91-'Расчёт'!$C$282)/'Расчёт'!$F$91,'Расчёт'!$F$85-7.5*'Расчёт'!$F$48*('Расчёт'!$C$282-'Расчёт'!$F$91)))</f>
        <v>5.552198078737849</v>
      </c>
      <c r="F282" s="12" t="n">
        <f>MAX('Расчёт'!$D$282-'Расчёт'!$E$282,0)</f>
        <v>0</v>
      </c>
      <c r="G282" s="12" t="n">
        <f>MAX('Расчёт'!$F$40*('Расчёт'!$F$50+'Расчёт'!$F$86)*(MAX('Расчёт'!$F$95-'Расчёт'!$C$282,0)),'Расчёт'!$F$40*'Расчёт'!$F$50*((MAX('Расчёт'!$F$95-'Расчёт'!$C$282,0))+('Расчёт'!$F$93)*'Расчёт'!$F$87),'Расчёт'!$F$40*'Расчёт'!$F$50*((MAX('Расчёт'!$F$95-'Расчёт'!$C$282,0))+'Расчёт'!$F$98*'Расчёт'!$F$88),0.75*'Расчёт'!$F$40*'Расчёт'!$F$50*((MAX('Расчёт'!$F$95-'Расчёт'!$C$282,0))+'Расчёт'!$F$99),'Расчёт'!$F$40*'Расчёт'!$F$50*(MAX('Расчёт'!$F$95-'Расчёт'!$C$282,0))+'Расчёт'!$F$100)</f>
        <v>46.541442857142854</v>
      </c>
      <c r="H282" s="12" t="n">
        <f>'Расчёт'!$G$282-'Расчёт'!$F$282</f>
        <v>46.541442857142854</v>
      </c>
      <c r="I282" s="12" t="n">
        <f>10*MAX('Расчёт'!$F$92-'Расчёт'!$C$282,0)+MAX(IF('Расчёт'!$C$282&lt;='Расчёт'!$F$92,'Расчёт'!$F$85-1.5*'Расчёт'!$F$84*('Расчёт'!$F$92-'Расчёт'!$C$282)/'Расчёт'!$F$92,'Расчёт'!$F$85-7.5*'Расчёт'!$F$48*('Расчёт'!$C$282-'Расчёт'!$F$92)),IF('Расчёт'!$C$282&gt;'Расчёт'!$F$92,0.03*'Расчёт'!$F$20+5,0))</f>
        <v>14.36319807873785</v>
      </c>
      <c r="J282" s="12" t="n">
        <f>MAX('Расчёт'!$H$282,'Расчёт'!$I$282,ABS('Расчёт'!$G$282-('Расчёт'!$D$282+'Расчёт'!$E$282)))</f>
        <v>46.541442857142854</v>
      </c>
      <c r="K282" s="12" t="n">
        <f>MAX('Расчёт'!$F$40*('Расчёт'!$F$50+'Расчёт'!$F$86)*(MAX('Расчёт'!$F$96-'Расчёт'!$C$282,0)),'Расчёт'!$F$40*'Расчёт'!$F$50*((MAX('Расчёт'!$F$96-'Расчёт'!$C$282,0))+('Расчёт'!$F$94)*'Расчёт'!$F$87),'Расчёт'!$F$40*'Расчёт'!$F$50*((MAX('Расчёт'!$F$96-'Расчёт'!$C$282,0))+'Расчёт'!$F$98*'Расчёт'!$F$88),0.75*'Расчёт'!$F$40*'Расчёт'!$F$50*((MAX('Расчёт'!$F$96-'Расчёт'!$C$282,0))+'Расчёт'!$F$99),'Расчёт'!$F$40*'Расчёт'!$F$50*(MAX('Расчёт'!$F$96-'Расчёт'!$C$282,0))+'Расчёт'!$F$100)</f>
        <v>44.271829285714276</v>
      </c>
      <c r="L282" s="12" t="n">
        <f>MAX('Расчёт'!$K$282,'Расчёт'!$G$282)</f>
        <v>46.541442857142854</v>
      </c>
    </row>
    <row r="283" ht="17" customHeight="1" outlineLevel="1" hidden="1">
      <c r="A283" s="14" t="str">
        <v>ISA / 3</v>
      </c>
      <c r="B283" s="4"/>
      <c r="C283" s="12" t="n">
        <f>MAX((('Расчёт'!$K$605-'Расчёт'!$G$605/20)/100),MIN((('Расчёт'!$K$605+'Расчёт'!$G$605/20)/100),'Расчёт'!$F$101))</f>
        <v>13.8</v>
      </c>
      <c r="D283" s="12" t="n">
        <f>10*MAX('Расчёт'!$F$91-'Расчёт'!$C$283,0)</f>
        <v>0</v>
      </c>
      <c r="E283" s="12" t="n">
        <f>MAX(0,IF('Расчёт'!$C$283&lt;='Расчёт'!$F$91,'Расчёт'!$F$85-1.5*'Расчёт'!$F$84*('Расчёт'!$F$91-'Расчёт'!$C$283)/'Расчёт'!$F$91,'Расчёт'!$F$85-7.5*'Расчёт'!$F$48*('Расчёт'!$C$283-'Расчёт'!$F$91)))</f>
        <v>9.11664807873785</v>
      </c>
      <c r="F283" s="12" t="n">
        <f>MAX('Расчёт'!$D$283-'Расчёт'!$E$283,0)</f>
        <v>0</v>
      </c>
      <c r="G283" s="12" t="n">
        <f>MAX('Расчёт'!$F$40*('Расчёт'!$F$50+'Расчёт'!$F$86)*(MAX('Расчёт'!$F$95-'Расчёт'!$C$283,0)),'Расчёт'!$F$40*'Расчёт'!$F$50*((MAX('Расчёт'!$F$95-'Расчёт'!$C$283,0))+('Расчёт'!$F$93)*'Расчёт'!$F$87),'Расчёт'!$F$40*'Расчёт'!$F$50*((MAX('Расчёт'!$F$95-'Расчёт'!$C$283,0))+'Расчёт'!$F$98*'Расчёт'!$F$88),0.75*'Расчёт'!$F$40*'Расчёт'!$F$50*((MAX('Расчёт'!$F$95-'Расчёт'!$C$283,0))+'Расчёт'!$F$99),'Расчёт'!$F$40*'Расчёт'!$F$50*(MAX('Расчёт'!$F$95-'Расчёт'!$C$283,0))+'Расчёт'!$F$100)</f>
        <v>64.43978785714285</v>
      </c>
      <c r="H283" s="12" t="n">
        <f>'Расчёт'!$G$283-'Расчёт'!$F$283</f>
        <v>64.43978785714285</v>
      </c>
      <c r="I283" s="12" t="n">
        <f>10*MAX('Расчёт'!$F$92-'Расчёт'!$C$283,0)+MAX(IF('Расчёт'!$C$283&lt;='Расчёт'!$F$92,'Расчёт'!$F$85-1.5*'Расчёт'!$F$84*('Расчёт'!$F$92-'Расчёт'!$C$283)/'Расчёт'!$F$92,'Расчёт'!$F$85-7.5*'Расчёт'!$F$48*('Расчёт'!$C$283-'Расчёт'!$F$92)),IF('Расчёт'!$C$283&gt;'Расчёт'!$F$92,0.03*'Расчёт'!$F$20+5,0))</f>
        <v>17.92764807873785</v>
      </c>
      <c r="J283" s="12" t="n">
        <f>MAX('Расчёт'!$H$283,'Расчёт'!$I$283,ABS('Расчёт'!$G$283-('Расчёт'!$D$283+'Расчёт'!$E$283)))</f>
        <v>64.43978785714285</v>
      </c>
      <c r="K283" s="12" t="n">
        <f>MAX('Расчёт'!$F$40*('Расчёт'!$F$50+'Расчёт'!$F$86)*(MAX('Расчёт'!$F$96-'Расчёт'!$C$283,0)),'Расчёт'!$F$40*'Расчёт'!$F$50*((MAX('Расчёт'!$F$96-'Расчёт'!$C$283,0))+('Расчёт'!$F$94)*'Расчёт'!$F$87),'Расчёт'!$F$40*'Расчёт'!$F$50*((MAX('Расчёт'!$F$96-'Расчёт'!$C$283,0))+'Расчёт'!$F$98*'Расчёт'!$F$88),0.75*'Расчёт'!$F$40*'Расчёт'!$F$50*((MAX('Расчёт'!$F$96-'Расчёт'!$C$283,0))+'Расчёт'!$F$99),'Расчёт'!$F$40*'Расчёт'!$F$50*(MAX('Расчёт'!$F$96-'Расчёт'!$C$283,0))+'Расчёт'!$F$100)</f>
        <v>62.17017428571427</v>
      </c>
      <c r="L283" s="12" t="n">
        <f>MAX('Расчёт'!$K$283,'Расчёт'!$G$283)</f>
        <v>64.43978785714285</v>
      </c>
    </row>
    <row r="284" ht="17" customHeight="1" outlineLevel="1" hidden="1">
      <c r="A284" s="14" t="str">
        <v>OF1 / 1</v>
      </c>
      <c r="B284" s="4"/>
      <c r="C284" s="12" t="n">
        <f>'Расчёт'!$D$124</f>
        <v>3.5</v>
      </c>
      <c r="D284" s="12" t="n">
        <f>10*MAX('Расчёт'!$F$91-'Расчёт'!$C$284,0)</f>
        <v>15</v>
      </c>
      <c r="E284" s="12" t="n">
        <f>MAX(0,IF('Расчёт'!$C$284&lt;='Расчёт'!$F$91,'Расчёт'!$F$85-1.5*'Расчёт'!$F$84*('Расчёт'!$F$91-'Расчёт'!$C$284)/'Расчёт'!$F$91,'Расчёт'!$F$85-7.5*'Расчёт'!$F$48*('Расчёт'!$C$284-'Расчёт'!$F$91)))</f>
        <v>22.72785086692717</v>
      </c>
      <c r="F284" s="12" t="n">
        <f>MAX('Расчёт'!$D$284-'Расчёт'!$E$284,0)</f>
        <v>0</v>
      </c>
      <c r="G284" s="12" t="n">
        <f>MAX('Расчёт'!$F$40*('Расчёт'!$F$50+'Расчёт'!$F$86)*(MAX('Расчёт'!$F$95-'Расчёт'!$C$284,0)),'Расчёт'!$F$40*'Расчёт'!$F$50*((MAX('Расчёт'!$F$95-'Расчёт'!$C$284,0))+('Расчёт'!$F$93)*'Расчёт'!$F$87),'Расчёт'!$F$40*'Расчёт'!$F$50*((MAX('Расчёт'!$F$95-'Расчёт'!$C$284,0))+'Расчёт'!$F$98*'Расчёт'!$F$88),0.75*'Расчёт'!$F$40*'Расчёт'!$F$50*((MAX('Расчёт'!$F$95-'Расчёт'!$C$284,0))+'Расчёт'!$F$99),'Расчёт'!$F$40*'Расчёт'!$F$50*(MAX('Расчёт'!$F$95-'Расчёт'!$C$284,0))+'Расчёт'!$F$100)</f>
        <v>168.00886285714284</v>
      </c>
      <c r="H284" s="12" t="n">
        <f>'Расчёт'!$G$284-'Расчёт'!$F$284</f>
        <v>168.00886285714284</v>
      </c>
      <c r="I284" s="12" t="n">
        <f>10*MAX('Расчёт'!$F$92-'Расчёт'!$C$284,0)+MAX(IF('Расчёт'!$C$284&lt;='Расчёт'!$F$92,'Расчёт'!$F$85-1.5*'Расчёт'!$F$84*('Расчёт'!$F$92-'Расчёт'!$C$284)/'Расчёт'!$F$92,'Расчёт'!$F$85-7.5*'Расчёт'!$F$48*('Расчёт'!$C$284-'Расчёт'!$F$92)),IF('Расчёт'!$C$284&gt;'Расчёт'!$F$92,0.03*'Расчёт'!$F$20+5,0))</f>
        <v>77.34726384126161</v>
      </c>
      <c r="J284" s="12" t="n">
        <f>MAX('Расчёт'!$H$284,'Расчёт'!$I$284,ABS('Расчёт'!$G$284-('Расчёт'!$D$284+'Расчёт'!$E$284)))</f>
        <v>168.00886285714284</v>
      </c>
      <c r="K284" s="12" t="n">
        <f>MAX('Расчёт'!$F$40*('Расчёт'!$F$50+'Расчёт'!$F$86)*(MAX('Расчёт'!$F$96-'Расчёт'!$C$284,0)),'Расчёт'!$F$40*'Расчёт'!$F$50*((MAX('Расчёт'!$F$96-'Расчёт'!$C$284,0))+('Расчёт'!$F$94)*'Расчёт'!$F$87),'Расчёт'!$F$40*'Расчёт'!$F$50*((MAX('Расчёт'!$F$96-'Расчёт'!$C$284,0))+'Расчёт'!$F$98*'Расчёт'!$F$88),0.75*'Расчёт'!$F$40*'Расчёт'!$F$50*((MAX('Расчёт'!$F$96-'Расчёт'!$C$284,0))+'Расчёт'!$F$99),'Расчёт'!$F$40*'Расчёт'!$F$50*(MAX('Расчёт'!$F$96-'Расчёт'!$C$284,0))+'Расчёт'!$F$100)</f>
        <v>165.73924928571427</v>
      </c>
      <c r="L284" s="12" t="n">
        <f>MAX('Расчёт'!$K$284,'Расчёт'!$G$284)</f>
        <v>168.00886285714284</v>
      </c>
    </row>
    <row r="285" ht="17" customHeight="1" outlineLevel="1" hidden="1">
      <c r="A285" s="14" t="str">
        <v>OF1 / 2</v>
      </c>
      <c r="B285" s="4"/>
      <c r="C285" s="12" t="n">
        <f>'Расчёт'!$D$124</f>
        <v>3.5</v>
      </c>
      <c r="D285" s="12" t="n">
        <f>10*MAX('Расчёт'!$F$91-'Расчёт'!$C$285,0)</f>
        <v>15</v>
      </c>
      <c r="E285" s="12" t="n">
        <f>MAX(0,IF('Расчёт'!$C$285&lt;='Расчёт'!$F$91,'Расчёт'!$F$85-1.5*'Расчёт'!$F$84*('Расчёт'!$F$91-'Расчёт'!$C$285)/'Расчёт'!$F$91,'Расчёт'!$F$85-7.5*'Расчёт'!$F$48*('Расчёт'!$C$285-'Расчёт'!$F$91)))</f>
        <v>22.72785086692717</v>
      </c>
      <c r="F285" s="12" t="n">
        <f>MAX('Расчёт'!$D$285-'Расчёт'!$E$285,0)</f>
        <v>0</v>
      </c>
      <c r="G285" s="12" t="n">
        <f>MAX('Расчёт'!$F$40*('Расчёт'!$F$50+'Расчёт'!$F$86)*(MAX('Расчёт'!$F$95-'Расчёт'!$C$285,0)),'Расчёт'!$F$40*'Расчёт'!$F$50*((MAX('Расчёт'!$F$95-'Расчёт'!$C$285,0))+('Расчёт'!$F$93)*'Расчёт'!$F$87),'Расчёт'!$F$40*'Расчёт'!$F$50*((MAX('Расчёт'!$F$95-'Расчёт'!$C$285,0))+'Расчёт'!$F$98*'Расчёт'!$F$88),0.75*'Расчёт'!$F$40*'Расчёт'!$F$50*((MAX('Расчёт'!$F$95-'Расчёт'!$C$285,0))+'Расчёт'!$F$99),'Расчёт'!$F$40*'Расчёт'!$F$50*(MAX('Расчёт'!$F$95-'Расчёт'!$C$285,0))+'Расчёт'!$F$100)</f>
        <v>168.00886285714284</v>
      </c>
      <c r="H285" s="12" t="n">
        <f>'Расчёт'!$G$285-'Расчёт'!$F$285</f>
        <v>168.00886285714284</v>
      </c>
      <c r="I285" s="12" t="n">
        <f>10*MAX('Расчёт'!$F$92-'Расчёт'!$C$285,0)+MAX(IF('Расчёт'!$C$285&lt;='Расчёт'!$F$92,'Расчёт'!$F$85-1.5*'Расчёт'!$F$84*('Расчёт'!$F$92-'Расчёт'!$C$285)/'Расчёт'!$F$92,'Расчёт'!$F$85-7.5*'Расчёт'!$F$48*('Расчёт'!$C$285-'Расчёт'!$F$92)),IF('Расчёт'!$C$285&gt;'Расчёт'!$F$92,0.03*'Расчёт'!$F$20+5,0))</f>
        <v>77.34726384126161</v>
      </c>
      <c r="J285" s="12" t="n">
        <f>MAX('Расчёт'!$H$285,'Расчёт'!$I$285,ABS('Расчёт'!$G$285-('Расчёт'!$D$285+'Расчёт'!$E$285)))</f>
        <v>168.00886285714284</v>
      </c>
      <c r="K285" s="12" t="n">
        <f>MAX('Расчёт'!$F$40*('Расчёт'!$F$50+'Расчёт'!$F$86)*(MAX('Расчёт'!$F$96-'Расчёт'!$C$285,0)),'Расчёт'!$F$40*'Расчёт'!$F$50*((MAX('Расчёт'!$F$96-'Расчёт'!$C$285,0))+('Расчёт'!$F$94)*'Расчёт'!$F$87),'Расчёт'!$F$40*'Расчёт'!$F$50*((MAX('Расчёт'!$F$96-'Расчёт'!$C$285,0))+'Расчёт'!$F$98*'Расчёт'!$F$88),0.75*'Расчёт'!$F$40*'Расчёт'!$F$50*((MAX('Расчёт'!$F$96-'Расчёт'!$C$285,0))+'Расчёт'!$F$99),'Расчёт'!$F$40*'Расчёт'!$F$50*(MAX('Расчёт'!$F$96-'Расчёт'!$C$285,0))+'Расчёт'!$F$100)</f>
        <v>165.73924928571427</v>
      </c>
      <c r="L285" s="12" t="n">
        <f>MAX('Расчёт'!$K$285,'Расчёт'!$G$285)</f>
        <v>168.00886285714284</v>
      </c>
    </row>
    <row r="286" ht="17" customHeight="1" outlineLevel="1" hidden="1">
      <c r="A286" s="14" t="str">
        <v>OF1 / 3</v>
      </c>
      <c r="B286" s="4"/>
      <c r="C286" s="12" t="n">
        <f>MAX(('Расчёт'!$D$124),MIN(('Расчёт'!$D$124),'Расчёт'!$F$101))</f>
        <v>3.5</v>
      </c>
      <c r="D286" s="12" t="n">
        <f>10*MAX('Расчёт'!$F$91-'Расчёт'!$C$286,0)</f>
        <v>15</v>
      </c>
      <c r="E286" s="12" t="n">
        <f>MAX(0,IF('Расчёт'!$C$286&lt;='Расчёт'!$F$91,'Расчёт'!$F$85-1.5*'Расчёт'!$F$84*('Расчёт'!$F$91-'Расчёт'!$C$286)/'Расчёт'!$F$91,'Расчёт'!$F$85-7.5*'Расчёт'!$F$48*('Расчёт'!$C$286-'Расчёт'!$F$91)))</f>
        <v>22.72785086692717</v>
      </c>
      <c r="F286" s="12" t="n">
        <f>MAX('Расчёт'!$D$286-'Расчёт'!$E$286,0)</f>
        <v>0</v>
      </c>
      <c r="G286" s="12" t="n">
        <f>MAX('Расчёт'!$F$40*('Расчёт'!$F$50+'Расчёт'!$F$86)*(MAX('Расчёт'!$F$95-'Расчёт'!$C$286,0)),'Расчёт'!$F$40*'Расчёт'!$F$50*((MAX('Расчёт'!$F$95-'Расчёт'!$C$286,0))+('Расчёт'!$F$93)*'Расчёт'!$F$87),'Расчёт'!$F$40*'Расчёт'!$F$50*((MAX('Расчёт'!$F$95-'Расчёт'!$C$286,0))+'Расчёт'!$F$98*'Расчёт'!$F$88),0.75*'Расчёт'!$F$40*'Расчёт'!$F$50*((MAX('Расчёт'!$F$95-'Расчёт'!$C$286,0))+'Расчёт'!$F$99),'Расчёт'!$F$40*'Расчёт'!$F$50*(MAX('Расчёт'!$F$95-'Расчёт'!$C$286,0))+'Расчёт'!$F$100)</f>
        <v>168.00886285714284</v>
      </c>
      <c r="H286" s="12" t="n">
        <f>'Расчёт'!$G$286-'Расчёт'!$F$286</f>
        <v>168.00886285714284</v>
      </c>
      <c r="I286" s="12" t="n">
        <f>10*MAX('Расчёт'!$F$92-'Расчёт'!$C$286,0)+MAX(IF('Расчёт'!$C$286&lt;='Расчёт'!$F$92,'Расчёт'!$F$85-1.5*'Расчёт'!$F$84*('Расчёт'!$F$92-'Расчёт'!$C$286)/'Расчёт'!$F$92,'Расчёт'!$F$85-7.5*'Расчёт'!$F$48*('Расчёт'!$C$286-'Расчёт'!$F$92)),IF('Расчёт'!$C$286&gt;'Расчёт'!$F$92,0.03*'Расчёт'!$F$20+5,0))</f>
        <v>77.34726384126161</v>
      </c>
      <c r="J286" s="12" t="n">
        <f>MAX('Расчёт'!$H$286,'Расчёт'!$I$286,ABS('Расчёт'!$G$286-('Расчёт'!$D$286+'Расчёт'!$E$286)))</f>
        <v>168.00886285714284</v>
      </c>
      <c r="K286" s="12" t="n">
        <f>MAX('Расчёт'!$F$40*('Расчёт'!$F$50+'Расчёт'!$F$86)*(MAX('Расчёт'!$F$96-'Расчёт'!$C$286,0)),'Расчёт'!$F$40*'Расчёт'!$F$50*((MAX('Расчёт'!$F$96-'Расчёт'!$C$286,0))+('Расчёт'!$F$94)*'Расчёт'!$F$87),'Расчёт'!$F$40*'Расчёт'!$F$50*((MAX('Расчёт'!$F$96-'Расчёт'!$C$286,0))+'Расчёт'!$F$98*'Расчёт'!$F$88),0.75*'Расчёт'!$F$40*'Расчёт'!$F$50*((MAX('Расчёт'!$F$96-'Расчёт'!$C$286,0))+'Расчёт'!$F$99),'Расчёт'!$F$40*'Расчёт'!$F$50*(MAX('Расчёт'!$F$96-'Расчёт'!$C$286,0))+'Расчёт'!$F$100)</f>
        <v>165.73924928571427</v>
      </c>
      <c r="L286" s="12" t="n">
        <f>MAX('Расчёт'!$K$286,'Расчёт'!$G$286)</f>
        <v>168.00886285714284</v>
      </c>
    </row>
    <row r="287" ht="17" customHeight="1" outlineLevel="1" hidden="1">
      <c r="A287" s="14" t="str">
        <v>OF2 / 1</v>
      </c>
      <c r="B287" s="4"/>
      <c r="C287" s="12" t="n">
        <f>'Расчёт'!$D$125</f>
        <v>6.9</v>
      </c>
      <c r="D287" s="12" t="n">
        <f>10*MAX('Расчёт'!$F$91-'Расчёт'!$C$287,0)</f>
        <v>0</v>
      </c>
      <c r="E287" s="12" t="n">
        <f>MAX(0,IF('Расчёт'!$C$287&lt;='Расчёт'!$F$91,'Расчёт'!$F$85-1.5*'Расчёт'!$F$84*('Расчёт'!$F$91-'Расчёт'!$C$287)/'Расчёт'!$F$91,'Расчёт'!$F$85-7.5*'Расчёт'!$F$48*('Расчёт'!$C$287-'Расчёт'!$F$91)))</f>
        <v>22.933898078737847</v>
      </c>
      <c r="F287" s="12" t="n">
        <f>MAX('Расчёт'!$D$287-'Расчёт'!$E$287,0)</f>
        <v>0</v>
      </c>
      <c r="G287" s="12" t="n">
        <f>MAX('Расчёт'!$F$40*('Расчёт'!$F$50+'Расчёт'!$F$86)*(MAX('Расчёт'!$F$95-'Расчёт'!$C$287,0)),'Расчёт'!$F$40*'Расчёт'!$F$50*((MAX('Расчёт'!$F$95-'Расчёт'!$C$287,0))+('Расчёт'!$F$93)*'Расчёт'!$F$87),'Расчёт'!$F$40*'Расчёт'!$F$50*((MAX('Расчёт'!$F$95-'Расчёт'!$C$287,0))+'Расчёт'!$F$98*'Расчёт'!$F$88),0.75*'Расчёт'!$F$40*'Расчёт'!$F$50*((MAX('Расчёт'!$F$95-'Расчёт'!$C$287,0))+'Расчёт'!$F$99),'Расчёт'!$F$40*'Расчёт'!$F$50*(MAX('Расчёт'!$F$95-'Расчёт'!$C$287,0))+'Расчёт'!$F$100)</f>
        <v>133.82101285714285</v>
      </c>
      <c r="H287" s="12" t="n">
        <f>'Расчёт'!$G$287-'Расчёт'!$F$287</f>
        <v>133.82101285714285</v>
      </c>
      <c r="I287" s="12" t="n">
        <f>10*MAX('Расчёт'!$F$92-'Расчёт'!$C$287,0)+MAX(IF('Расчёт'!$C$287&lt;='Расчёт'!$F$92,'Расчёт'!$F$85-1.5*'Расчёт'!$F$84*('Расчёт'!$F$92-'Расчёт'!$C$287)/'Расчёт'!$F$92,'Расчёт'!$F$85-7.5*'Расчёт'!$F$48*('Расчёт'!$C$287-'Расчёт'!$F$92)),IF('Расчёт'!$C$287&gt;'Расчёт'!$F$92,0.03*'Расчёт'!$F$20+5,0))</f>
        <v>48.18297679167165</v>
      </c>
      <c r="J287" s="12" t="n">
        <f>MAX('Расчёт'!$H$287,'Расчёт'!$I$287,ABS('Расчёт'!$G$287-('Расчёт'!$D$287+'Расчёт'!$E$287)))</f>
        <v>133.82101285714285</v>
      </c>
      <c r="K287" s="12" t="n">
        <f>MAX('Расчёт'!$F$40*('Расчёт'!$F$50+'Расчёт'!$F$86)*(MAX('Расчёт'!$F$96-'Расчёт'!$C$287,0)),'Расчёт'!$F$40*'Расчёт'!$F$50*((MAX('Расчёт'!$F$96-'Расчёт'!$C$287,0))+('Расчёт'!$F$94)*'Расчёт'!$F$87),'Расчёт'!$F$40*'Расчёт'!$F$50*((MAX('Расчёт'!$F$96-'Расчёт'!$C$287,0))+'Расчёт'!$F$98*'Расчёт'!$F$88),0.75*'Расчёт'!$F$40*'Расчёт'!$F$50*((MAX('Расчёт'!$F$96-'Расчёт'!$C$287,0))+'Расчёт'!$F$99),'Расчёт'!$F$40*'Расчёт'!$F$50*(MAX('Расчёт'!$F$96-'Расчёт'!$C$287,0))+'Расчёт'!$F$100)</f>
        <v>131.55139928571427</v>
      </c>
      <c r="L287" s="12" t="n">
        <f>MAX('Расчёт'!$K$287,'Расчёт'!$G$287)</f>
        <v>133.82101285714285</v>
      </c>
    </row>
    <row r="288" ht="17" customHeight="1" outlineLevel="1" hidden="1">
      <c r="A288" s="14" t="str">
        <v>OF2 / 2</v>
      </c>
      <c r="B288" s="4"/>
      <c r="C288" s="12" t="n">
        <f>'Расчёт'!$D$125</f>
        <v>6.9</v>
      </c>
      <c r="D288" s="12" t="n">
        <f>10*MAX('Расчёт'!$F$91-'Расчёт'!$C$288,0)</f>
        <v>0</v>
      </c>
      <c r="E288" s="12" t="n">
        <f>MAX(0,IF('Расчёт'!$C$288&lt;='Расчёт'!$F$91,'Расчёт'!$F$85-1.5*'Расчёт'!$F$84*('Расчёт'!$F$91-'Расчёт'!$C$288)/'Расчёт'!$F$91,'Расчёт'!$F$85-7.5*'Расчёт'!$F$48*('Расчёт'!$C$288-'Расчёт'!$F$91)))</f>
        <v>22.933898078737847</v>
      </c>
      <c r="F288" s="12" t="n">
        <f>MAX('Расчёт'!$D$288-'Расчёт'!$E$288,0)</f>
        <v>0</v>
      </c>
      <c r="G288" s="12" t="n">
        <f>MAX('Расчёт'!$F$40*('Расчёт'!$F$50+'Расчёт'!$F$86)*(MAX('Расчёт'!$F$95-'Расчёт'!$C$288,0)),'Расчёт'!$F$40*'Расчёт'!$F$50*((MAX('Расчёт'!$F$95-'Расчёт'!$C$288,0))+('Расчёт'!$F$93)*'Расчёт'!$F$87),'Расчёт'!$F$40*'Расчёт'!$F$50*((MAX('Расчёт'!$F$95-'Расчёт'!$C$288,0))+'Расчёт'!$F$98*'Расчёт'!$F$88),0.75*'Расчёт'!$F$40*'Расчёт'!$F$50*((MAX('Расчёт'!$F$95-'Расчёт'!$C$288,0))+'Расчёт'!$F$99),'Расчёт'!$F$40*'Расчёт'!$F$50*(MAX('Расчёт'!$F$95-'Расчёт'!$C$288,0))+'Расчёт'!$F$100)</f>
        <v>133.82101285714285</v>
      </c>
      <c r="H288" s="12" t="n">
        <f>'Расчёт'!$G$288-'Расчёт'!$F$288</f>
        <v>133.82101285714285</v>
      </c>
      <c r="I288" s="12" t="n">
        <f>10*MAX('Расчёт'!$F$92-'Расчёт'!$C$288,0)+MAX(IF('Расчёт'!$C$288&lt;='Расчёт'!$F$92,'Расчёт'!$F$85-1.5*'Расчёт'!$F$84*('Расчёт'!$F$92-'Расчёт'!$C$288)/'Расчёт'!$F$92,'Расчёт'!$F$85-7.5*'Расчёт'!$F$48*('Расчёт'!$C$288-'Расчёт'!$F$92)),IF('Расчёт'!$C$288&gt;'Расчёт'!$F$92,0.03*'Расчёт'!$F$20+5,0))</f>
        <v>48.18297679167165</v>
      </c>
      <c r="J288" s="12" t="n">
        <f>MAX('Расчёт'!$H$288,'Расчёт'!$I$288,ABS('Расчёт'!$G$288-('Расчёт'!$D$288+'Расчёт'!$E$288)))</f>
        <v>133.82101285714285</v>
      </c>
      <c r="K288" s="12" t="n">
        <f>MAX('Расчёт'!$F$40*('Расчёт'!$F$50+'Расчёт'!$F$86)*(MAX('Расчёт'!$F$96-'Расчёт'!$C$288,0)),'Расчёт'!$F$40*'Расчёт'!$F$50*((MAX('Расчёт'!$F$96-'Расчёт'!$C$288,0))+('Расчёт'!$F$94)*'Расчёт'!$F$87),'Расчёт'!$F$40*'Расчёт'!$F$50*((MAX('Расчёт'!$F$96-'Расчёт'!$C$288,0))+'Расчёт'!$F$98*'Расчёт'!$F$88),0.75*'Расчёт'!$F$40*'Расчёт'!$F$50*((MAX('Расчёт'!$F$96-'Расчёт'!$C$288,0))+'Расчёт'!$F$99),'Расчёт'!$F$40*'Расчёт'!$F$50*(MAX('Расчёт'!$F$96-'Расчёт'!$C$288,0))+'Расчёт'!$F$100)</f>
        <v>131.55139928571427</v>
      </c>
      <c r="L288" s="12" t="n">
        <f>MAX('Расчёт'!$K$288,'Расчёт'!$G$288)</f>
        <v>133.82101285714285</v>
      </c>
    </row>
    <row r="289" ht="17" customHeight="1" outlineLevel="1" hidden="1">
      <c r="A289" s="14" t="str">
        <v>OF2 / 3</v>
      </c>
      <c r="B289" s="4"/>
      <c r="C289" s="12" t="n">
        <f>MAX(('Расчёт'!$D$125),MIN(('Расчёт'!$D$125),'Расчёт'!$F$101))</f>
        <v>6.9</v>
      </c>
      <c r="D289" s="12" t="n">
        <f>10*MAX('Расчёт'!$F$91-'Расчёт'!$C$289,0)</f>
        <v>0</v>
      </c>
      <c r="E289" s="12" t="n">
        <f>MAX(0,IF('Расчёт'!$C$289&lt;='Расчёт'!$F$91,'Расчёт'!$F$85-1.5*'Расчёт'!$F$84*('Расчёт'!$F$91-'Расчёт'!$C$289)/'Расчёт'!$F$91,'Расчёт'!$F$85-7.5*'Расчёт'!$F$48*('Расчёт'!$C$289-'Расчёт'!$F$91)))</f>
        <v>22.933898078737847</v>
      </c>
      <c r="F289" s="12" t="n">
        <f>MAX('Расчёт'!$D$289-'Расчёт'!$E$289,0)</f>
        <v>0</v>
      </c>
      <c r="G289" s="12" t="n">
        <f>MAX('Расчёт'!$F$40*('Расчёт'!$F$50+'Расчёт'!$F$86)*(MAX('Расчёт'!$F$95-'Расчёт'!$C$289,0)),'Расчёт'!$F$40*'Расчёт'!$F$50*((MAX('Расчёт'!$F$95-'Расчёт'!$C$289,0))+('Расчёт'!$F$93)*'Расчёт'!$F$87),'Расчёт'!$F$40*'Расчёт'!$F$50*((MAX('Расчёт'!$F$95-'Расчёт'!$C$289,0))+'Расчёт'!$F$98*'Расчёт'!$F$88),0.75*'Расчёт'!$F$40*'Расчёт'!$F$50*((MAX('Расчёт'!$F$95-'Расчёт'!$C$289,0))+'Расчёт'!$F$99),'Расчёт'!$F$40*'Расчёт'!$F$50*(MAX('Расчёт'!$F$95-'Расчёт'!$C$289,0))+'Расчёт'!$F$100)</f>
        <v>133.82101285714285</v>
      </c>
      <c r="H289" s="12" t="n">
        <f>'Расчёт'!$G$289-'Расчёт'!$F$289</f>
        <v>133.82101285714285</v>
      </c>
      <c r="I289" s="12" t="n">
        <f>10*MAX('Расчёт'!$F$92-'Расчёт'!$C$289,0)+MAX(IF('Расчёт'!$C$289&lt;='Расчёт'!$F$92,'Расчёт'!$F$85-1.5*'Расчёт'!$F$84*('Расчёт'!$F$92-'Расчёт'!$C$289)/'Расчёт'!$F$92,'Расчёт'!$F$85-7.5*'Расчёт'!$F$48*('Расчёт'!$C$289-'Расчёт'!$F$92)),IF('Расчёт'!$C$289&gt;'Расчёт'!$F$92,0.03*'Расчёт'!$F$20+5,0))</f>
        <v>48.18297679167165</v>
      </c>
      <c r="J289" s="12" t="n">
        <f>MAX('Расчёт'!$H$289,'Расчёт'!$I$289,ABS('Расчёт'!$G$289-('Расчёт'!$D$289+'Расчёт'!$E$289)))</f>
        <v>133.82101285714285</v>
      </c>
      <c r="K289" s="12" t="n">
        <f>MAX('Расчёт'!$F$40*('Расчёт'!$F$50+'Расчёт'!$F$86)*(MAX('Расчёт'!$F$96-'Расчёт'!$C$289,0)),'Расчёт'!$F$40*'Расчёт'!$F$50*((MAX('Расчёт'!$F$96-'Расчёт'!$C$289,0))+('Расчёт'!$F$94)*'Расчёт'!$F$87),'Расчёт'!$F$40*'Расчёт'!$F$50*((MAX('Расчёт'!$F$96-'Расчёт'!$C$289,0))+'Расчёт'!$F$98*'Расчёт'!$F$88),0.75*'Расчёт'!$F$40*'Расчёт'!$F$50*((MAX('Расчёт'!$F$96-'Расчёт'!$C$289,0))+'Расчёт'!$F$99),'Расчёт'!$F$40*'Расчёт'!$F$50*(MAX('Расчёт'!$F$96-'Расчёт'!$C$289,0))+'Расчёт'!$F$100)</f>
        <v>131.55139928571427</v>
      </c>
      <c r="L289" s="12" t="n">
        <f>MAX('Расчёт'!$K$289,'Расчёт'!$G$289)</f>
        <v>133.82101285714285</v>
      </c>
    </row>
    <row r="290" ht="17" customHeight="1" outlineLevel="1" hidden="1">
      <c r="A290" s="14" t="str">
        <v>OF3 / 1</v>
      </c>
      <c r="B290" s="4"/>
      <c r="C290" s="12" t="n">
        <f>'Расчёт'!$D$126</f>
        <v>10.3</v>
      </c>
      <c r="D290" s="12" t="n">
        <f>10*MAX('Расчёт'!$F$91-'Расчёт'!$C$290,0)</f>
        <v>0</v>
      </c>
      <c r="E290" s="12" t="n">
        <f>MAX(0,IF('Расчёт'!$C$290&lt;='Расчёт'!$F$91,'Расчёт'!$F$85-1.5*'Расчёт'!$F$84*('Расчёт'!$F$91-'Расчёт'!$C$290)/'Расчёт'!$F$91,'Расчёт'!$F$85-7.5*'Расчёт'!$F$48*('Расчёт'!$C$290-'Расчёт'!$F$91)))</f>
        <v>16.12539807873785</v>
      </c>
      <c r="F290" s="12" t="n">
        <f>MAX('Расчёт'!$D$290-'Расчёт'!$E$290,0)</f>
        <v>0</v>
      </c>
      <c r="G290" s="12" t="n">
        <f>MAX('Расчёт'!$F$40*('Расчёт'!$F$50+'Расчёт'!$F$86)*(MAX('Расчёт'!$F$95-'Расчёт'!$C$290,0)),'Расчёт'!$F$40*'Расчёт'!$F$50*((MAX('Расчёт'!$F$95-'Расчёт'!$C$290,0))+('Расчёт'!$F$93)*'Расчёт'!$F$87),'Расчёт'!$F$40*'Расчёт'!$F$50*((MAX('Расчёт'!$F$95-'Расчёт'!$C$290,0))+'Расчёт'!$F$98*'Расчёт'!$F$88),0.75*'Расчёт'!$F$40*'Расчёт'!$F$50*((MAX('Расчёт'!$F$95-'Расчёт'!$C$290,0))+'Расчёт'!$F$99),'Расчёт'!$F$40*'Расчёт'!$F$50*(MAX('Расчёт'!$F$95-'Расчёт'!$C$290,0))+'Расчёт'!$F$100)</f>
        <v>99.63316285714284</v>
      </c>
      <c r="H290" s="12" t="n">
        <f>'Расчёт'!$G$290-'Расчёт'!$F$290</f>
        <v>99.63316285714284</v>
      </c>
      <c r="I290" s="12" t="n">
        <f>10*MAX('Расчёт'!$F$92-'Расчёт'!$C$290,0)+MAX(IF('Расчёт'!$C$290&lt;='Расчёт'!$F$92,'Расчёт'!$F$85-1.5*'Расчёт'!$F$84*('Расчёт'!$F$92-'Расчёт'!$C$290)/'Расчёт'!$F$92,'Расчёт'!$F$85-7.5*'Расчёт'!$F$48*('Расчёт'!$C$290-'Расчёт'!$F$92)),IF('Расчёт'!$C$290&gt;'Расчёт'!$F$92,0.03*'Расчёт'!$F$20+5,0))</f>
        <v>24.93639807873785</v>
      </c>
      <c r="J290" s="12" t="n">
        <f>MAX('Расчёт'!$H$290,'Расчёт'!$I$290,ABS('Расчёт'!$G$290-('Расчёт'!$D$290+'Расчёт'!$E$290)))</f>
        <v>99.63316285714284</v>
      </c>
      <c r="K290" s="12" t="n">
        <f>MAX('Расчёт'!$F$40*('Расчёт'!$F$50+'Расчёт'!$F$86)*(MAX('Расчёт'!$F$96-'Расчёт'!$C$290,0)),'Расчёт'!$F$40*'Расчёт'!$F$50*((MAX('Расчёт'!$F$96-'Расчёт'!$C$290,0))+('Расчёт'!$F$94)*'Расчёт'!$F$87),'Расчёт'!$F$40*'Расчёт'!$F$50*((MAX('Расчёт'!$F$96-'Расчёт'!$C$290,0))+'Расчёт'!$F$98*'Расчёт'!$F$88),0.75*'Расчёт'!$F$40*'Расчёт'!$F$50*((MAX('Расчёт'!$F$96-'Расчёт'!$C$290,0))+'Расчёт'!$F$99),'Расчёт'!$F$40*'Расчёт'!$F$50*(MAX('Расчёт'!$F$96-'Расчёт'!$C$290,0))+'Расчёт'!$F$100)</f>
        <v>97.36354928571426</v>
      </c>
      <c r="L290" s="12" t="n">
        <f>MAX('Расчёт'!$K$290,'Расчёт'!$G$290)</f>
        <v>99.63316285714284</v>
      </c>
    </row>
    <row r="291" ht="17" customHeight="1" outlineLevel="1" hidden="1">
      <c r="A291" s="14" t="str">
        <v>OF3 / 2</v>
      </c>
      <c r="B291" s="4"/>
      <c r="C291" s="12" t="n">
        <f>'Расчёт'!$D$126</f>
        <v>10.3</v>
      </c>
      <c r="D291" s="12" t="n">
        <f>10*MAX('Расчёт'!$F$91-'Расчёт'!$C$291,0)</f>
        <v>0</v>
      </c>
      <c r="E291" s="12" t="n">
        <f>MAX(0,IF('Расчёт'!$C$291&lt;='Расчёт'!$F$91,'Расчёт'!$F$85-1.5*'Расчёт'!$F$84*('Расчёт'!$F$91-'Расчёт'!$C$291)/'Расчёт'!$F$91,'Расчёт'!$F$85-7.5*'Расчёт'!$F$48*('Расчёт'!$C$291-'Расчёт'!$F$91)))</f>
        <v>16.12539807873785</v>
      </c>
      <c r="F291" s="12" t="n">
        <f>MAX('Расчёт'!$D$291-'Расчёт'!$E$291,0)</f>
        <v>0</v>
      </c>
      <c r="G291" s="12" t="n">
        <f>MAX('Расчёт'!$F$40*('Расчёт'!$F$50+'Расчёт'!$F$86)*(MAX('Расчёт'!$F$95-'Расчёт'!$C$291,0)),'Расчёт'!$F$40*'Расчёт'!$F$50*((MAX('Расчёт'!$F$95-'Расчёт'!$C$291,0))+('Расчёт'!$F$93)*'Расчёт'!$F$87),'Расчёт'!$F$40*'Расчёт'!$F$50*((MAX('Расчёт'!$F$95-'Расчёт'!$C$291,0))+'Расчёт'!$F$98*'Расчёт'!$F$88),0.75*'Расчёт'!$F$40*'Расчёт'!$F$50*((MAX('Расчёт'!$F$95-'Расчёт'!$C$291,0))+'Расчёт'!$F$99),'Расчёт'!$F$40*'Расчёт'!$F$50*(MAX('Расчёт'!$F$95-'Расчёт'!$C$291,0))+'Расчёт'!$F$100)</f>
        <v>99.63316285714284</v>
      </c>
      <c r="H291" s="12" t="n">
        <f>'Расчёт'!$G$291-'Расчёт'!$F$291</f>
        <v>99.63316285714284</v>
      </c>
      <c r="I291" s="12" t="n">
        <f>10*MAX('Расчёт'!$F$92-'Расчёт'!$C$291,0)+MAX(IF('Расчёт'!$C$291&lt;='Расчёт'!$F$92,'Расчёт'!$F$85-1.5*'Расчёт'!$F$84*('Расчёт'!$F$92-'Расчёт'!$C$291)/'Расчёт'!$F$92,'Расчёт'!$F$85-7.5*'Расчёт'!$F$48*('Расчёт'!$C$291-'Расчёт'!$F$92)),IF('Расчёт'!$C$291&gt;'Расчёт'!$F$92,0.03*'Расчёт'!$F$20+5,0))</f>
        <v>24.93639807873785</v>
      </c>
      <c r="J291" s="12" t="n">
        <f>MAX('Расчёт'!$H$291,'Расчёт'!$I$291,ABS('Расчёт'!$G$291-('Расчёт'!$D$291+'Расчёт'!$E$291)))</f>
        <v>99.63316285714284</v>
      </c>
      <c r="K291" s="12" t="n">
        <f>MAX('Расчёт'!$F$40*('Расчёт'!$F$50+'Расчёт'!$F$86)*(MAX('Расчёт'!$F$96-'Расчёт'!$C$291,0)),'Расчёт'!$F$40*'Расчёт'!$F$50*((MAX('Расчёт'!$F$96-'Расчёт'!$C$291,0))+('Расчёт'!$F$94)*'Расчёт'!$F$87),'Расчёт'!$F$40*'Расчёт'!$F$50*((MAX('Расчёт'!$F$96-'Расчёт'!$C$291,0))+'Расчёт'!$F$98*'Расчёт'!$F$88),0.75*'Расчёт'!$F$40*'Расчёт'!$F$50*((MAX('Расчёт'!$F$96-'Расчёт'!$C$291,0))+'Расчёт'!$F$99),'Расчёт'!$F$40*'Расчёт'!$F$50*(MAX('Расчёт'!$F$96-'Расчёт'!$C$291,0))+'Расчёт'!$F$100)</f>
        <v>97.36354928571426</v>
      </c>
      <c r="L291" s="12" t="n">
        <f>MAX('Расчёт'!$K$291,'Расчёт'!$G$291)</f>
        <v>99.63316285714284</v>
      </c>
    </row>
    <row r="292" ht="17" customHeight="1" outlineLevel="1" hidden="1">
      <c r="A292" s="14" t="str">
        <v>OF3 / 3</v>
      </c>
      <c r="B292" s="4"/>
      <c r="C292" s="12" t="n">
        <f>MAX(('Расчёт'!$D$126),MIN(('Расчёт'!$D$126),'Расчёт'!$F$101))</f>
        <v>10.3</v>
      </c>
      <c r="D292" s="12" t="n">
        <f>10*MAX('Расчёт'!$F$91-'Расчёт'!$C$292,0)</f>
        <v>0</v>
      </c>
      <c r="E292" s="12" t="n">
        <f>MAX(0,IF('Расчёт'!$C$292&lt;='Расчёт'!$F$91,'Расчёт'!$F$85-1.5*'Расчёт'!$F$84*('Расчёт'!$F$91-'Расчёт'!$C$292)/'Расчёт'!$F$91,'Расчёт'!$F$85-7.5*'Расчёт'!$F$48*('Расчёт'!$C$292-'Расчёт'!$F$91)))</f>
        <v>16.12539807873785</v>
      </c>
      <c r="F292" s="12" t="n">
        <f>MAX('Расчёт'!$D$292-'Расчёт'!$E$292,0)</f>
        <v>0</v>
      </c>
      <c r="G292" s="12" t="n">
        <f>MAX('Расчёт'!$F$40*('Расчёт'!$F$50+'Расчёт'!$F$86)*(MAX('Расчёт'!$F$95-'Расчёт'!$C$292,0)),'Расчёт'!$F$40*'Расчёт'!$F$50*((MAX('Расчёт'!$F$95-'Расчёт'!$C$292,0))+('Расчёт'!$F$93)*'Расчёт'!$F$87),'Расчёт'!$F$40*'Расчёт'!$F$50*((MAX('Расчёт'!$F$95-'Расчёт'!$C$292,0))+'Расчёт'!$F$98*'Расчёт'!$F$88),0.75*'Расчёт'!$F$40*'Расчёт'!$F$50*((MAX('Расчёт'!$F$95-'Расчёт'!$C$292,0))+'Расчёт'!$F$99),'Расчёт'!$F$40*'Расчёт'!$F$50*(MAX('Расчёт'!$F$95-'Расчёт'!$C$292,0))+'Расчёт'!$F$100)</f>
        <v>99.63316285714284</v>
      </c>
      <c r="H292" s="12" t="n">
        <f>'Расчёт'!$G$292-'Расчёт'!$F$292</f>
        <v>99.63316285714284</v>
      </c>
      <c r="I292" s="12" t="n">
        <f>10*MAX('Расчёт'!$F$92-'Расчёт'!$C$292,0)+MAX(IF('Расчёт'!$C$292&lt;='Расчёт'!$F$92,'Расчёт'!$F$85-1.5*'Расчёт'!$F$84*('Расчёт'!$F$92-'Расчёт'!$C$292)/'Расчёт'!$F$92,'Расчёт'!$F$85-7.5*'Расчёт'!$F$48*('Расчёт'!$C$292-'Расчёт'!$F$92)),IF('Расчёт'!$C$292&gt;'Расчёт'!$F$92,0.03*'Расчёт'!$F$20+5,0))</f>
        <v>24.93639807873785</v>
      </c>
      <c r="J292" s="12" t="n">
        <f>MAX('Расчёт'!$H$292,'Расчёт'!$I$292,ABS('Расчёт'!$G$292-('Расчёт'!$D$292+'Расчёт'!$E$292)))</f>
        <v>99.63316285714284</v>
      </c>
      <c r="K292" s="12" t="n">
        <f>MAX('Расчёт'!$F$40*('Расчёт'!$F$50+'Расчёт'!$F$86)*(MAX('Расчёт'!$F$96-'Расчёт'!$C$292,0)),'Расчёт'!$F$40*'Расчёт'!$F$50*((MAX('Расчёт'!$F$96-'Расчёт'!$C$292,0))+('Расчёт'!$F$94)*'Расчёт'!$F$87),'Расчёт'!$F$40*'Расчёт'!$F$50*((MAX('Расчёт'!$F$96-'Расчёт'!$C$292,0))+'Расчёт'!$F$98*'Расчёт'!$F$88),0.75*'Расчёт'!$F$40*'Расчёт'!$F$50*((MAX('Расчёт'!$F$96-'Расчёт'!$C$292,0))+'Расчёт'!$F$99),'Расчёт'!$F$40*'Расчёт'!$F$50*(MAX('Расчёт'!$F$96-'Расчёт'!$C$292,0))+'Расчёт'!$F$100)</f>
        <v>97.36354928571426</v>
      </c>
      <c r="L292" s="12" t="n">
        <f>MAX('Расчёт'!$K$292,'Расчёт'!$G$292)</f>
        <v>99.63316285714284</v>
      </c>
    </row>
    <row r="293" ht="17" customHeight="1" outlineLevel="1" hidden="1">
      <c r="A293" s="14" t="str">
        <v>OF4 / 1</v>
      </c>
      <c r="B293" s="4"/>
      <c r="C293" s="12" t="n">
        <f>'Расчёт'!$D$127</f>
        <v>13.75</v>
      </c>
      <c r="D293" s="12" t="n">
        <f>10*MAX('Расчёт'!$F$91-'Расчёт'!$C$293,0)</f>
        <v>0</v>
      </c>
      <c r="E293" s="12" t="n">
        <f>MAX(0,IF('Расчёт'!$C$293&lt;='Расчёт'!$F$91,'Расчёт'!$F$85-1.5*'Расчёт'!$F$84*('Расчёт'!$F$91-'Расчёт'!$C$293)/'Расчёт'!$F$91,'Расчёт'!$F$85-7.5*'Расчёт'!$F$48*('Расчёт'!$C$293-'Расчёт'!$F$91)))</f>
        <v>9.216773078737852</v>
      </c>
      <c r="F293" s="12" t="n">
        <f>MAX('Расчёт'!$D$293-'Расчёт'!$E$293,0)</f>
        <v>0</v>
      </c>
      <c r="G293" s="12" t="n">
        <f>MAX('Расчёт'!$F$40*('Расчёт'!$F$50+'Расчёт'!$F$86)*(MAX('Расчёт'!$F$95-'Расчёт'!$C$293,0)),'Расчёт'!$F$40*'Расчёт'!$F$50*((MAX('Расчёт'!$F$95-'Расчёт'!$C$293,0))+('Расчёт'!$F$93)*'Расчёт'!$F$87),'Расчёт'!$F$40*'Расчёт'!$F$50*((MAX('Расчёт'!$F$95-'Расчёт'!$C$293,0))+'Расчёт'!$F$98*'Расчёт'!$F$88),0.75*'Расчёт'!$F$40*'Расчёт'!$F$50*((MAX('Расчёт'!$F$95-'Расчёт'!$C$293,0))+'Расчёт'!$F$99),'Расчёт'!$F$40*'Расчёт'!$F$50*(MAX('Расчёт'!$F$95-'Расчёт'!$C$293,0))+'Расчёт'!$F$100)</f>
        <v>64.94255035714286</v>
      </c>
      <c r="H293" s="12" t="n">
        <f>'Расчёт'!$G$293-'Расчёт'!$F$293</f>
        <v>64.94255035714286</v>
      </c>
      <c r="I293" s="12" t="n">
        <f>10*MAX('Расчёт'!$F$92-'Расчёт'!$C$293,0)+MAX(IF('Расчёт'!$C$293&lt;='Расчёт'!$F$92,'Расчёт'!$F$85-1.5*'Расчёт'!$F$84*('Расчёт'!$F$92-'Расчёт'!$C$293)/'Расчёт'!$F$92,'Расчёт'!$F$85-7.5*'Расчёт'!$F$48*('Расчёт'!$C$293-'Расчёт'!$F$92)),IF('Расчёт'!$C$293&gt;'Расчёт'!$F$92,0.03*'Расчёт'!$F$20+5,0))</f>
        <v>18.02777307873785</v>
      </c>
      <c r="J293" s="12" t="n">
        <f>MAX('Расчёт'!$H$293,'Расчёт'!$I$293,ABS('Расчёт'!$G$293-('Расчёт'!$D$293+'Расчёт'!$E$293)))</f>
        <v>64.94255035714286</v>
      </c>
      <c r="K293" s="12" t="n">
        <f>MAX('Расчёт'!$F$40*('Расчёт'!$F$50+'Расчёт'!$F$86)*(MAX('Расчёт'!$F$96-'Расчёт'!$C$293,0)),'Расчёт'!$F$40*'Расчёт'!$F$50*((MAX('Расчёт'!$F$96-'Расчёт'!$C$293,0))+('Расчёт'!$F$94)*'Расчёт'!$F$87),'Расчёт'!$F$40*'Расчёт'!$F$50*((MAX('Расчёт'!$F$96-'Расчёт'!$C$293,0))+'Расчёт'!$F$98*'Расчёт'!$F$88),0.75*'Расчёт'!$F$40*'Расчёт'!$F$50*((MAX('Расчёт'!$F$96-'Расчёт'!$C$293,0))+'Расчёт'!$F$99),'Расчёт'!$F$40*'Расчёт'!$F$50*(MAX('Расчёт'!$F$96-'Расчёт'!$C$293,0))+'Расчёт'!$F$100)</f>
        <v>62.67293678571427</v>
      </c>
      <c r="L293" s="12" t="n">
        <f>MAX('Расчёт'!$K$293,'Расчёт'!$G$293)</f>
        <v>64.94255035714286</v>
      </c>
    </row>
    <row r="294" ht="17" customHeight="1" outlineLevel="1" hidden="1">
      <c r="A294" s="14" t="str">
        <v>OF4 / 2</v>
      </c>
      <c r="B294" s="4"/>
      <c r="C294" s="12" t="n">
        <f>'Расчёт'!$D$127</f>
        <v>13.75</v>
      </c>
      <c r="D294" s="12" t="n">
        <f>10*MAX('Расчёт'!$F$91-'Расчёт'!$C$294,0)</f>
        <v>0</v>
      </c>
      <c r="E294" s="12" t="n">
        <f>MAX(0,IF('Расчёт'!$C$294&lt;='Расчёт'!$F$91,'Расчёт'!$F$85-1.5*'Расчёт'!$F$84*('Расчёт'!$F$91-'Расчёт'!$C$294)/'Расчёт'!$F$91,'Расчёт'!$F$85-7.5*'Расчёт'!$F$48*('Расчёт'!$C$294-'Расчёт'!$F$91)))</f>
        <v>9.216773078737852</v>
      </c>
      <c r="F294" s="12" t="n">
        <f>MAX('Расчёт'!$D$294-'Расчёт'!$E$294,0)</f>
        <v>0</v>
      </c>
      <c r="G294" s="12" t="n">
        <f>MAX('Расчёт'!$F$40*('Расчёт'!$F$50+'Расчёт'!$F$86)*(MAX('Расчёт'!$F$95-'Расчёт'!$C$294,0)),'Расчёт'!$F$40*'Расчёт'!$F$50*((MAX('Расчёт'!$F$95-'Расчёт'!$C$294,0))+('Расчёт'!$F$93)*'Расчёт'!$F$87),'Расчёт'!$F$40*'Расчёт'!$F$50*((MAX('Расчёт'!$F$95-'Расчёт'!$C$294,0))+'Расчёт'!$F$98*'Расчёт'!$F$88),0.75*'Расчёт'!$F$40*'Расчёт'!$F$50*((MAX('Расчёт'!$F$95-'Расчёт'!$C$294,0))+'Расчёт'!$F$99),'Расчёт'!$F$40*'Расчёт'!$F$50*(MAX('Расчёт'!$F$95-'Расчёт'!$C$294,0))+'Расчёт'!$F$100)</f>
        <v>64.94255035714286</v>
      </c>
      <c r="H294" s="12" t="n">
        <f>'Расчёт'!$G$294-'Расчёт'!$F$294</f>
        <v>64.94255035714286</v>
      </c>
      <c r="I294" s="12" t="n">
        <f>10*MAX('Расчёт'!$F$92-'Расчёт'!$C$294,0)+MAX(IF('Расчёт'!$C$294&lt;='Расчёт'!$F$92,'Расчёт'!$F$85-1.5*'Расчёт'!$F$84*('Расчёт'!$F$92-'Расчёт'!$C$294)/'Расчёт'!$F$92,'Расчёт'!$F$85-7.5*'Расчёт'!$F$48*('Расчёт'!$C$294-'Расчёт'!$F$92)),IF('Расчёт'!$C$294&gt;'Расчёт'!$F$92,0.03*'Расчёт'!$F$20+5,0))</f>
        <v>18.02777307873785</v>
      </c>
      <c r="J294" s="12" t="n">
        <f>MAX('Расчёт'!$H$294,'Расчёт'!$I$294,ABS('Расчёт'!$G$294-('Расчёт'!$D$294+'Расчёт'!$E$294)))</f>
        <v>64.94255035714286</v>
      </c>
      <c r="K294" s="12" t="n">
        <f>MAX('Расчёт'!$F$40*('Расчёт'!$F$50+'Расчёт'!$F$86)*(MAX('Расчёт'!$F$96-'Расчёт'!$C$294,0)),'Расчёт'!$F$40*'Расчёт'!$F$50*((MAX('Расчёт'!$F$96-'Расчёт'!$C$294,0))+('Расчёт'!$F$94)*'Расчёт'!$F$87),'Расчёт'!$F$40*'Расчёт'!$F$50*((MAX('Расчёт'!$F$96-'Расчёт'!$C$294,0))+'Расчёт'!$F$98*'Расчёт'!$F$88),0.75*'Расчёт'!$F$40*'Расчёт'!$F$50*((MAX('Расчёт'!$F$96-'Расчёт'!$C$294,0))+'Расчёт'!$F$99),'Расчёт'!$F$40*'Расчёт'!$F$50*(MAX('Расчёт'!$F$96-'Расчёт'!$C$294,0))+'Расчёт'!$F$100)</f>
        <v>62.67293678571427</v>
      </c>
      <c r="L294" s="12" t="n">
        <f>MAX('Расчёт'!$K$294,'Расчёт'!$G$294)</f>
        <v>64.94255035714286</v>
      </c>
    </row>
    <row r="295" ht="17" customHeight="1" outlineLevel="1" hidden="1">
      <c r="A295" s="14" t="str">
        <v>OF4 / 3</v>
      </c>
      <c r="B295" s="4"/>
      <c r="C295" s="12" t="n">
        <f>MAX(('Расчёт'!$D$127),MIN(('Расчёт'!$D$127),'Расчёт'!$F$101))</f>
        <v>13.75</v>
      </c>
      <c r="D295" s="12" t="n">
        <f>10*MAX('Расчёт'!$F$91-'Расчёт'!$C$295,0)</f>
        <v>0</v>
      </c>
      <c r="E295" s="12" t="n">
        <f>MAX(0,IF('Расчёт'!$C$295&lt;='Расчёт'!$F$91,'Расчёт'!$F$85-1.5*'Расчёт'!$F$84*('Расчёт'!$F$91-'Расчёт'!$C$295)/'Расчёт'!$F$91,'Расчёт'!$F$85-7.5*'Расчёт'!$F$48*('Расчёт'!$C$295-'Расчёт'!$F$91)))</f>
        <v>9.216773078737852</v>
      </c>
      <c r="F295" s="12" t="n">
        <f>MAX('Расчёт'!$D$295-'Расчёт'!$E$295,0)</f>
        <v>0</v>
      </c>
      <c r="G295" s="12" t="n">
        <f>MAX('Расчёт'!$F$40*('Расчёт'!$F$50+'Расчёт'!$F$86)*(MAX('Расчёт'!$F$95-'Расчёт'!$C$295,0)),'Расчёт'!$F$40*'Расчёт'!$F$50*((MAX('Расчёт'!$F$95-'Расчёт'!$C$295,0))+('Расчёт'!$F$93)*'Расчёт'!$F$87),'Расчёт'!$F$40*'Расчёт'!$F$50*((MAX('Расчёт'!$F$95-'Расчёт'!$C$295,0))+'Расчёт'!$F$98*'Расчёт'!$F$88),0.75*'Расчёт'!$F$40*'Расчёт'!$F$50*((MAX('Расчёт'!$F$95-'Расчёт'!$C$295,0))+'Расчёт'!$F$99),'Расчёт'!$F$40*'Расчёт'!$F$50*(MAX('Расчёт'!$F$95-'Расчёт'!$C$295,0))+'Расчёт'!$F$100)</f>
        <v>64.94255035714286</v>
      </c>
      <c r="H295" s="12" t="n">
        <f>'Расчёт'!$G$295-'Расчёт'!$F$295</f>
        <v>64.94255035714286</v>
      </c>
      <c r="I295" s="12" t="n">
        <f>10*MAX('Расчёт'!$F$92-'Расчёт'!$C$295,0)+MAX(IF('Расчёт'!$C$295&lt;='Расчёт'!$F$92,'Расчёт'!$F$85-1.5*'Расчёт'!$F$84*('Расчёт'!$F$92-'Расчёт'!$C$295)/'Расчёт'!$F$92,'Расчёт'!$F$85-7.5*'Расчёт'!$F$48*('Расчёт'!$C$295-'Расчёт'!$F$92)),IF('Расчёт'!$C$295&gt;'Расчёт'!$F$92,0.03*'Расчёт'!$F$20+5,0))</f>
        <v>18.02777307873785</v>
      </c>
      <c r="J295" s="12" t="n">
        <f>MAX('Расчёт'!$H$295,'Расчёт'!$I$295,ABS('Расчёт'!$G$295-('Расчёт'!$D$295+'Расчёт'!$E$295)))</f>
        <v>64.94255035714286</v>
      </c>
      <c r="K295" s="12" t="n">
        <f>MAX('Расчёт'!$F$40*('Расчёт'!$F$50+'Расчёт'!$F$86)*(MAX('Расчёт'!$F$96-'Расчёт'!$C$295,0)),'Расчёт'!$F$40*'Расчёт'!$F$50*((MAX('Расчёт'!$F$96-'Расчёт'!$C$295,0))+('Расчёт'!$F$94)*'Расчёт'!$F$87),'Расчёт'!$F$40*'Расчёт'!$F$50*((MAX('Расчёт'!$F$96-'Расчёт'!$C$295,0))+'Расчёт'!$F$98*'Расчёт'!$F$88),0.75*'Расчёт'!$F$40*'Расчёт'!$F$50*((MAX('Расчёт'!$F$96-'Расчёт'!$C$295,0))+'Расчёт'!$F$99),'Расчёт'!$F$40*'Расчёт'!$F$50*(MAX('Расчёт'!$F$96-'Расчёт'!$C$295,0))+'Расчёт'!$F$100)</f>
        <v>62.67293678571427</v>
      </c>
      <c r="L295" s="12" t="n">
        <f>MAX('Расчёт'!$K$295,'Расчёт'!$G$295)</f>
        <v>64.94255035714286</v>
      </c>
    </row>
    <row r="296" ht="17" customHeight="1" outlineLevel="1" hidden="1">
      <c r="A296" s="14" t="str">
        <v>IF1 / 1</v>
      </c>
      <c r="B296" s="4"/>
      <c r="C296" s="12" t="n">
        <f>'Расчёт'!$D$128</f>
        <v>3.5</v>
      </c>
      <c r="D296" s="12" t="n">
        <f>10*MAX('Расчёт'!$F$91-'Расчёт'!$C$296,0)</f>
        <v>15</v>
      </c>
      <c r="E296" s="12" t="n">
        <f>MAX(0,IF('Расчёт'!$C$296&lt;='Расчёт'!$F$91,'Расчёт'!$F$85-1.5*'Расчёт'!$F$84*('Расчёт'!$F$91-'Расчёт'!$C$296)/'Расчёт'!$F$91,'Расчёт'!$F$85-7.5*'Расчёт'!$F$48*('Расчёт'!$C$296-'Расчёт'!$F$91)))</f>
        <v>22.72785086692717</v>
      </c>
      <c r="F296" s="12" t="n">
        <f>MAX('Расчёт'!$D$296-'Расчёт'!$E$296,0)</f>
        <v>0</v>
      </c>
      <c r="G296" s="12" t="n">
        <f>MAX('Расчёт'!$F$40*('Расчёт'!$F$50+'Расчёт'!$F$86)*(MAX('Расчёт'!$F$95-'Расчёт'!$C$296,0)),'Расчёт'!$F$40*'Расчёт'!$F$50*((MAX('Расчёт'!$F$95-'Расчёт'!$C$296,0))+('Расчёт'!$F$93)*'Расчёт'!$F$87),'Расчёт'!$F$40*'Расчёт'!$F$50*((MAX('Расчёт'!$F$95-'Расчёт'!$C$296,0))+'Расчёт'!$F$98*'Расчёт'!$F$88),0.75*'Расчёт'!$F$40*'Расчёт'!$F$50*((MAX('Расчёт'!$F$95-'Расчёт'!$C$296,0))+'Расчёт'!$F$99),'Расчёт'!$F$40*'Расчёт'!$F$50*(MAX('Расчёт'!$F$95-'Расчёт'!$C$296,0))+'Расчёт'!$F$100)</f>
        <v>168.00886285714284</v>
      </c>
      <c r="H296" s="12" t="n">
        <f>'Расчёт'!$G$296-'Расчёт'!$F$296</f>
        <v>168.00886285714284</v>
      </c>
      <c r="I296" s="12" t="n">
        <f>10*MAX('Расчёт'!$F$92-'Расчёт'!$C$296,0)+MAX(IF('Расчёт'!$C$296&lt;='Расчёт'!$F$92,'Расчёт'!$F$85-1.5*'Расчёт'!$F$84*('Расчёт'!$F$92-'Расчёт'!$C$296)/'Расчёт'!$F$92,'Расчёт'!$F$85-7.5*'Расчёт'!$F$48*('Расчёт'!$C$296-'Расчёт'!$F$92)),IF('Расчёт'!$C$296&gt;'Расчёт'!$F$92,0.03*'Расчёт'!$F$20+5,0))</f>
        <v>77.34726384126161</v>
      </c>
      <c r="J296" s="12" t="n">
        <f>MAX('Расчёт'!$H$296,'Расчёт'!$I$296,ABS('Расчёт'!$G$296-('Расчёт'!$D$296+'Расчёт'!$E$296)))</f>
        <v>168.00886285714284</v>
      </c>
      <c r="K296" s="12" t="n">
        <f>MAX('Расчёт'!$F$40*('Расчёт'!$F$50+'Расчёт'!$F$86)*(MAX('Расчёт'!$F$96-'Расчёт'!$C$296,0)),'Расчёт'!$F$40*'Расчёт'!$F$50*((MAX('Расчёт'!$F$96-'Расчёт'!$C$296,0))+('Расчёт'!$F$94)*'Расчёт'!$F$87),'Расчёт'!$F$40*'Расчёт'!$F$50*((MAX('Расчёт'!$F$96-'Расчёт'!$C$296,0))+'Расчёт'!$F$98*'Расчёт'!$F$88),0.75*'Расчёт'!$F$40*'Расчёт'!$F$50*((MAX('Расчёт'!$F$96-'Расчёт'!$C$296,0))+'Расчёт'!$F$99),'Расчёт'!$F$40*'Расчёт'!$F$50*(MAX('Расчёт'!$F$96-'Расчёт'!$C$296,0))+'Расчёт'!$F$100)</f>
        <v>165.73924928571427</v>
      </c>
      <c r="L296" s="12" t="n">
        <f>MAX('Расчёт'!$K$296,'Расчёт'!$G$296)</f>
        <v>168.00886285714284</v>
      </c>
    </row>
    <row r="297" ht="17" customHeight="1" outlineLevel="1" hidden="1">
      <c r="A297" s="14" t="str">
        <v>IF1 / 2</v>
      </c>
      <c r="B297" s="4"/>
      <c r="C297" s="12" t="n">
        <f>'Расчёт'!$D$128</f>
        <v>3.5</v>
      </c>
      <c r="D297" s="12" t="n">
        <f>10*MAX('Расчёт'!$F$91-'Расчёт'!$C$297,0)</f>
        <v>15</v>
      </c>
      <c r="E297" s="12" t="n">
        <f>MAX(0,IF('Расчёт'!$C$297&lt;='Расчёт'!$F$91,'Расчёт'!$F$85-1.5*'Расчёт'!$F$84*('Расчёт'!$F$91-'Расчёт'!$C$297)/'Расчёт'!$F$91,'Расчёт'!$F$85-7.5*'Расчёт'!$F$48*('Расчёт'!$C$297-'Расчёт'!$F$91)))</f>
        <v>22.72785086692717</v>
      </c>
      <c r="F297" s="12" t="n">
        <f>MAX('Расчёт'!$D$297-'Расчёт'!$E$297,0)</f>
        <v>0</v>
      </c>
      <c r="G297" s="12" t="n">
        <f>MAX('Расчёт'!$F$40*('Расчёт'!$F$50+'Расчёт'!$F$86)*(MAX('Расчёт'!$F$95-'Расчёт'!$C$297,0)),'Расчёт'!$F$40*'Расчёт'!$F$50*((MAX('Расчёт'!$F$95-'Расчёт'!$C$297,0))+('Расчёт'!$F$93)*'Расчёт'!$F$87),'Расчёт'!$F$40*'Расчёт'!$F$50*((MAX('Расчёт'!$F$95-'Расчёт'!$C$297,0))+'Расчёт'!$F$98*'Расчёт'!$F$88),0.75*'Расчёт'!$F$40*'Расчёт'!$F$50*((MAX('Расчёт'!$F$95-'Расчёт'!$C$297,0))+'Расчёт'!$F$99),'Расчёт'!$F$40*'Расчёт'!$F$50*(MAX('Расчёт'!$F$95-'Расчёт'!$C$297,0))+'Расчёт'!$F$100)</f>
        <v>168.00886285714284</v>
      </c>
      <c r="H297" s="12" t="n">
        <f>'Расчёт'!$G$297-'Расчёт'!$F$297</f>
        <v>168.00886285714284</v>
      </c>
      <c r="I297" s="12" t="n">
        <f>10*MAX('Расчёт'!$F$92-'Расчёт'!$C$297,0)+MAX(IF('Расчёт'!$C$297&lt;='Расчёт'!$F$92,'Расчёт'!$F$85-1.5*'Расчёт'!$F$84*('Расчёт'!$F$92-'Расчёт'!$C$297)/'Расчёт'!$F$92,'Расчёт'!$F$85-7.5*'Расчёт'!$F$48*('Расчёт'!$C$297-'Расчёт'!$F$92)),IF('Расчёт'!$C$297&gt;'Расчёт'!$F$92,0.03*'Расчёт'!$F$20+5,0))</f>
        <v>77.34726384126161</v>
      </c>
      <c r="J297" s="12" t="n">
        <f>MAX('Расчёт'!$H$297,'Расчёт'!$I$297,ABS('Расчёт'!$G$297-('Расчёт'!$D$297+'Расчёт'!$E$297)))</f>
        <v>168.00886285714284</v>
      </c>
      <c r="K297" s="12" t="n">
        <f>MAX('Расчёт'!$F$40*('Расчёт'!$F$50+'Расчёт'!$F$86)*(MAX('Расчёт'!$F$96-'Расчёт'!$C$297,0)),'Расчёт'!$F$40*'Расчёт'!$F$50*((MAX('Расчёт'!$F$96-'Расчёт'!$C$297,0))+('Расчёт'!$F$94)*'Расчёт'!$F$87),'Расчёт'!$F$40*'Расчёт'!$F$50*((MAX('Расчёт'!$F$96-'Расчёт'!$C$297,0))+'Расчёт'!$F$98*'Расчёт'!$F$88),0.75*'Расчёт'!$F$40*'Расчёт'!$F$50*((MAX('Расчёт'!$F$96-'Расчёт'!$C$297,0))+'Расчёт'!$F$99),'Расчёт'!$F$40*'Расчёт'!$F$50*(MAX('Расчёт'!$F$96-'Расчёт'!$C$297,0))+'Расчёт'!$F$100)</f>
        <v>165.73924928571427</v>
      </c>
      <c r="L297" s="12" t="n">
        <f>MAX('Расчёт'!$K$297,'Расчёт'!$G$297)</f>
        <v>168.00886285714284</v>
      </c>
    </row>
    <row r="298" ht="17" customHeight="1" outlineLevel="1" hidden="1">
      <c r="A298" s="14" t="str">
        <v>IF1 / 3</v>
      </c>
      <c r="B298" s="4"/>
      <c r="C298" s="12" t="n">
        <f>MAX(('Расчёт'!$D$128),MIN(('Расчёт'!$D$128),'Расчёт'!$F$101))</f>
        <v>3.5</v>
      </c>
      <c r="D298" s="12" t="n">
        <f>10*MAX('Расчёт'!$F$91-'Расчёт'!$C$298,0)</f>
        <v>15</v>
      </c>
      <c r="E298" s="12" t="n">
        <f>MAX(0,IF('Расчёт'!$C$298&lt;='Расчёт'!$F$91,'Расчёт'!$F$85-1.5*'Расчёт'!$F$84*('Расчёт'!$F$91-'Расчёт'!$C$298)/'Расчёт'!$F$91,'Расчёт'!$F$85-7.5*'Расчёт'!$F$48*('Расчёт'!$C$298-'Расчёт'!$F$91)))</f>
        <v>22.72785086692717</v>
      </c>
      <c r="F298" s="12" t="n">
        <f>MAX('Расчёт'!$D$298-'Расчёт'!$E$298,0)</f>
        <v>0</v>
      </c>
      <c r="G298" s="12" t="n">
        <f>MAX('Расчёт'!$F$40*('Расчёт'!$F$50+'Расчёт'!$F$86)*(MAX('Расчёт'!$F$95-'Расчёт'!$C$298,0)),'Расчёт'!$F$40*'Расчёт'!$F$50*((MAX('Расчёт'!$F$95-'Расчёт'!$C$298,0))+('Расчёт'!$F$93)*'Расчёт'!$F$87),'Расчёт'!$F$40*'Расчёт'!$F$50*((MAX('Расчёт'!$F$95-'Расчёт'!$C$298,0))+'Расчёт'!$F$98*'Расчёт'!$F$88),0.75*'Расчёт'!$F$40*'Расчёт'!$F$50*((MAX('Расчёт'!$F$95-'Расчёт'!$C$298,0))+'Расчёт'!$F$99),'Расчёт'!$F$40*'Расчёт'!$F$50*(MAX('Расчёт'!$F$95-'Расчёт'!$C$298,0))+'Расчёт'!$F$100)</f>
        <v>168.00886285714284</v>
      </c>
      <c r="H298" s="12" t="n">
        <f>'Расчёт'!$G$298-'Расчёт'!$F$298</f>
        <v>168.00886285714284</v>
      </c>
      <c r="I298" s="12" t="n">
        <f>10*MAX('Расчёт'!$F$92-'Расчёт'!$C$298,0)+MAX(IF('Расчёт'!$C$298&lt;='Расчёт'!$F$92,'Расчёт'!$F$85-1.5*'Расчёт'!$F$84*('Расчёт'!$F$92-'Расчёт'!$C$298)/'Расчёт'!$F$92,'Расчёт'!$F$85-7.5*'Расчёт'!$F$48*('Расчёт'!$C$298-'Расчёт'!$F$92)),IF('Расчёт'!$C$298&gt;'Расчёт'!$F$92,0.03*'Расчёт'!$F$20+5,0))</f>
        <v>77.34726384126161</v>
      </c>
      <c r="J298" s="12" t="n">
        <f>MAX('Расчёт'!$H$298,'Расчёт'!$I$298,ABS('Расчёт'!$G$298-('Расчёт'!$D$298+'Расчёт'!$E$298)))</f>
        <v>168.00886285714284</v>
      </c>
      <c r="K298" s="12" t="n">
        <f>MAX('Расчёт'!$F$40*('Расчёт'!$F$50+'Расчёт'!$F$86)*(MAX('Расчёт'!$F$96-'Расчёт'!$C$298,0)),'Расчёт'!$F$40*'Расчёт'!$F$50*((MAX('Расчёт'!$F$96-'Расчёт'!$C$298,0))+('Расчёт'!$F$94)*'Расчёт'!$F$87),'Расчёт'!$F$40*'Расчёт'!$F$50*((MAX('Расчёт'!$F$96-'Расчёт'!$C$298,0))+'Расчёт'!$F$98*'Расчёт'!$F$88),0.75*'Расчёт'!$F$40*'Расчёт'!$F$50*((MAX('Расчёт'!$F$96-'Расчёт'!$C$298,0))+'Расчёт'!$F$99),'Расчёт'!$F$40*'Расчёт'!$F$50*(MAX('Расчёт'!$F$96-'Расчёт'!$C$298,0))+'Расчёт'!$F$100)</f>
        <v>165.73924928571427</v>
      </c>
      <c r="L298" s="12" t="n">
        <f>MAX('Расчёт'!$K$298,'Расчёт'!$G$298)</f>
        <v>168.00886285714284</v>
      </c>
    </row>
    <row r="299" ht="17" customHeight="1" outlineLevel="1" hidden="1">
      <c r="A299" s="14" t="str">
        <v>IF2 / 1</v>
      </c>
      <c r="B299" s="4"/>
      <c r="C299" s="12" t="n">
        <f>'Расчёт'!$D$129</f>
        <v>6.9</v>
      </c>
      <c r="D299" s="12" t="n">
        <f>10*MAX('Расчёт'!$F$91-'Расчёт'!$C$299,0)</f>
        <v>0</v>
      </c>
      <c r="E299" s="12" t="n">
        <f>MAX(0,IF('Расчёт'!$C$299&lt;='Расчёт'!$F$91,'Расчёт'!$F$85-1.5*'Расчёт'!$F$84*('Расчёт'!$F$91-'Расчёт'!$C$299)/'Расчёт'!$F$91,'Расчёт'!$F$85-7.5*'Расчёт'!$F$48*('Расчёт'!$C$299-'Расчёт'!$F$91)))</f>
        <v>22.933898078737847</v>
      </c>
      <c r="F299" s="12" t="n">
        <f>MAX('Расчёт'!$D$299-'Расчёт'!$E$299,0)</f>
        <v>0</v>
      </c>
      <c r="G299" s="12" t="n">
        <f>MAX('Расчёт'!$F$40*('Расчёт'!$F$50+'Расчёт'!$F$86)*(MAX('Расчёт'!$F$95-'Расчёт'!$C$299,0)),'Расчёт'!$F$40*'Расчёт'!$F$50*((MAX('Расчёт'!$F$95-'Расчёт'!$C$299,0))+('Расчёт'!$F$93)*'Расчёт'!$F$87),'Расчёт'!$F$40*'Расчёт'!$F$50*((MAX('Расчёт'!$F$95-'Расчёт'!$C$299,0))+'Расчёт'!$F$98*'Расчёт'!$F$88),0.75*'Расчёт'!$F$40*'Расчёт'!$F$50*((MAX('Расчёт'!$F$95-'Расчёт'!$C$299,0))+'Расчёт'!$F$99),'Расчёт'!$F$40*'Расчёт'!$F$50*(MAX('Расчёт'!$F$95-'Расчёт'!$C$299,0))+'Расчёт'!$F$100)</f>
        <v>133.82101285714285</v>
      </c>
      <c r="H299" s="12" t="n">
        <f>'Расчёт'!$G$299-'Расчёт'!$F$299</f>
        <v>133.82101285714285</v>
      </c>
      <c r="I299" s="12" t="n">
        <f>10*MAX('Расчёт'!$F$92-'Расчёт'!$C$299,0)+MAX(IF('Расчёт'!$C$299&lt;='Расчёт'!$F$92,'Расчёт'!$F$85-1.5*'Расчёт'!$F$84*('Расчёт'!$F$92-'Расчёт'!$C$299)/'Расчёт'!$F$92,'Расчёт'!$F$85-7.5*'Расчёт'!$F$48*('Расчёт'!$C$299-'Расчёт'!$F$92)),IF('Расчёт'!$C$299&gt;'Расчёт'!$F$92,0.03*'Расчёт'!$F$20+5,0))</f>
        <v>48.18297679167165</v>
      </c>
      <c r="J299" s="12" t="n">
        <f>MAX('Расчёт'!$H$299,'Расчёт'!$I$299,ABS('Расчёт'!$G$299-('Расчёт'!$D$299+'Расчёт'!$E$299)))</f>
        <v>133.82101285714285</v>
      </c>
      <c r="K299" s="12" t="n">
        <f>MAX('Расчёт'!$F$40*('Расчёт'!$F$50+'Расчёт'!$F$86)*(MAX('Расчёт'!$F$96-'Расчёт'!$C$299,0)),'Расчёт'!$F$40*'Расчёт'!$F$50*((MAX('Расчёт'!$F$96-'Расчёт'!$C$299,0))+('Расчёт'!$F$94)*'Расчёт'!$F$87),'Расчёт'!$F$40*'Расчёт'!$F$50*((MAX('Расчёт'!$F$96-'Расчёт'!$C$299,0))+'Расчёт'!$F$98*'Расчёт'!$F$88),0.75*'Расчёт'!$F$40*'Расчёт'!$F$50*((MAX('Расчёт'!$F$96-'Расчёт'!$C$299,0))+'Расчёт'!$F$99),'Расчёт'!$F$40*'Расчёт'!$F$50*(MAX('Расчёт'!$F$96-'Расчёт'!$C$299,0))+'Расчёт'!$F$100)</f>
        <v>131.55139928571427</v>
      </c>
      <c r="L299" s="12" t="n">
        <f>MAX('Расчёт'!$K$299,'Расчёт'!$G$299)</f>
        <v>133.82101285714285</v>
      </c>
    </row>
    <row r="300" ht="17" customHeight="1" outlineLevel="1" hidden="1">
      <c r="A300" s="14" t="str">
        <v>IF2 / 2</v>
      </c>
      <c r="B300" s="4"/>
      <c r="C300" s="12" t="n">
        <f>'Расчёт'!$D$129</f>
        <v>6.9</v>
      </c>
      <c r="D300" s="12" t="n">
        <f>10*MAX('Расчёт'!$F$91-'Расчёт'!$C$300,0)</f>
        <v>0</v>
      </c>
      <c r="E300" s="12" t="n">
        <f>MAX(0,IF('Расчёт'!$C$300&lt;='Расчёт'!$F$91,'Расчёт'!$F$85-1.5*'Расчёт'!$F$84*('Расчёт'!$F$91-'Расчёт'!$C$300)/'Расчёт'!$F$91,'Расчёт'!$F$85-7.5*'Расчёт'!$F$48*('Расчёт'!$C$300-'Расчёт'!$F$91)))</f>
        <v>22.933898078737847</v>
      </c>
      <c r="F300" s="12" t="n">
        <f>MAX('Расчёт'!$D$300-'Расчёт'!$E$300,0)</f>
        <v>0</v>
      </c>
      <c r="G300" s="12" t="n">
        <f>MAX('Расчёт'!$F$40*('Расчёт'!$F$50+'Расчёт'!$F$86)*(MAX('Расчёт'!$F$95-'Расчёт'!$C$300,0)),'Расчёт'!$F$40*'Расчёт'!$F$50*((MAX('Расчёт'!$F$95-'Расчёт'!$C$300,0))+('Расчёт'!$F$93)*'Расчёт'!$F$87),'Расчёт'!$F$40*'Расчёт'!$F$50*((MAX('Расчёт'!$F$95-'Расчёт'!$C$300,0))+'Расчёт'!$F$98*'Расчёт'!$F$88),0.75*'Расчёт'!$F$40*'Расчёт'!$F$50*((MAX('Расчёт'!$F$95-'Расчёт'!$C$300,0))+'Расчёт'!$F$99),'Расчёт'!$F$40*'Расчёт'!$F$50*(MAX('Расчёт'!$F$95-'Расчёт'!$C$300,0))+'Расчёт'!$F$100)</f>
        <v>133.82101285714285</v>
      </c>
      <c r="H300" s="12" t="n">
        <f>'Расчёт'!$G$300-'Расчёт'!$F$300</f>
        <v>133.82101285714285</v>
      </c>
      <c r="I300" s="12" t="n">
        <f>10*MAX('Расчёт'!$F$92-'Расчёт'!$C$300,0)+MAX(IF('Расчёт'!$C$300&lt;='Расчёт'!$F$92,'Расчёт'!$F$85-1.5*'Расчёт'!$F$84*('Расчёт'!$F$92-'Расчёт'!$C$300)/'Расчёт'!$F$92,'Расчёт'!$F$85-7.5*'Расчёт'!$F$48*('Расчёт'!$C$300-'Расчёт'!$F$92)),IF('Расчёт'!$C$300&gt;'Расчёт'!$F$92,0.03*'Расчёт'!$F$20+5,0))</f>
        <v>48.18297679167165</v>
      </c>
      <c r="J300" s="12" t="n">
        <f>MAX('Расчёт'!$H$300,'Расчёт'!$I$300,ABS('Расчёт'!$G$300-('Расчёт'!$D$300+'Расчёт'!$E$300)))</f>
        <v>133.82101285714285</v>
      </c>
      <c r="K300" s="12" t="n">
        <f>MAX('Расчёт'!$F$40*('Расчёт'!$F$50+'Расчёт'!$F$86)*(MAX('Расчёт'!$F$96-'Расчёт'!$C$300,0)),'Расчёт'!$F$40*'Расчёт'!$F$50*((MAX('Расчёт'!$F$96-'Расчёт'!$C$300,0))+('Расчёт'!$F$94)*'Расчёт'!$F$87),'Расчёт'!$F$40*'Расчёт'!$F$50*((MAX('Расчёт'!$F$96-'Расчёт'!$C$300,0))+'Расчёт'!$F$98*'Расчёт'!$F$88),0.75*'Расчёт'!$F$40*'Расчёт'!$F$50*((MAX('Расчёт'!$F$96-'Расчёт'!$C$300,0))+'Расчёт'!$F$99),'Расчёт'!$F$40*'Расчёт'!$F$50*(MAX('Расчёт'!$F$96-'Расчёт'!$C$300,0))+'Расчёт'!$F$100)</f>
        <v>131.55139928571427</v>
      </c>
      <c r="L300" s="12" t="n">
        <f>MAX('Расчёт'!$K$300,'Расчёт'!$G$300)</f>
        <v>133.82101285714285</v>
      </c>
    </row>
    <row r="301" ht="17" customHeight="1" outlineLevel="1" hidden="1">
      <c r="A301" s="14" t="str">
        <v>IF2 / 3</v>
      </c>
      <c r="B301" s="4"/>
      <c r="C301" s="12" t="n">
        <f>MAX(('Расчёт'!$D$129),MIN(('Расчёт'!$D$129),'Расчёт'!$F$101))</f>
        <v>6.9</v>
      </c>
      <c r="D301" s="12" t="n">
        <f>10*MAX('Расчёт'!$F$91-'Расчёт'!$C$301,0)</f>
        <v>0</v>
      </c>
      <c r="E301" s="12" t="n">
        <f>MAX(0,IF('Расчёт'!$C$301&lt;='Расчёт'!$F$91,'Расчёт'!$F$85-1.5*'Расчёт'!$F$84*('Расчёт'!$F$91-'Расчёт'!$C$301)/'Расчёт'!$F$91,'Расчёт'!$F$85-7.5*'Расчёт'!$F$48*('Расчёт'!$C$301-'Расчёт'!$F$91)))</f>
        <v>22.933898078737847</v>
      </c>
      <c r="F301" s="12" t="n">
        <f>MAX('Расчёт'!$D$301-'Расчёт'!$E$301,0)</f>
        <v>0</v>
      </c>
      <c r="G301" s="12" t="n">
        <f>MAX('Расчёт'!$F$40*('Расчёт'!$F$50+'Расчёт'!$F$86)*(MAX('Расчёт'!$F$95-'Расчёт'!$C$301,0)),'Расчёт'!$F$40*'Расчёт'!$F$50*((MAX('Расчёт'!$F$95-'Расчёт'!$C$301,0))+('Расчёт'!$F$93)*'Расчёт'!$F$87),'Расчёт'!$F$40*'Расчёт'!$F$50*((MAX('Расчёт'!$F$95-'Расчёт'!$C$301,0))+'Расчёт'!$F$98*'Расчёт'!$F$88),0.75*'Расчёт'!$F$40*'Расчёт'!$F$50*((MAX('Расчёт'!$F$95-'Расчёт'!$C$301,0))+'Расчёт'!$F$99),'Расчёт'!$F$40*'Расчёт'!$F$50*(MAX('Расчёт'!$F$95-'Расчёт'!$C$301,0))+'Расчёт'!$F$100)</f>
        <v>133.82101285714285</v>
      </c>
      <c r="H301" s="12" t="n">
        <f>'Расчёт'!$G$301-'Расчёт'!$F$301</f>
        <v>133.82101285714285</v>
      </c>
      <c r="I301" s="12" t="n">
        <f>10*MAX('Расчёт'!$F$92-'Расчёт'!$C$301,0)+MAX(IF('Расчёт'!$C$301&lt;='Расчёт'!$F$92,'Расчёт'!$F$85-1.5*'Расчёт'!$F$84*('Расчёт'!$F$92-'Расчёт'!$C$301)/'Расчёт'!$F$92,'Расчёт'!$F$85-7.5*'Расчёт'!$F$48*('Расчёт'!$C$301-'Расчёт'!$F$92)),IF('Расчёт'!$C$301&gt;'Расчёт'!$F$92,0.03*'Расчёт'!$F$20+5,0))</f>
        <v>48.18297679167165</v>
      </c>
      <c r="J301" s="12" t="n">
        <f>MAX('Расчёт'!$H$301,'Расчёт'!$I$301,ABS('Расчёт'!$G$301-('Расчёт'!$D$301+'Расчёт'!$E$301)))</f>
        <v>133.82101285714285</v>
      </c>
      <c r="K301" s="12" t="n">
        <f>MAX('Расчёт'!$F$40*('Расчёт'!$F$50+'Расчёт'!$F$86)*(MAX('Расчёт'!$F$96-'Расчёт'!$C$301,0)),'Расчёт'!$F$40*'Расчёт'!$F$50*((MAX('Расчёт'!$F$96-'Расчёт'!$C$301,0))+('Расчёт'!$F$94)*'Расчёт'!$F$87),'Расчёт'!$F$40*'Расчёт'!$F$50*((MAX('Расчёт'!$F$96-'Расчёт'!$C$301,0))+'Расчёт'!$F$98*'Расчёт'!$F$88),0.75*'Расчёт'!$F$40*'Расчёт'!$F$50*((MAX('Расчёт'!$F$96-'Расчёт'!$C$301,0))+'Расчёт'!$F$99),'Расчёт'!$F$40*'Расчёт'!$F$50*(MAX('Расчёт'!$F$96-'Расчёт'!$C$301,0))+'Расчёт'!$F$100)</f>
        <v>131.55139928571427</v>
      </c>
      <c r="L301" s="12" t="n">
        <f>MAX('Расчёт'!$K$301,'Расчёт'!$G$301)</f>
        <v>133.82101285714285</v>
      </c>
    </row>
    <row r="302" ht="17" customHeight="1" outlineLevel="1" hidden="1">
      <c r="A302" s="14" t="str">
        <v>IF3 / 1</v>
      </c>
      <c r="B302" s="4"/>
      <c r="C302" s="12" t="n">
        <f>'Расчёт'!$D$130</f>
        <v>10.3</v>
      </c>
      <c r="D302" s="12" t="n">
        <f>10*MAX('Расчёт'!$F$91-'Расчёт'!$C$302,0)</f>
        <v>0</v>
      </c>
      <c r="E302" s="12" t="n">
        <f>MAX(0,IF('Расчёт'!$C$302&lt;='Расчёт'!$F$91,'Расчёт'!$F$85-1.5*'Расчёт'!$F$84*('Расчёт'!$F$91-'Расчёт'!$C$302)/'Расчёт'!$F$91,'Расчёт'!$F$85-7.5*'Расчёт'!$F$48*('Расчёт'!$C$302-'Расчёт'!$F$91)))</f>
        <v>16.12539807873785</v>
      </c>
      <c r="F302" s="12" t="n">
        <f>MAX('Расчёт'!$D$302-'Расчёт'!$E$302,0)</f>
        <v>0</v>
      </c>
      <c r="G302" s="12" t="n">
        <f>MAX('Расчёт'!$F$40*('Расчёт'!$F$50+'Расчёт'!$F$86)*(MAX('Расчёт'!$F$95-'Расчёт'!$C$302,0)),'Расчёт'!$F$40*'Расчёт'!$F$50*((MAX('Расчёт'!$F$95-'Расчёт'!$C$302,0))+('Расчёт'!$F$93)*'Расчёт'!$F$87),'Расчёт'!$F$40*'Расчёт'!$F$50*((MAX('Расчёт'!$F$95-'Расчёт'!$C$302,0))+'Расчёт'!$F$98*'Расчёт'!$F$88),0.75*'Расчёт'!$F$40*'Расчёт'!$F$50*((MAX('Расчёт'!$F$95-'Расчёт'!$C$302,0))+'Расчёт'!$F$99),'Расчёт'!$F$40*'Расчёт'!$F$50*(MAX('Расчёт'!$F$95-'Расчёт'!$C$302,0))+'Расчёт'!$F$100)</f>
        <v>99.63316285714284</v>
      </c>
      <c r="H302" s="12" t="n">
        <f>'Расчёт'!$G$302-'Расчёт'!$F$302</f>
        <v>99.63316285714284</v>
      </c>
      <c r="I302" s="12" t="n">
        <f>10*MAX('Расчёт'!$F$92-'Расчёт'!$C$302,0)+MAX(IF('Расчёт'!$C$302&lt;='Расчёт'!$F$92,'Расчёт'!$F$85-1.5*'Расчёт'!$F$84*('Расчёт'!$F$92-'Расчёт'!$C$302)/'Расчёт'!$F$92,'Расчёт'!$F$85-7.5*'Расчёт'!$F$48*('Расчёт'!$C$302-'Расчёт'!$F$92)),IF('Расчёт'!$C$302&gt;'Расчёт'!$F$92,0.03*'Расчёт'!$F$20+5,0))</f>
        <v>24.93639807873785</v>
      </c>
      <c r="J302" s="12" t="n">
        <f>MAX('Расчёт'!$H$302,'Расчёт'!$I$302,ABS('Расчёт'!$G$302-('Расчёт'!$D$302+'Расчёт'!$E$302)))</f>
        <v>99.63316285714284</v>
      </c>
      <c r="K302" s="12" t="n">
        <f>MAX('Расчёт'!$F$40*('Расчёт'!$F$50+'Расчёт'!$F$86)*(MAX('Расчёт'!$F$96-'Расчёт'!$C$302,0)),'Расчёт'!$F$40*'Расчёт'!$F$50*((MAX('Расчёт'!$F$96-'Расчёт'!$C$302,0))+('Расчёт'!$F$94)*'Расчёт'!$F$87),'Расчёт'!$F$40*'Расчёт'!$F$50*((MAX('Расчёт'!$F$96-'Расчёт'!$C$302,0))+'Расчёт'!$F$98*'Расчёт'!$F$88),0.75*'Расчёт'!$F$40*'Расчёт'!$F$50*((MAX('Расчёт'!$F$96-'Расчёт'!$C$302,0))+'Расчёт'!$F$99),'Расчёт'!$F$40*'Расчёт'!$F$50*(MAX('Расчёт'!$F$96-'Расчёт'!$C$302,0))+'Расчёт'!$F$100)</f>
        <v>97.36354928571426</v>
      </c>
      <c r="L302" s="12" t="n">
        <f>MAX('Расчёт'!$K$302,'Расчёт'!$G$302)</f>
        <v>99.63316285714284</v>
      </c>
    </row>
    <row r="303" ht="17" customHeight="1" outlineLevel="1" hidden="1">
      <c r="A303" s="14" t="str">
        <v>IF3 / 2</v>
      </c>
      <c r="B303" s="4"/>
      <c r="C303" s="12" t="n">
        <f>'Расчёт'!$D$130</f>
        <v>10.3</v>
      </c>
      <c r="D303" s="12" t="n">
        <f>10*MAX('Расчёт'!$F$91-'Расчёт'!$C$303,0)</f>
        <v>0</v>
      </c>
      <c r="E303" s="12" t="n">
        <f>MAX(0,IF('Расчёт'!$C$303&lt;='Расчёт'!$F$91,'Расчёт'!$F$85-1.5*'Расчёт'!$F$84*('Расчёт'!$F$91-'Расчёт'!$C$303)/'Расчёт'!$F$91,'Расчёт'!$F$85-7.5*'Расчёт'!$F$48*('Расчёт'!$C$303-'Расчёт'!$F$91)))</f>
        <v>16.12539807873785</v>
      </c>
      <c r="F303" s="12" t="n">
        <f>MAX('Расчёт'!$D$303-'Расчёт'!$E$303,0)</f>
        <v>0</v>
      </c>
      <c r="G303" s="12" t="n">
        <f>MAX('Расчёт'!$F$40*('Расчёт'!$F$50+'Расчёт'!$F$86)*(MAX('Расчёт'!$F$95-'Расчёт'!$C$303,0)),'Расчёт'!$F$40*'Расчёт'!$F$50*((MAX('Расчёт'!$F$95-'Расчёт'!$C$303,0))+('Расчёт'!$F$93)*'Расчёт'!$F$87),'Расчёт'!$F$40*'Расчёт'!$F$50*((MAX('Расчёт'!$F$95-'Расчёт'!$C$303,0))+'Расчёт'!$F$98*'Расчёт'!$F$88),0.75*'Расчёт'!$F$40*'Расчёт'!$F$50*((MAX('Расчёт'!$F$95-'Расчёт'!$C$303,0))+'Расчёт'!$F$99),'Расчёт'!$F$40*'Расчёт'!$F$50*(MAX('Расчёт'!$F$95-'Расчёт'!$C$303,0))+'Расчёт'!$F$100)</f>
        <v>99.63316285714284</v>
      </c>
      <c r="H303" s="12" t="n">
        <f>'Расчёт'!$G$303-'Расчёт'!$F$303</f>
        <v>99.63316285714284</v>
      </c>
      <c r="I303" s="12" t="n">
        <f>10*MAX('Расчёт'!$F$92-'Расчёт'!$C$303,0)+MAX(IF('Расчёт'!$C$303&lt;='Расчёт'!$F$92,'Расчёт'!$F$85-1.5*'Расчёт'!$F$84*('Расчёт'!$F$92-'Расчёт'!$C$303)/'Расчёт'!$F$92,'Расчёт'!$F$85-7.5*'Расчёт'!$F$48*('Расчёт'!$C$303-'Расчёт'!$F$92)),IF('Расчёт'!$C$303&gt;'Расчёт'!$F$92,0.03*'Расчёт'!$F$20+5,0))</f>
        <v>24.93639807873785</v>
      </c>
      <c r="J303" s="12" t="n">
        <f>MAX('Расчёт'!$H$303,'Расчёт'!$I$303,ABS('Расчёт'!$G$303-('Расчёт'!$D$303+'Расчёт'!$E$303)))</f>
        <v>99.63316285714284</v>
      </c>
      <c r="K303" s="12" t="n">
        <f>MAX('Расчёт'!$F$40*('Расчёт'!$F$50+'Расчёт'!$F$86)*(MAX('Расчёт'!$F$96-'Расчёт'!$C$303,0)),'Расчёт'!$F$40*'Расчёт'!$F$50*((MAX('Расчёт'!$F$96-'Расчёт'!$C$303,0))+('Расчёт'!$F$94)*'Расчёт'!$F$87),'Расчёт'!$F$40*'Расчёт'!$F$50*((MAX('Расчёт'!$F$96-'Расчёт'!$C$303,0))+'Расчёт'!$F$98*'Расчёт'!$F$88),0.75*'Расчёт'!$F$40*'Расчёт'!$F$50*((MAX('Расчёт'!$F$96-'Расчёт'!$C$303,0))+'Расчёт'!$F$99),'Расчёт'!$F$40*'Расчёт'!$F$50*(MAX('Расчёт'!$F$96-'Расчёт'!$C$303,0))+'Расчёт'!$F$100)</f>
        <v>97.36354928571426</v>
      </c>
      <c r="L303" s="12" t="n">
        <f>MAX('Расчёт'!$K$303,'Расчёт'!$G$303)</f>
        <v>99.63316285714284</v>
      </c>
    </row>
    <row r="304" ht="17" customHeight="1" outlineLevel="1" hidden="1">
      <c r="A304" s="14" t="str">
        <v>IF3 / 3</v>
      </c>
      <c r="B304" s="4"/>
      <c r="C304" s="12" t="n">
        <f>MAX(('Расчёт'!$D$130),MIN(('Расчёт'!$D$130),'Расчёт'!$F$101))</f>
        <v>10.3</v>
      </c>
      <c r="D304" s="12" t="n">
        <f>10*MAX('Расчёт'!$F$91-'Расчёт'!$C$304,0)</f>
        <v>0</v>
      </c>
      <c r="E304" s="12" t="n">
        <f>MAX(0,IF('Расчёт'!$C$304&lt;='Расчёт'!$F$91,'Расчёт'!$F$85-1.5*'Расчёт'!$F$84*('Расчёт'!$F$91-'Расчёт'!$C$304)/'Расчёт'!$F$91,'Расчёт'!$F$85-7.5*'Расчёт'!$F$48*('Расчёт'!$C$304-'Расчёт'!$F$91)))</f>
        <v>16.12539807873785</v>
      </c>
      <c r="F304" s="12" t="n">
        <f>MAX('Расчёт'!$D$304-'Расчёт'!$E$304,0)</f>
        <v>0</v>
      </c>
      <c r="G304" s="12" t="n">
        <f>MAX('Расчёт'!$F$40*('Расчёт'!$F$50+'Расчёт'!$F$86)*(MAX('Расчёт'!$F$95-'Расчёт'!$C$304,0)),'Расчёт'!$F$40*'Расчёт'!$F$50*((MAX('Расчёт'!$F$95-'Расчёт'!$C$304,0))+('Расчёт'!$F$93)*'Расчёт'!$F$87),'Расчёт'!$F$40*'Расчёт'!$F$50*((MAX('Расчёт'!$F$95-'Расчёт'!$C$304,0))+'Расчёт'!$F$98*'Расчёт'!$F$88),0.75*'Расчёт'!$F$40*'Расчёт'!$F$50*((MAX('Расчёт'!$F$95-'Расчёт'!$C$304,0))+'Расчёт'!$F$99),'Расчёт'!$F$40*'Расчёт'!$F$50*(MAX('Расчёт'!$F$95-'Расчёт'!$C$304,0))+'Расчёт'!$F$100)</f>
        <v>99.63316285714284</v>
      </c>
      <c r="H304" s="12" t="n">
        <f>'Расчёт'!$G$304-'Расчёт'!$F$304</f>
        <v>99.63316285714284</v>
      </c>
      <c r="I304" s="12" t="n">
        <f>10*MAX('Расчёт'!$F$92-'Расчёт'!$C$304,0)+MAX(IF('Расчёт'!$C$304&lt;='Расчёт'!$F$92,'Расчёт'!$F$85-1.5*'Расчёт'!$F$84*('Расчёт'!$F$92-'Расчёт'!$C$304)/'Расчёт'!$F$92,'Расчёт'!$F$85-7.5*'Расчёт'!$F$48*('Расчёт'!$C$304-'Расчёт'!$F$92)),IF('Расчёт'!$C$304&gt;'Расчёт'!$F$92,0.03*'Расчёт'!$F$20+5,0))</f>
        <v>24.93639807873785</v>
      </c>
      <c r="J304" s="12" t="n">
        <f>MAX('Расчёт'!$H$304,'Расчёт'!$I$304,ABS('Расчёт'!$G$304-('Расчёт'!$D$304+'Расчёт'!$E$304)))</f>
        <v>99.63316285714284</v>
      </c>
      <c r="K304" s="12" t="n">
        <f>MAX('Расчёт'!$F$40*('Расчёт'!$F$50+'Расчёт'!$F$86)*(MAX('Расчёт'!$F$96-'Расчёт'!$C$304,0)),'Расчёт'!$F$40*'Расчёт'!$F$50*((MAX('Расчёт'!$F$96-'Расчёт'!$C$304,0))+('Расчёт'!$F$94)*'Расчёт'!$F$87),'Расчёт'!$F$40*'Расчёт'!$F$50*((MAX('Расчёт'!$F$96-'Расчёт'!$C$304,0))+'Расчёт'!$F$98*'Расчёт'!$F$88),0.75*'Расчёт'!$F$40*'Расчёт'!$F$50*((MAX('Расчёт'!$F$96-'Расчёт'!$C$304,0))+'Расчёт'!$F$99),'Расчёт'!$F$40*'Расчёт'!$F$50*(MAX('Расчёт'!$F$96-'Расчёт'!$C$304,0))+'Расчёт'!$F$100)</f>
        <v>97.36354928571426</v>
      </c>
      <c r="L304" s="12" t="n">
        <f>MAX('Расчёт'!$K$304,'Расчёт'!$G$304)</f>
        <v>99.63316285714284</v>
      </c>
    </row>
    <row r="305" ht="17" customHeight="1" outlineLevel="1" hidden="1">
      <c r="A305" s="14" t="str">
        <v>IF4 / 1</v>
      </c>
      <c r="B305" s="4"/>
      <c r="C305" s="12" t="n">
        <f>'Расчёт'!$D$131</f>
        <v>13.79</v>
      </c>
      <c r="D305" s="12" t="n">
        <f>10*MAX('Расчёт'!$F$91-'Расчёт'!$C$305,0)</f>
        <v>0</v>
      </c>
      <c r="E305" s="12" t="n">
        <f>MAX(0,IF('Расчёт'!$C$305&lt;='Расчёт'!$F$91,'Расчёт'!$F$85-1.5*'Расчёт'!$F$84*('Расчёт'!$F$91-'Расчёт'!$C$305)/'Расчёт'!$F$91,'Расчёт'!$F$85-7.5*'Расчёт'!$F$48*('Расчёт'!$C$305-'Расчёт'!$F$91)))</f>
        <v>9.13667307873785</v>
      </c>
      <c r="F305" s="12" t="n">
        <f>MAX('Расчёт'!$D$305-'Расчёт'!$E$305,0)</f>
        <v>0</v>
      </c>
      <c r="G305" s="12" t="n">
        <f>MAX('Расчёт'!$F$40*('Расчёт'!$F$50+'Расчёт'!$F$86)*(MAX('Расчёт'!$F$95-'Расчёт'!$C$305,0)),'Расчёт'!$F$40*'Расчёт'!$F$50*((MAX('Расчёт'!$F$95-'Расчёт'!$C$305,0))+('Расчёт'!$F$93)*'Расчёт'!$F$87),'Расчёт'!$F$40*'Расчёт'!$F$50*((MAX('Расчёт'!$F$95-'Расчёт'!$C$305,0))+'Расчёт'!$F$98*'Расчёт'!$F$88),0.75*'Расчёт'!$F$40*'Расчёт'!$F$50*((MAX('Расчёт'!$F$95-'Расчёт'!$C$305,0))+'Расчёт'!$F$99),'Расчёт'!$F$40*'Расчёт'!$F$50*(MAX('Расчёт'!$F$95-'Расчёт'!$C$305,0))+'Расчёт'!$F$100)</f>
        <v>64.54034035714287</v>
      </c>
      <c r="H305" s="12" t="n">
        <f>'Расчёт'!$G$305-'Расчёт'!$F$305</f>
        <v>64.54034035714287</v>
      </c>
      <c r="I305" s="12" t="n">
        <f>10*MAX('Расчёт'!$F$92-'Расчёт'!$C$305,0)+MAX(IF('Расчёт'!$C$305&lt;='Расчёт'!$F$92,'Расчёт'!$F$85-1.5*'Расчёт'!$F$84*('Расчёт'!$F$92-'Расчёт'!$C$305)/'Расчёт'!$F$92,'Расчёт'!$F$85-7.5*'Расчёт'!$F$48*('Расчёт'!$C$305-'Расчёт'!$F$92)),IF('Расчёт'!$C$305&gt;'Расчёт'!$F$92,0.03*'Расчёт'!$F$20+5,0))</f>
        <v>17.94767307873785</v>
      </c>
      <c r="J305" s="12" t="n">
        <f>MAX('Расчёт'!$H$305,'Расчёт'!$I$305,ABS('Расчёт'!$G$305-('Расчёт'!$D$305+'Расчёт'!$E$305)))</f>
        <v>64.54034035714287</v>
      </c>
      <c r="K305" s="12" t="n">
        <f>MAX('Расчёт'!$F$40*('Расчёт'!$F$50+'Расчёт'!$F$86)*(MAX('Расчёт'!$F$96-'Расчёт'!$C$305,0)),'Расчёт'!$F$40*'Расчёт'!$F$50*((MAX('Расчёт'!$F$96-'Расчёт'!$C$305,0))+('Расчёт'!$F$94)*'Расчёт'!$F$87),'Расчёт'!$F$40*'Расчёт'!$F$50*((MAX('Расчёт'!$F$96-'Расчёт'!$C$305,0))+'Расчёт'!$F$98*'Расчёт'!$F$88),0.75*'Расчёт'!$F$40*'Расчёт'!$F$50*((MAX('Расчёт'!$F$96-'Расчёт'!$C$305,0))+'Расчёт'!$F$99),'Расчёт'!$F$40*'Расчёт'!$F$50*(MAX('Расчёт'!$F$96-'Расчёт'!$C$305,0))+'Расчёт'!$F$100)</f>
        <v>62.27072678571428</v>
      </c>
      <c r="L305" s="12" t="n">
        <f>MAX('Расчёт'!$K$305,'Расчёт'!$G$305)</f>
        <v>64.54034035714287</v>
      </c>
    </row>
    <row r="306" ht="17" customHeight="1" outlineLevel="1" hidden="1">
      <c r="A306" s="14" t="str">
        <v>IF4 / 2</v>
      </c>
      <c r="B306" s="4"/>
      <c r="C306" s="12" t="n">
        <f>'Расчёт'!$D$131</f>
        <v>13.79</v>
      </c>
      <c r="D306" s="12" t="n">
        <f>10*MAX('Расчёт'!$F$91-'Расчёт'!$C$306,0)</f>
        <v>0</v>
      </c>
      <c r="E306" s="12" t="n">
        <f>MAX(0,IF('Расчёт'!$C$306&lt;='Расчёт'!$F$91,'Расчёт'!$F$85-1.5*'Расчёт'!$F$84*('Расчёт'!$F$91-'Расчёт'!$C$306)/'Расчёт'!$F$91,'Расчёт'!$F$85-7.5*'Расчёт'!$F$48*('Расчёт'!$C$306-'Расчёт'!$F$91)))</f>
        <v>9.13667307873785</v>
      </c>
      <c r="F306" s="12" t="n">
        <f>MAX('Расчёт'!$D$306-'Расчёт'!$E$306,0)</f>
        <v>0</v>
      </c>
      <c r="G306" s="12" t="n">
        <f>MAX('Расчёт'!$F$40*('Расчёт'!$F$50+'Расчёт'!$F$86)*(MAX('Расчёт'!$F$95-'Расчёт'!$C$306,0)),'Расчёт'!$F$40*'Расчёт'!$F$50*((MAX('Расчёт'!$F$95-'Расчёт'!$C$306,0))+('Расчёт'!$F$93)*'Расчёт'!$F$87),'Расчёт'!$F$40*'Расчёт'!$F$50*((MAX('Расчёт'!$F$95-'Расчёт'!$C$306,0))+'Расчёт'!$F$98*'Расчёт'!$F$88),0.75*'Расчёт'!$F$40*'Расчёт'!$F$50*((MAX('Расчёт'!$F$95-'Расчёт'!$C$306,0))+'Расчёт'!$F$99),'Расчёт'!$F$40*'Расчёт'!$F$50*(MAX('Расчёт'!$F$95-'Расчёт'!$C$306,0))+'Расчёт'!$F$100)</f>
        <v>64.54034035714287</v>
      </c>
      <c r="H306" s="12" t="n">
        <f>'Расчёт'!$G$306-'Расчёт'!$F$306</f>
        <v>64.54034035714287</v>
      </c>
      <c r="I306" s="12" t="n">
        <f>10*MAX('Расчёт'!$F$92-'Расчёт'!$C$306,0)+MAX(IF('Расчёт'!$C$306&lt;='Расчёт'!$F$92,'Расчёт'!$F$85-1.5*'Расчёт'!$F$84*('Расчёт'!$F$92-'Расчёт'!$C$306)/'Расчёт'!$F$92,'Расчёт'!$F$85-7.5*'Расчёт'!$F$48*('Расчёт'!$C$306-'Расчёт'!$F$92)),IF('Расчёт'!$C$306&gt;'Расчёт'!$F$92,0.03*'Расчёт'!$F$20+5,0))</f>
        <v>17.94767307873785</v>
      </c>
      <c r="J306" s="12" t="n">
        <f>MAX('Расчёт'!$H$306,'Расчёт'!$I$306,ABS('Расчёт'!$G$306-('Расчёт'!$D$306+'Расчёт'!$E$306)))</f>
        <v>64.54034035714287</v>
      </c>
      <c r="K306" s="12" t="n">
        <f>MAX('Расчёт'!$F$40*('Расчёт'!$F$50+'Расчёт'!$F$86)*(MAX('Расчёт'!$F$96-'Расчёт'!$C$306,0)),'Расчёт'!$F$40*'Расчёт'!$F$50*((MAX('Расчёт'!$F$96-'Расчёт'!$C$306,0))+('Расчёт'!$F$94)*'Расчёт'!$F$87),'Расчёт'!$F$40*'Расчёт'!$F$50*((MAX('Расчёт'!$F$96-'Расчёт'!$C$306,0))+'Расчёт'!$F$98*'Расчёт'!$F$88),0.75*'Расчёт'!$F$40*'Расчёт'!$F$50*((MAX('Расчёт'!$F$96-'Расчёт'!$C$306,0))+'Расчёт'!$F$99),'Расчёт'!$F$40*'Расчёт'!$F$50*(MAX('Расчёт'!$F$96-'Расчёт'!$C$306,0))+'Расчёт'!$F$100)</f>
        <v>62.27072678571428</v>
      </c>
      <c r="L306" s="12" t="n">
        <f>MAX('Расчёт'!$K$306,'Расчёт'!$G$306)</f>
        <v>64.54034035714287</v>
      </c>
    </row>
    <row r="307" ht="17" customHeight="1" outlineLevel="1" hidden="1">
      <c r="A307" s="14" t="str">
        <v>IF4 / 3</v>
      </c>
      <c r="B307" s="4"/>
      <c r="C307" s="12" t="n">
        <f>MAX(('Расчёт'!$D$131),MIN(('Расчёт'!$D$131),'Расчёт'!$F$101))</f>
        <v>13.79</v>
      </c>
      <c r="D307" s="12" t="n">
        <f>10*MAX('Расчёт'!$F$91-'Расчёт'!$C$307,0)</f>
        <v>0</v>
      </c>
      <c r="E307" s="12" t="n">
        <f>MAX(0,IF('Расчёт'!$C$307&lt;='Расчёт'!$F$91,'Расчёт'!$F$85-1.5*'Расчёт'!$F$84*('Расчёт'!$F$91-'Расчёт'!$C$307)/'Расчёт'!$F$91,'Расчёт'!$F$85-7.5*'Расчёт'!$F$48*('Расчёт'!$C$307-'Расчёт'!$F$91)))</f>
        <v>9.13667307873785</v>
      </c>
      <c r="F307" s="12" t="n">
        <f>MAX('Расчёт'!$D$307-'Расчёт'!$E$307,0)</f>
        <v>0</v>
      </c>
      <c r="G307" s="12" t="n">
        <f>MAX('Расчёт'!$F$40*('Расчёт'!$F$50+'Расчёт'!$F$86)*(MAX('Расчёт'!$F$95-'Расчёт'!$C$307,0)),'Расчёт'!$F$40*'Расчёт'!$F$50*((MAX('Расчёт'!$F$95-'Расчёт'!$C$307,0))+('Расчёт'!$F$93)*'Расчёт'!$F$87),'Расчёт'!$F$40*'Расчёт'!$F$50*((MAX('Расчёт'!$F$95-'Расчёт'!$C$307,0))+'Расчёт'!$F$98*'Расчёт'!$F$88),0.75*'Расчёт'!$F$40*'Расчёт'!$F$50*((MAX('Расчёт'!$F$95-'Расчёт'!$C$307,0))+'Расчёт'!$F$99),'Расчёт'!$F$40*'Расчёт'!$F$50*(MAX('Расчёт'!$F$95-'Расчёт'!$C$307,0))+'Расчёт'!$F$100)</f>
        <v>64.54034035714287</v>
      </c>
      <c r="H307" s="12" t="n">
        <f>'Расчёт'!$G$307-'Расчёт'!$F$307</f>
        <v>64.54034035714287</v>
      </c>
      <c r="I307" s="12" t="n">
        <f>10*MAX('Расчёт'!$F$92-'Расчёт'!$C$307,0)+MAX(IF('Расчёт'!$C$307&lt;='Расчёт'!$F$92,'Расчёт'!$F$85-1.5*'Расчёт'!$F$84*('Расчёт'!$F$92-'Расчёт'!$C$307)/'Расчёт'!$F$92,'Расчёт'!$F$85-7.5*'Расчёт'!$F$48*('Расчёт'!$C$307-'Расчёт'!$F$92)),IF('Расчёт'!$C$307&gt;'Расчёт'!$F$92,0.03*'Расчёт'!$F$20+5,0))</f>
        <v>17.94767307873785</v>
      </c>
      <c r="J307" s="12" t="n">
        <f>MAX('Расчёт'!$H$307,'Расчёт'!$I$307,ABS('Расчёт'!$G$307-('Расчёт'!$D$307+'Расчёт'!$E$307)))</f>
        <v>64.54034035714287</v>
      </c>
      <c r="K307" s="12" t="n">
        <f>MAX('Расчёт'!$F$40*('Расчёт'!$F$50+'Расчёт'!$F$86)*(MAX('Расчёт'!$F$96-'Расчёт'!$C$307,0)),'Расчёт'!$F$40*'Расчёт'!$F$50*((MAX('Расчёт'!$F$96-'Расчёт'!$C$307,0))+('Расчёт'!$F$94)*'Расчёт'!$F$87),'Расчёт'!$F$40*'Расчёт'!$F$50*((MAX('Расчёт'!$F$96-'Расчёт'!$C$307,0))+'Расчёт'!$F$98*'Расчёт'!$F$88),0.75*'Расчёт'!$F$40*'Расчёт'!$F$50*((MAX('Расчёт'!$F$96-'Расчёт'!$C$307,0))+'Расчёт'!$F$99),'Расчёт'!$F$40*'Расчёт'!$F$50*(MAX('Расчёт'!$F$96-'Расчёт'!$C$307,0))+'Расчёт'!$F$100)</f>
        <v>62.27072678571428</v>
      </c>
      <c r="L307" s="12" t="n">
        <f>MAX('Расчёт'!$K$307,'Расчёт'!$G$307)</f>
        <v>64.54034035714287</v>
      </c>
    </row>
    <row r="308" ht="25" customHeight="1">
      <c r="A308" s="7" t="str">
        <v>3. Изгибающие моменты корпуса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 ht="28" customHeight="1">
      <c r="A309" s="10" t="str">
        <v>Параметр</v>
      </c>
      <c r="B309" s="10"/>
      <c r="C309" s="10"/>
      <c r="D309" s="10"/>
      <c r="E309" s="10"/>
      <c r="F309" s="10" t="str">
        <v>Значение</v>
      </c>
      <c r="G309" s="10"/>
      <c r="H309" s="10"/>
      <c r="I309" s="10" t="str">
        <v>Ед.</v>
      </c>
      <c r="J309" s="10"/>
      <c r="K309" s="3"/>
      <c r="L309" s="3"/>
    </row>
    <row r="310" ht="17" customHeight="1">
      <c r="A310" s="4" t="str">
        <v>ksw</v>
      </c>
      <c r="B310" s="4"/>
      <c r="C310" s="4"/>
      <c r="D310" s="4"/>
      <c r="E310" s="4"/>
      <c r="F310" s="12" t="n">
        <v>80</v>
      </c>
      <c r="G310" s="11"/>
      <c r="H310" s="11"/>
      <c r="I310" s="4" t="str">
        <v>—</v>
      </c>
      <c r="J310" s="4"/>
      <c r="K310" s="3"/>
      <c r="L310" s="3"/>
    </row>
    <row r="311" ht="17" customHeight="1">
      <c r="A311" s="4" t="str">
        <v>M+sw</v>
      </c>
      <c r="B311" s="4"/>
      <c r="C311" s="4"/>
      <c r="D311" s="4"/>
      <c r="E311" s="4"/>
      <c r="F311" s="12" t="n">
        <f>9.81*'Расчёт'!$F$20*'Расчёт'!$F$55/'Расчёт'!$F$310</f>
        <v>574205.05125</v>
      </c>
      <c r="G311" s="11"/>
      <c r="H311" s="11"/>
      <c r="I311" s="4" t="str">
        <v>кНм</v>
      </c>
      <c r="J311" s="4"/>
      <c r="K311" s="3"/>
      <c r="L311" s="3"/>
    </row>
    <row r="312" ht="17" customHeight="1">
      <c r="A312" s="4" t="str">
        <v>M-sw</v>
      </c>
      <c r="B312" s="4"/>
      <c r="C312" s="4"/>
      <c r="D312" s="4"/>
      <c r="E312" s="4"/>
      <c r="F312" s="12" t="n">
        <f>-0.75*'Расчёт'!$F$311</f>
        <v>-430653.7884375</v>
      </c>
      <c r="G312" s="11"/>
      <c r="H312" s="11"/>
      <c r="I312" s="4" t="str">
        <v>кНм</v>
      </c>
      <c r="J312" s="4"/>
      <c r="K312" s="3"/>
      <c r="L312" s="3"/>
    </row>
    <row r="313" ht="17" customHeight="1">
      <c r="A313" s="4" t="str">
        <v>M+w</v>
      </c>
      <c r="B313" s="4"/>
      <c r="C313" s="4"/>
      <c r="D313" s="4"/>
      <c r="E313" s="4"/>
      <c r="F313" s="12" t="n">
        <f>190*'Расчёт'!$F$84*'Расчёт'!$F$21*'Расчёт'!$F$20^2*'Расчёт'!$F$24*10^-3</f>
        <v>823015.587863551</v>
      </c>
      <c r="G313" s="11"/>
      <c r="H313" s="11"/>
      <c r="I313" s="4" t="str">
        <v>кНм</v>
      </c>
      <c r="J313" s="4"/>
      <c r="K313" s="3"/>
      <c r="L313" s="3"/>
    </row>
    <row r="314" ht="17" customHeight="1">
      <c r="A314" s="4" t="str">
        <v>M-w</v>
      </c>
      <c r="B314" s="4"/>
      <c r="C314" s="4"/>
      <c r="D314" s="4"/>
      <c r="E314" s="4"/>
      <c r="F314" s="12" t="n">
        <f>-110*'Расчёт'!$F$84*'Расчёт'!$F$21*'Расчёт'!$F$20^2*('Расчёт'!$F$24+0.7)*10^-3</f>
        <v>-893405.0789308284</v>
      </c>
      <c r="G314" s="11"/>
      <c r="H314" s="11"/>
      <c r="I314" s="4" t="str">
        <v>кНм</v>
      </c>
      <c r="J314" s="4"/>
      <c r="K314" s="3"/>
      <c r="L314" s="3"/>
    </row>
    <row r="315" ht="17" customHeight="1">
      <c r="A315" s="4" t="str">
        <v>M+T</v>
      </c>
      <c r="B315" s="4"/>
      <c r="C315" s="4"/>
      <c r="D315" s="4"/>
      <c r="E315" s="4"/>
      <c r="F315" s="12" t="n">
        <f>'Расчёт'!$F$311+'Расчёт'!$F$313</f>
        <v>1397220.639113551</v>
      </c>
      <c r="G315" s="11"/>
      <c r="H315" s="11"/>
      <c r="I315" s="4" t="str">
        <v>кНм</v>
      </c>
      <c r="J315" s="4"/>
      <c r="K315" s="3"/>
      <c r="L315" s="3"/>
    </row>
    <row r="316" ht="17" customHeight="1">
      <c r="A316" s="4" t="str">
        <v>M-T</v>
      </c>
      <c r="B316" s="4"/>
      <c r="C316" s="4"/>
      <c r="D316" s="4"/>
      <c r="E316" s="4"/>
      <c r="F316" s="12" t="n">
        <f>'Расчёт'!$F$312+'Расчёт'!$F$314</f>
        <v>-1324058.8673683284</v>
      </c>
      <c r="G316" s="11"/>
      <c r="H316" s="11"/>
      <c r="I316" s="4" t="str">
        <v>кНм</v>
      </c>
      <c r="J316" s="4"/>
      <c r="K316" s="3"/>
      <c r="L316" s="3"/>
    </row>
    <row r="317" ht="17" customHeight="1">
      <c r="A317" s="4" t="str">
        <v>Требуемые характеристики</v>
      </c>
      <c r="B317" s="4"/>
      <c r="C317" s="4"/>
      <c r="D317" s="4"/>
      <c r="E317" s="4"/>
      <c r="F317" s="4"/>
      <c r="G317" s="4"/>
      <c r="H317" s="4"/>
      <c r="I317" s="4"/>
      <c r="J317" s="4"/>
      <c r="K317" s="3"/>
      <c r="L317" s="3"/>
    </row>
    <row r="318" ht="17" customHeight="1">
      <c r="A318" s="4" t="str">
        <v>MT, наибольший модуль</v>
      </c>
      <c r="B318" s="4"/>
      <c r="C318" s="4"/>
      <c r="D318" s="4"/>
      <c r="E318" s="4"/>
      <c r="F318" s="17" t="n">
        <f>MAX(ABS('Расчёт'!$F$315),ABS('Расчёт'!$F$316))</f>
        <v>1397220.639113551</v>
      </c>
      <c r="G318" s="11"/>
      <c r="H318" s="11"/>
      <c r="I318" s="4" t="str">
        <v>кНм</v>
      </c>
      <c r="J318" s="4"/>
      <c r="K318" s="3"/>
      <c r="L318" s="3"/>
    </row>
    <row r="319" ht="17" customHeight="1">
      <c r="A319" s="4" t="str">
        <v>η палубы</v>
      </c>
      <c r="B319" s="4"/>
      <c r="C319" s="4"/>
      <c r="D319" s="4"/>
      <c r="E319" s="4"/>
      <c r="F319" s="17" t="n">
        <f>'Расчёт'!$F$46</f>
        <v>1</v>
      </c>
      <c r="G319" s="11"/>
      <c r="H319" s="11"/>
      <c r="I319" s="4" t="str">
        <v>—</v>
      </c>
      <c r="J319" s="4"/>
      <c r="K319" s="3"/>
      <c r="L319" s="3"/>
    </row>
    <row r="320" ht="17" customHeight="1">
      <c r="A320" s="4" t="str">
        <v>Допускаемое напряжение палубы</v>
      </c>
      <c r="B320" s="4"/>
      <c r="C320" s="4"/>
      <c r="D320" s="4"/>
      <c r="E320" s="4"/>
      <c r="F320" s="17" t="n">
        <f>175/'Расчёт'!$F$319</f>
        <v>175</v>
      </c>
      <c r="G320" s="11"/>
      <c r="H320" s="11"/>
      <c r="I320" s="4" t="str">
        <v>МПа</v>
      </c>
      <c r="J320" s="4"/>
      <c r="K320" s="3"/>
      <c r="L320" s="3"/>
    </row>
    <row r="321" ht="17" customHeight="1">
      <c r="A321" s="4" t="str">
        <v>WD по изгибающему моменту</v>
      </c>
      <c r="B321" s="4"/>
      <c r="C321" s="4"/>
      <c r="D321" s="4"/>
      <c r="E321" s="4"/>
      <c r="F321" s="17" t="n">
        <f>'Расчёт'!$F$318/'Расчёт'!$F$320*1000</f>
        <v>7984117.93779172</v>
      </c>
      <c r="G321" s="11"/>
      <c r="H321" s="11"/>
      <c r="I321" s="4" t="str">
        <v>см³</v>
      </c>
      <c r="J321" s="4"/>
      <c r="K321" s="3"/>
      <c r="L321" s="3"/>
    </row>
    <row r="322" ht="17" customHeight="1">
      <c r="A322" s="4" t="str">
        <v>WD минимум</v>
      </c>
      <c r="B322" s="4"/>
      <c r="C322" s="4"/>
      <c r="D322" s="4"/>
      <c r="E322" s="4"/>
      <c r="F322" s="17" t="n">
        <f>'Расчёт'!$F$84*'Расчёт'!$F$21*'Расчёт'!$F$20^2*('Расчёт'!$F$24+0.7)*'Расчёт'!$F$319</f>
        <v>8121864.353916622</v>
      </c>
      <c r="G322" s="11"/>
      <c r="H322" s="11"/>
      <c r="I322" s="4" t="str">
        <v>см³</v>
      </c>
      <c r="J322" s="4"/>
      <c r="K322" s="3"/>
      <c r="L322" s="3"/>
    </row>
    <row r="323" ht="17" customHeight="1">
      <c r="A323" s="4" t="str">
        <v>WD требуемый</v>
      </c>
      <c r="B323" s="4"/>
      <c r="C323" s="4"/>
      <c r="D323" s="4"/>
      <c r="E323" s="4"/>
      <c r="F323" s="17" t="n">
        <f>MAX('Расчёт'!$F$321,'Расчёт'!$F$322)</f>
        <v>8121864.353916622</v>
      </c>
      <c r="G323" s="11"/>
      <c r="H323" s="11"/>
      <c r="I323" s="4" t="str">
        <v>см³</v>
      </c>
      <c r="J323" s="4"/>
      <c r="K323" s="3"/>
      <c r="L323" s="3"/>
    </row>
    <row r="324" ht="17" customHeight="1">
      <c r="A324" s="4" t="str">
        <v>η днища</v>
      </c>
      <c r="B324" s="4"/>
      <c r="C324" s="4"/>
      <c r="D324" s="4"/>
      <c r="E324" s="4"/>
      <c r="F324" s="17" t="n">
        <f>'Расчёт'!$F$46</f>
        <v>1</v>
      </c>
      <c r="G324" s="11"/>
      <c r="H324" s="11"/>
      <c r="I324" s="4" t="str">
        <v>—</v>
      </c>
      <c r="J324" s="4"/>
      <c r="K324" s="3"/>
      <c r="L324" s="3"/>
    </row>
    <row r="325" ht="17" customHeight="1">
      <c r="A325" s="4" t="str">
        <v>Допускаемое напряжение днища</v>
      </c>
      <c r="B325" s="4"/>
      <c r="C325" s="4"/>
      <c r="D325" s="4"/>
      <c r="E325" s="4"/>
      <c r="F325" s="17" t="n">
        <f>175/'Расчёт'!$F$324</f>
        <v>175</v>
      </c>
      <c r="G325" s="11"/>
      <c r="H325" s="11"/>
      <c r="I325" s="4" t="str">
        <v>МПа</v>
      </c>
      <c r="J325" s="4"/>
      <c r="K325" s="3"/>
      <c r="L325" s="3"/>
    </row>
    <row r="326" ht="17" customHeight="1">
      <c r="A326" s="4" t="str">
        <v>WB по изгибающему моменту</v>
      </c>
      <c r="B326" s="4"/>
      <c r="C326" s="4"/>
      <c r="D326" s="4"/>
      <c r="E326" s="4"/>
      <c r="F326" s="17" t="n">
        <f>'Расчёт'!$F$318/'Расчёт'!$F$325*1000</f>
        <v>7984117.93779172</v>
      </c>
      <c r="G326" s="11"/>
      <c r="H326" s="11"/>
      <c r="I326" s="4" t="str">
        <v>см³</v>
      </c>
      <c r="J326" s="4"/>
      <c r="K326" s="3"/>
      <c r="L326" s="3"/>
    </row>
    <row r="327" ht="17" customHeight="1">
      <c r="A327" s="4" t="str">
        <v>WB минимум</v>
      </c>
      <c r="B327" s="4"/>
      <c r="C327" s="4"/>
      <c r="D327" s="4"/>
      <c r="E327" s="4"/>
      <c r="F327" s="17" t="n">
        <f>'Расчёт'!$F$84*'Расчёт'!$F$21*'Расчёт'!$F$20^2*('Расчёт'!$F$24+0.7)*'Расчёт'!$F$324</f>
        <v>8121864.353916622</v>
      </c>
      <c r="G327" s="11"/>
      <c r="H327" s="11"/>
      <c r="I327" s="4" t="str">
        <v>см³</v>
      </c>
      <c r="J327" s="4"/>
      <c r="K327" s="3"/>
      <c r="L327" s="3"/>
    </row>
    <row r="328" ht="17" customHeight="1">
      <c r="A328" s="4" t="str">
        <v>WB требуемый</v>
      </c>
      <c r="B328" s="4"/>
      <c r="C328" s="4"/>
      <c r="D328" s="4"/>
      <c r="E328" s="4"/>
      <c r="F328" s="17" t="n">
        <f>MAX('Расчёт'!$F$326,'Расчёт'!$F$327)</f>
        <v>8121864.353916622</v>
      </c>
      <c r="G328" s="11"/>
      <c r="H328" s="11"/>
      <c r="I328" s="4" t="str">
        <v>см³</v>
      </c>
      <c r="J328" s="4"/>
      <c r="K328" s="3"/>
      <c r="L328" s="3"/>
    </row>
    <row r="329" ht="17" customHeight="1">
      <c r="A329" s="4" t="str">
        <v>I минимум</v>
      </c>
      <c r="B329" s="4"/>
      <c r="C329" s="4"/>
      <c r="D329" s="4"/>
      <c r="E329" s="4"/>
      <c r="F329" s="18" t="n">
        <f>'Расчёт'!$F$84*'Расчёт'!$F$21*'Расчёт'!$F$20^3*('Расчёт'!$F$24+0.7)</f>
        <v>1218279653.0874932</v>
      </c>
      <c r="G329" s="11"/>
      <c r="H329" s="11"/>
      <c r="I329" s="4" t="str">
        <v>см⁴</v>
      </c>
      <c r="J329" s="4"/>
      <c r="K329" s="3"/>
      <c r="L329" s="3"/>
    </row>
    <row r="330" ht="25" customHeight="1">
      <c r="A330" s="7" t="str">
        <v>4. Толщины листов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 ht="28" customHeight="1">
      <c r="A331" s="10" t="str">
        <v>Марка</v>
      </c>
      <c r="B331" s="10" t="str">
        <v>Наименование</v>
      </c>
      <c r="C331" s="10"/>
      <c r="D331" s="10"/>
      <c r="E331" s="10" t="str">
        <v>a, м</v>
      </c>
      <c r="F331" s="10"/>
      <c r="G331" s="10" t="str">
        <v>b, м</v>
      </c>
      <c r="H331" s="10"/>
      <c r="I331" s="10" t="str">
        <v>p, кПа</v>
      </c>
      <c r="J331" s="10"/>
      <c r="K331" s="10" t="str">
        <v>k</v>
      </c>
      <c r="L331" s="10"/>
    </row>
    <row r="332" ht="17" customHeight="1">
      <c r="A332" s="4" t="str">
        <v>KL</v>
      </c>
      <c r="B332" s="4" t="str">
        <v>Горизонтальный киль</v>
      </c>
      <c r="C332" s="4"/>
      <c r="D332" s="4"/>
      <c r="E332" s="12" t="n">
        <f>'Расчёт'!$F$34</f>
        <v>0.8</v>
      </c>
      <c r="F332" s="11"/>
      <c r="G332" s="12" t="n">
        <f>'Расчёт'!$F$32</f>
        <v>2.25</v>
      </c>
      <c r="H332" s="11"/>
      <c r="I332" s="12" t="n">
        <f>'Расчёт'!$F$164</f>
        <v>166.57156189651178</v>
      </c>
      <c r="J332" s="11"/>
      <c r="K332" s="12" t="n">
        <f>MIN(1.2-0.5*'Расчёт'!$E$332/'Расчёт'!$G$332,1)</f>
        <v>1</v>
      </c>
      <c r="L332" s="11"/>
    </row>
    <row r="333" ht="17" customHeight="1">
      <c r="A333" s="4" t="str">
        <v>A</v>
      </c>
      <c r="B333" s="4" t="str">
        <v>Наружная обшивка A</v>
      </c>
      <c r="C333" s="4"/>
      <c r="D333" s="4"/>
      <c r="E333" s="12" t="n">
        <f>'Расчёт'!$F$34</f>
        <v>0.8</v>
      </c>
      <c r="F333" s="11"/>
      <c r="G333" s="12" t="n">
        <f>'Расчёт'!$F$32</f>
        <v>2.25</v>
      </c>
      <c r="H333" s="11"/>
      <c r="I333" s="12" t="n">
        <f>'Расчёт'!$F$164</f>
        <v>166.57156189651178</v>
      </c>
      <c r="J333" s="11"/>
      <c r="K333" s="12" t="n">
        <f>MIN(1.2-0.5*'Расчёт'!$E$333/'Расчёт'!$G$333,1)</f>
        <v>1</v>
      </c>
      <c r="L333" s="11"/>
    </row>
    <row r="334" ht="17" customHeight="1">
      <c r="A334" s="4" t="str">
        <v>B</v>
      </c>
      <c r="B334" s="4" t="str">
        <v>Наружная обшивка B</v>
      </c>
      <c r="C334" s="4"/>
      <c r="D334" s="4"/>
      <c r="E334" s="12" t="n">
        <f>'Расчёт'!$F$34</f>
        <v>0.8</v>
      </c>
      <c r="F334" s="11"/>
      <c r="G334" s="12" t="n">
        <f>'Расчёт'!$F$32</f>
        <v>2.25</v>
      </c>
      <c r="H334" s="11"/>
      <c r="I334" s="12" t="n">
        <f>'Расчёт'!$F$164</f>
        <v>166.57156189651178</v>
      </c>
      <c r="J334" s="11"/>
      <c r="K334" s="12" t="n">
        <f>MIN(1.2-0.5*'Расчёт'!$E$334/'Расчёт'!$G$334,1)</f>
        <v>1</v>
      </c>
      <c r="L334" s="11"/>
    </row>
    <row r="335" ht="17" customHeight="1">
      <c r="A335" s="4" t="str">
        <v>C</v>
      </c>
      <c r="B335" s="4" t="str">
        <v>Наружная обшивка C</v>
      </c>
      <c r="C335" s="4"/>
      <c r="D335" s="4"/>
      <c r="E335" s="12" t="n">
        <f>'Расчёт'!$F$34</f>
        <v>0.8</v>
      </c>
      <c r="F335" s="11"/>
      <c r="G335" s="12" t="n">
        <f>'Расчёт'!$F$32</f>
        <v>2.25</v>
      </c>
      <c r="H335" s="11"/>
      <c r="I335" s="12" t="n">
        <f>'Расчёт'!$F$164</f>
        <v>166.57156189651178</v>
      </c>
      <c r="J335" s="11"/>
      <c r="K335" s="12" t="n">
        <f>MIN(1.2-0.5*'Расчёт'!$E$335/'Расчёт'!$G$335,1)</f>
        <v>1</v>
      </c>
      <c r="L335" s="11"/>
    </row>
    <row r="336" ht="17" customHeight="1">
      <c r="A336" s="4" t="str">
        <v>D</v>
      </c>
      <c r="B336" s="4" t="str">
        <v>Наружная обшивка D</v>
      </c>
      <c r="C336" s="4"/>
      <c r="D336" s="4"/>
      <c r="E336" s="12" t="n">
        <f>'Расчёт'!$F$34</f>
        <v>0.8</v>
      </c>
      <c r="F336" s="11"/>
      <c r="G336" s="12" t="n">
        <f>'Расчёт'!$F$32</f>
        <v>2.25</v>
      </c>
      <c r="H336" s="11"/>
      <c r="I336" s="12" t="n">
        <f>'Расчёт'!$F$164</f>
        <v>166.57156189651178</v>
      </c>
      <c r="J336" s="11"/>
      <c r="K336" s="12" t="n">
        <f>MIN(1.2-0.5*'Расчёт'!$E$336/'Расчёт'!$G$336,1)</f>
        <v>1</v>
      </c>
      <c r="L336" s="11"/>
    </row>
    <row r="337" ht="17" customHeight="1">
      <c r="A337" s="4" t="str">
        <v>E</v>
      </c>
      <c r="B337" s="4" t="str">
        <v>Наружная обшивка E</v>
      </c>
      <c r="C337" s="4"/>
      <c r="D337" s="4"/>
      <c r="E337" s="12" t="n">
        <f>'Расчёт'!$F$34</f>
        <v>0.8</v>
      </c>
      <c r="F337" s="11"/>
      <c r="G337" s="12" t="n">
        <f>'Расчёт'!$F$32</f>
        <v>2.25</v>
      </c>
      <c r="H337" s="11"/>
      <c r="I337" s="12" t="n">
        <f>'Расчёт'!$F$164</f>
        <v>166.57156189651178</v>
      </c>
      <c r="J337" s="11"/>
      <c r="K337" s="12" t="n">
        <f>MIN(1.2-0.5*'Расчёт'!$E$337/'Расчёт'!$G$337,1)</f>
        <v>1</v>
      </c>
      <c r="L337" s="11"/>
    </row>
    <row r="338" ht="17" customHeight="1">
      <c r="A338" s="4" t="str">
        <v>F</v>
      </c>
      <c r="B338" s="4" t="str">
        <v>Наружная обшивка F</v>
      </c>
      <c r="C338" s="4"/>
      <c r="D338" s="4"/>
      <c r="E338" s="12" t="n">
        <f>'Расчёт'!$F$30</f>
        <v>0.75</v>
      </c>
      <c r="F338" s="11"/>
      <c r="G338" s="12" t="n">
        <f>MAX('Расчёт'!$F$35-'Расчёт'!$F$26,'Расчёт'!$F$36-'Расчёт'!$F$35,'Расчёт'!$F$37-'Расчёт'!$F$36,'Расчёт'!$F$22-'Расчёт'!$F$37)</f>
        <v>3.5</v>
      </c>
      <c r="H338" s="11"/>
      <c r="I338" s="12" t="n">
        <f>'Расчёт'!$F$167</f>
        <v>167.13305003737298</v>
      </c>
      <c r="J338" s="11"/>
      <c r="K338" s="12" t="n">
        <f>MIN(1.2-0.5*'Расчёт'!$E$338/'Расчёт'!$G$338,1)</f>
        <v>1</v>
      </c>
      <c r="L338" s="11"/>
    </row>
    <row r="339" ht="17" customHeight="1">
      <c r="A339" s="4" t="str">
        <v>G</v>
      </c>
      <c r="B339" s="4" t="str">
        <v>Наружная обшивка G</v>
      </c>
      <c r="C339" s="4"/>
      <c r="D339" s="4"/>
      <c r="E339" s="12" t="n">
        <f>'Расчёт'!$F$30</f>
        <v>0.75</v>
      </c>
      <c r="F339" s="11"/>
      <c r="G339" s="12" t="n">
        <f>MAX('Расчёт'!$F$35-'Расчёт'!$F$26,'Расчёт'!$F$36-'Расчёт'!$F$35,'Расчёт'!$F$37-'Расчёт'!$F$36,'Расчёт'!$F$22-'Расчёт'!$F$37)</f>
        <v>3.5</v>
      </c>
      <c r="H339" s="11"/>
      <c r="I339" s="12" t="n">
        <f>'Расчёт'!$F$168</f>
        <v>171.6523703726363</v>
      </c>
      <c r="J339" s="11"/>
      <c r="K339" s="12" t="n">
        <f>MIN(1.2-0.5*'Расчёт'!$E$339/'Расчёт'!$G$339,1)</f>
        <v>1</v>
      </c>
      <c r="L339" s="11"/>
    </row>
    <row r="340" ht="17" customHeight="1">
      <c r="A340" s="4" t="str">
        <v>H</v>
      </c>
      <c r="B340" s="4" t="str">
        <v>Наружная обшивка H</v>
      </c>
      <c r="C340" s="4"/>
      <c r="D340" s="4"/>
      <c r="E340" s="12" t="n">
        <f>'Расчёт'!$F$30</f>
        <v>0.75</v>
      </c>
      <c r="F340" s="11"/>
      <c r="G340" s="12" t="n">
        <f>MAX('Расчёт'!$F$35-'Расчёт'!$F$26,'Расчёт'!$F$36-'Расчёт'!$F$35,'Расчёт'!$F$37-'Расчёт'!$F$36,'Расчёт'!$F$22-'Расчёт'!$F$37)</f>
        <v>3.5</v>
      </c>
      <c r="H340" s="11"/>
      <c r="I340" s="12" t="n">
        <f>'Расчёт'!$F$169</f>
        <v>174.14002123760736</v>
      </c>
      <c r="J340" s="11"/>
      <c r="K340" s="12" t="n">
        <f>MIN(1.2-0.5*'Расчёт'!$E$340/'Расчёт'!$G$340,1)</f>
        <v>1</v>
      </c>
      <c r="L340" s="11"/>
    </row>
    <row r="341" ht="17" customHeight="1">
      <c r="A341" s="4" t="str">
        <v>I</v>
      </c>
      <c r="B341" s="4" t="str">
        <v>Наружная обшивка I</v>
      </c>
      <c r="C341" s="4"/>
      <c r="D341" s="4"/>
      <c r="E341" s="12" t="n">
        <f>'Расчёт'!$F$30</f>
        <v>0.75</v>
      </c>
      <c r="F341" s="11"/>
      <c r="G341" s="12" t="n">
        <f>MAX('Расчёт'!$F$35-'Расчёт'!$F$26,'Расчёт'!$F$36-'Расчёт'!$F$35,'Расчёт'!$F$37-'Расчёт'!$F$36,'Расчёт'!$F$22-'Расчёт'!$F$37)</f>
        <v>3.5</v>
      </c>
      <c r="H341" s="11"/>
      <c r="I341" s="12" t="n">
        <f>'Расчёт'!$F$170</f>
        <v>163.58188124289967</v>
      </c>
      <c r="J341" s="11"/>
      <c r="K341" s="12" t="n">
        <f>MIN(1.2-0.5*'Расчёт'!$E$341/'Расчёт'!$G$341,1)</f>
        <v>1</v>
      </c>
      <c r="L341" s="11"/>
    </row>
    <row r="342" ht="17" customHeight="1">
      <c r="A342" s="4" t="str">
        <v>J</v>
      </c>
      <c r="B342" s="4" t="str">
        <v>Наружная обшивка J</v>
      </c>
      <c r="C342" s="4"/>
      <c r="D342" s="4"/>
      <c r="E342" s="12" t="n">
        <f>'Расчёт'!$F$30</f>
        <v>0.75</v>
      </c>
      <c r="F342" s="11"/>
      <c r="G342" s="12" t="n">
        <f>MAX('Расчёт'!$F$35-'Расчёт'!$F$26,'Расчёт'!$F$36-'Расчёт'!$F$35,'Расчёт'!$F$37-'Расчёт'!$F$36,'Расчёт'!$F$22-'Расчёт'!$F$37)</f>
        <v>3.5</v>
      </c>
      <c r="H342" s="11"/>
      <c r="I342" s="12" t="n">
        <f>'Расчёт'!$F$171</f>
        <v>143.47138124289967</v>
      </c>
      <c r="J342" s="11"/>
      <c r="K342" s="12" t="n">
        <f>MIN(1.2-0.5*'Расчёт'!$E$342/'Расчёт'!$G$342,1)</f>
        <v>1</v>
      </c>
      <c r="L342" s="11"/>
    </row>
    <row r="343" ht="17" customHeight="1">
      <c r="A343" s="4" t="str">
        <v>K</v>
      </c>
      <c r="B343" s="4" t="str">
        <v>Наружная обшивка K</v>
      </c>
      <c r="C343" s="4"/>
      <c r="D343" s="4"/>
      <c r="E343" s="12" t="n">
        <f>'Расчёт'!$F$30</f>
        <v>0.75</v>
      </c>
      <c r="F343" s="11"/>
      <c r="G343" s="12" t="n">
        <f>MAX('Расчёт'!$F$35-'Расчёт'!$F$26,'Расчёт'!$F$36-'Расчёт'!$F$35,'Расчёт'!$F$37-'Расчёт'!$F$36,'Расчёт'!$F$22-'Расчёт'!$F$37)</f>
        <v>3.5</v>
      </c>
      <c r="H343" s="11"/>
      <c r="I343" s="12" t="n">
        <f>'Расчёт'!$F$172</f>
        <v>123.36088124289965</v>
      </c>
      <c r="J343" s="11"/>
      <c r="K343" s="12" t="n">
        <f>MIN(1.2-0.5*'Расчёт'!$E$343/'Расчёт'!$G$343,1)</f>
        <v>1</v>
      </c>
      <c r="L343" s="11"/>
    </row>
    <row r="344" ht="17" customHeight="1">
      <c r="A344" s="4" t="str">
        <v>L</v>
      </c>
      <c r="B344" s="4" t="str">
        <v>Наружная обшивка L</v>
      </c>
      <c r="C344" s="4"/>
      <c r="D344" s="4"/>
      <c r="E344" s="12" t="n">
        <f>'Расчёт'!$F$30</f>
        <v>0.75</v>
      </c>
      <c r="F344" s="11"/>
      <c r="G344" s="12" t="n">
        <f>MAX('Расчёт'!$F$35-'Расчёт'!$F$26,'Расчёт'!$F$36-'Расчёт'!$F$35,'Расчёт'!$F$37-'Расчёт'!$F$36,'Расчёт'!$F$22-'Расчёт'!$F$37)</f>
        <v>3.5</v>
      </c>
      <c r="H344" s="11"/>
      <c r="I344" s="12" t="n">
        <f>'Расчёт'!$F$173</f>
        <v>103.25038124289966</v>
      </c>
      <c r="J344" s="11"/>
      <c r="K344" s="12" t="n">
        <f>MIN(1.2-0.5*'Расчёт'!$E$344/'Расчёт'!$G$344,1)</f>
        <v>1</v>
      </c>
      <c r="L344" s="11"/>
    </row>
    <row r="345" ht="17" customHeight="1">
      <c r="A345" s="4" t="str">
        <v>M</v>
      </c>
      <c r="B345" s="4" t="str">
        <v>Наружная обшивка M</v>
      </c>
      <c r="C345" s="4"/>
      <c r="D345" s="4"/>
      <c r="E345" s="12" t="n">
        <f>'Расчёт'!$F$30</f>
        <v>0.75</v>
      </c>
      <c r="F345" s="11"/>
      <c r="G345" s="12" t="n">
        <f>MAX('Расчёт'!$F$35-'Расчёт'!$F$26,'Расчёт'!$F$36-'Расчёт'!$F$35,'Расчёт'!$F$37-'Расчёт'!$F$36,'Расчёт'!$F$22-'Расчёт'!$F$37)</f>
        <v>3.5</v>
      </c>
      <c r="H345" s="11"/>
      <c r="I345" s="12" t="n">
        <f>'Расчёт'!$F$174</f>
        <v>83.13988124289968</v>
      </c>
      <c r="J345" s="11"/>
      <c r="K345" s="12" t="n">
        <f>MIN(1.2-0.5*'Расчёт'!$E$345/'Расчёт'!$G$345,1)</f>
        <v>1</v>
      </c>
      <c r="L345" s="11"/>
    </row>
    <row r="346" ht="17" customHeight="1">
      <c r="A346" s="4" t="str">
        <v>N</v>
      </c>
      <c r="B346" s="4" t="str">
        <v>Наружная обшивка N</v>
      </c>
      <c r="C346" s="4"/>
      <c r="D346" s="4"/>
      <c r="E346" s="12" t="n">
        <f>'Расчёт'!$F$30</f>
        <v>0.75</v>
      </c>
      <c r="F346" s="11"/>
      <c r="G346" s="12" t="n">
        <f>MAX('Расчёт'!$F$35-'Расчёт'!$F$26,'Расчёт'!$F$36-'Расчёт'!$F$35,'Расчёт'!$F$37-'Расчёт'!$F$36,'Расчёт'!$F$22-'Расчёт'!$F$37)</f>
        <v>3.5</v>
      </c>
      <c r="H346" s="11"/>
      <c r="I346" s="12" t="n">
        <f>'Расчёт'!$F$175</f>
        <v>73.03569080002126</v>
      </c>
      <c r="J346" s="11"/>
      <c r="K346" s="12" t="n">
        <f>MIN(1.2-0.5*'Расчёт'!$E$346/'Расчёт'!$G$346,1)</f>
        <v>1</v>
      </c>
      <c r="L346" s="11"/>
    </row>
    <row r="347" ht="17" customHeight="1">
      <c r="A347" s="4" t="str">
        <v>SH</v>
      </c>
      <c r="B347" s="4" t="str">
        <v>Ширстрек</v>
      </c>
      <c r="C347" s="4"/>
      <c r="D347" s="4"/>
      <c r="E347" s="12" t="n">
        <f>'Расчёт'!$F$30</f>
        <v>0.75</v>
      </c>
      <c r="F347" s="11"/>
      <c r="G347" s="12" t="n">
        <f>MAX('Расчёт'!$F$35-'Расчёт'!$F$26,'Расчёт'!$F$36-'Расчёт'!$F$35,'Расчёт'!$F$37-'Расчёт'!$F$36,'Расчёт'!$F$22-'Расчёт'!$F$37)</f>
        <v>3.5</v>
      </c>
      <c r="H347" s="11"/>
      <c r="I347" s="12" t="n">
        <f>'Расчёт'!$F$176</f>
        <v>62.931500357142866</v>
      </c>
      <c r="J347" s="11"/>
      <c r="K347" s="12" t="n">
        <f>MIN(1.2-0.5*'Расчёт'!$E$347/'Расчёт'!$G$347,1)</f>
        <v>1</v>
      </c>
      <c r="L347" s="11"/>
    </row>
    <row r="348" ht="17" customHeight="1">
      <c r="A348" s="4" t="str">
        <v>IB</v>
      </c>
      <c r="B348" s="4" t="str">
        <v>Настил второго дна</v>
      </c>
      <c r="C348" s="4"/>
      <c r="D348" s="4"/>
      <c r="E348" s="12" t="n">
        <f>'Расчёт'!$F$34</f>
        <v>0.8</v>
      </c>
      <c r="F348" s="11"/>
      <c r="G348" s="12" t="n">
        <f>'Расчёт'!$F$32</f>
        <v>2.25</v>
      </c>
      <c r="H348" s="11"/>
      <c r="I348" s="12" t="n">
        <f>'Расчёт'!$D$165</f>
        <v>185.10278785714283</v>
      </c>
      <c r="J348" s="11"/>
      <c r="K348" s="12" t="n">
        <f>MIN(1.2-0.5*'Расчёт'!$E$348/'Расчёт'!$G$348,1)</f>
        <v>1</v>
      </c>
      <c r="L348" s="11"/>
    </row>
    <row r="349" ht="17" customHeight="1">
      <c r="A349" s="4" t="str">
        <v>IM</v>
      </c>
      <c r="B349" s="4" t="str">
        <v>Крайний междудонный лист</v>
      </c>
      <c r="C349" s="4"/>
      <c r="D349" s="4"/>
      <c r="E349" s="12" t="n">
        <f>'Расчёт'!$F$34</f>
        <v>0.8</v>
      </c>
      <c r="F349" s="11"/>
      <c r="G349" s="12" t="n">
        <f>'Расчёт'!$F$32</f>
        <v>2.25</v>
      </c>
      <c r="H349" s="11"/>
      <c r="I349" s="12" t="n">
        <f>'Расчёт'!$D$165</f>
        <v>185.10278785714283</v>
      </c>
      <c r="J349" s="11"/>
      <c r="K349" s="12" t="n">
        <f>MIN(1.2-0.5*'Расчёт'!$E$349/'Расчёт'!$G$349,1)</f>
        <v>1</v>
      </c>
      <c r="L349" s="11"/>
    </row>
    <row r="350" ht="17" customHeight="1">
      <c r="A350" s="4" t="str">
        <v>DK</v>
      </c>
      <c r="B350" s="4" t="str">
        <v>Настил верхней палубы</v>
      </c>
      <c r="C350" s="4"/>
      <c r="D350" s="4"/>
      <c r="E350" s="12" t="n">
        <f>'Расчёт'!$F$34</f>
        <v>0.8</v>
      </c>
      <c r="F350" s="11"/>
      <c r="G350" s="12" t="n">
        <f>'Расчёт'!$F$32</f>
        <v>2.25</v>
      </c>
      <c r="H350" s="11"/>
      <c r="I350" s="12" t="n">
        <f>'Расчёт'!$D$166</f>
        <v>47.345862857142855</v>
      </c>
      <c r="J350" s="11"/>
      <c r="K350" s="12" t="n">
        <f>MIN(1.2-0.5*'Расчёт'!$E$350/'Расчёт'!$G$350,1)</f>
        <v>1</v>
      </c>
      <c r="L350" s="11"/>
    </row>
    <row r="351" ht="17" customHeight="1">
      <c r="A351" s="4" t="str">
        <v>ISG</v>
      </c>
      <c r="B351" s="4" t="str">
        <v>Внутренний борт ISG</v>
      </c>
      <c r="C351" s="4"/>
      <c r="D351" s="4"/>
      <c r="E351" s="12" t="n">
        <f>'Расчёт'!$F$30</f>
        <v>0.75</v>
      </c>
      <c r="F351" s="11"/>
      <c r="G351" s="12" t="n">
        <f>MAX('Расчёт'!$F$35-'Расчёт'!$F$26,'Расчёт'!$F$36-'Расчёт'!$F$35,'Расчёт'!$F$37-'Расчёт'!$F$36,'Расчёт'!$F$22+'Расчёт'!$F$29*'Расчёт'!$F$27/('Расчёт'!$F$21/2)-'Расчёт'!$F$37)</f>
        <v>3.58</v>
      </c>
      <c r="H351" s="11"/>
      <c r="I351" s="12" t="n">
        <f>'Расчёт'!$D$177</f>
        <v>185.10278785714283</v>
      </c>
      <c r="J351" s="11"/>
      <c r="K351" s="12" t="n">
        <f>MIN(1.2-0.5*'Расчёт'!$E$351/'Расчёт'!$G$351,1)</f>
        <v>1</v>
      </c>
      <c r="L351" s="11"/>
    </row>
    <row r="352" ht="17" customHeight="1">
      <c r="A352" s="4" t="str">
        <v>ISF</v>
      </c>
      <c r="B352" s="4" t="str">
        <v>Внутренний борт ISF</v>
      </c>
      <c r="C352" s="4"/>
      <c r="D352" s="4"/>
      <c r="E352" s="12" t="n">
        <f>'Расчёт'!$F$30</f>
        <v>0.75</v>
      </c>
      <c r="F352" s="11"/>
      <c r="G352" s="12" t="n">
        <f>MAX('Расчёт'!$F$35-'Расчёт'!$F$26,'Расчёт'!$F$36-'Расчёт'!$F$35,'Расчёт'!$F$37-'Расчёт'!$F$36,'Расчёт'!$F$22+'Расчёт'!$F$29*'Расчёт'!$F$27/('Расчёт'!$F$21/2)-'Расчёт'!$F$37)</f>
        <v>3.58</v>
      </c>
      <c r="H352" s="11"/>
      <c r="I352" s="12" t="n">
        <f>'Расчёт'!$D$178</f>
        <v>164.99228785714286</v>
      </c>
      <c r="J352" s="11"/>
      <c r="K352" s="12" t="n">
        <f>MIN(1.2-0.5*'Расчёт'!$E$352/'Расчёт'!$G$352,1)</f>
        <v>1</v>
      </c>
      <c r="L352" s="11"/>
    </row>
    <row r="353" ht="17" customHeight="1">
      <c r="A353" s="4" t="str">
        <v>ISE</v>
      </c>
      <c r="B353" s="4" t="str">
        <v>Внутренний борт ISE</v>
      </c>
      <c r="C353" s="4"/>
      <c r="D353" s="4"/>
      <c r="E353" s="12" t="n">
        <f>'Расчёт'!$F$30</f>
        <v>0.75</v>
      </c>
      <c r="F353" s="11"/>
      <c r="G353" s="12" t="n">
        <f>MAX('Расчёт'!$F$35-'Расчёт'!$F$26,'Расчёт'!$F$36-'Расчёт'!$F$35,'Расчёт'!$F$37-'Расчёт'!$F$36,'Расчёт'!$F$22+'Расчёт'!$F$29*'Расчёт'!$F$27/('Расчёт'!$F$21/2)-'Расчёт'!$F$37)</f>
        <v>3.58</v>
      </c>
      <c r="H353" s="11"/>
      <c r="I353" s="12" t="n">
        <f>'Расчёт'!$D$179</f>
        <v>144.88178785714288</v>
      </c>
      <c r="J353" s="11"/>
      <c r="K353" s="12" t="n">
        <f>MIN(1.2-0.5*'Расчёт'!$E$353/'Расчёт'!$G$353,1)</f>
        <v>1</v>
      </c>
      <c r="L353" s="11"/>
    </row>
    <row r="354" ht="17" customHeight="1">
      <c r="A354" s="4" t="str">
        <v>ISD</v>
      </c>
      <c r="B354" s="4" t="str">
        <v>Внутренний борт ISD</v>
      </c>
      <c r="C354" s="4"/>
      <c r="D354" s="4"/>
      <c r="E354" s="12" t="n">
        <f>'Расчёт'!$F$30</f>
        <v>0.75</v>
      </c>
      <c r="F354" s="11"/>
      <c r="G354" s="12" t="n">
        <f>MAX('Расчёт'!$F$35-'Расчёт'!$F$26,'Расчёт'!$F$36-'Расчёт'!$F$35,'Расчёт'!$F$37-'Расчёт'!$F$36,'Расчёт'!$F$22+'Расчёт'!$F$29*'Расчёт'!$F$27/('Расчёт'!$F$21/2)-'Расчёт'!$F$37)</f>
        <v>3.58</v>
      </c>
      <c r="H354" s="11"/>
      <c r="I354" s="12" t="n">
        <f>'Расчёт'!$D$180</f>
        <v>124.77128785714285</v>
      </c>
      <c r="J354" s="11"/>
      <c r="K354" s="12" t="n">
        <f>MIN(1.2-0.5*'Расчёт'!$E$354/'Расчёт'!$G$354,1)</f>
        <v>1</v>
      </c>
      <c r="L354" s="11"/>
    </row>
    <row r="355" ht="17" customHeight="1">
      <c r="A355" s="4" t="str">
        <v>ISC</v>
      </c>
      <c r="B355" s="4" t="str">
        <v>Внутренний борт ISC</v>
      </c>
      <c r="C355" s="4"/>
      <c r="D355" s="4"/>
      <c r="E355" s="12" t="n">
        <f>'Расчёт'!$F$30</f>
        <v>0.75</v>
      </c>
      <c r="F355" s="11"/>
      <c r="G355" s="12" t="n">
        <f>MAX('Расчёт'!$F$35-'Расчёт'!$F$26,'Расчёт'!$F$36-'Расчёт'!$F$35,'Расчёт'!$F$37-'Расчёт'!$F$36,'Расчёт'!$F$22+'Расчёт'!$F$29*'Расчёт'!$F$27/('Расчёт'!$F$21/2)-'Расчёт'!$F$37)</f>
        <v>3.58</v>
      </c>
      <c r="H355" s="11"/>
      <c r="I355" s="12" t="n">
        <f>'Расчёт'!$D$181</f>
        <v>104.66078785714284</v>
      </c>
      <c r="J355" s="11"/>
      <c r="K355" s="12" t="n">
        <f>MIN(1.2-0.5*'Расчёт'!$E$355/'Расчёт'!$G$355,1)</f>
        <v>1</v>
      </c>
      <c r="L355" s="11"/>
    </row>
    <row r="356" ht="17" customHeight="1">
      <c r="A356" s="4" t="str">
        <v>ISB</v>
      </c>
      <c r="B356" s="4" t="str">
        <v>Внутренний борт ISB</v>
      </c>
      <c r="C356" s="4"/>
      <c r="D356" s="4"/>
      <c r="E356" s="12" t="n">
        <f>'Расчёт'!$F$30</f>
        <v>0.75</v>
      </c>
      <c r="F356" s="11"/>
      <c r="G356" s="12" t="n">
        <f>MAX('Расчёт'!$F$35-'Расчёт'!$F$26,'Расчёт'!$F$36-'Расчёт'!$F$35,'Расчёт'!$F$37-'Расчёт'!$F$36,'Расчёт'!$F$22+'Расчёт'!$F$29*'Расчёт'!$F$27/('Расчёт'!$F$21/2)-'Расчёт'!$F$37)</f>
        <v>3.58</v>
      </c>
      <c r="H356" s="11"/>
      <c r="I356" s="12" t="n">
        <f>'Расчёт'!$D$182</f>
        <v>84.55028785714283</v>
      </c>
      <c r="J356" s="11"/>
      <c r="K356" s="12" t="n">
        <f>MIN(1.2-0.5*'Расчёт'!$E$356/'Расчёт'!$G$356,1)</f>
        <v>1</v>
      </c>
      <c r="L356" s="11"/>
    </row>
    <row r="357" ht="17" customHeight="1">
      <c r="A357" s="4" t="str">
        <v>ISA</v>
      </c>
      <c r="B357" s="4" t="str">
        <v>Внутренний борт ISA</v>
      </c>
      <c r="C357" s="4"/>
      <c r="D357" s="4"/>
      <c r="E357" s="12" t="n">
        <f>'Расчёт'!$F$30</f>
        <v>0.75</v>
      </c>
      <c r="F357" s="11"/>
      <c r="G357" s="12" t="n">
        <f>MAX('Расчёт'!$F$35-'Расчёт'!$F$26,'Расчёт'!$F$36-'Расчёт'!$F$35,'Расчёт'!$F$37-'Расчёт'!$F$36,'Расчёт'!$F$22+'Расчёт'!$F$29*'Расчёт'!$F$27/('Расчёт'!$F$21/2)-'Расчёт'!$F$37)</f>
        <v>3.58</v>
      </c>
      <c r="H357" s="11"/>
      <c r="I357" s="12" t="n">
        <f>'Расчёт'!$D$183</f>
        <v>64.43978785714285</v>
      </c>
      <c r="J357" s="11"/>
      <c r="K357" s="12" t="n">
        <f>MIN(1.2-0.5*'Расчёт'!$E$357/'Расчёт'!$G$357,1)</f>
        <v>1</v>
      </c>
      <c r="L357" s="11"/>
    </row>
    <row r="358" ht="25" customHeight="1">
      <c r="A358" s="7" t="str">
        <v>Коэффициенты, коррозия и требуемые толщины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 ht="29" customHeight="1">
      <c r="A359" s="10" t="str">
        <v>Марка</v>
      </c>
      <c r="B359" s="10" t="str">
        <v>kσ</v>
      </c>
      <c r="C359" s="10" t="str">
        <v>u, мм/год</v>
      </c>
      <c r="D359" s="10" t="str">
        <v>Δs, мм</v>
      </c>
      <c r="E359" s="10" t="str">
        <v>s′, мм</v>
      </c>
      <c r="F359" s="10"/>
      <c r="G359" s="10" t="str">
        <v>s′+Δs, мм</v>
      </c>
      <c r="H359" s="10"/>
      <c r="I359" s="10" t="str">
        <v>smin, мм</v>
      </c>
      <c r="J359" s="10"/>
      <c r="K359" s="10" t="str">
        <v>sreq, мм</v>
      </c>
      <c r="L359" s="10"/>
    </row>
    <row r="360" ht="17" customHeight="1">
      <c r="A360" s="16" t="str">
        <f>'Расчёт'!$A$332</f>
        <v>KL</v>
      </c>
      <c r="B360" s="12" t="n">
        <v>0.6</v>
      </c>
      <c r="C360" s="12" t="n">
        <v>0.2</v>
      </c>
      <c r="D360" s="12" t="n">
        <f>'Расчёт'!$C$360*('Расчёт'!$F$43-'Расчёт'!$F$44)</f>
        <v>2.6</v>
      </c>
      <c r="E360" s="12" t="n">
        <f>15.8*'Расчёт'!$E$332*'Расчёт'!$K$332*SQRT('Расчёт'!$I$332/('Расчёт'!$B$360*'Расчёт'!$F$47))</f>
        <v>13.738456615698324</v>
      </c>
      <c r="F360" s="11"/>
      <c r="G360" s="12" t="n">
        <f>'Расчёт'!$E$360+'Расчёт'!$D$360</f>
        <v>16.338456615698323</v>
      </c>
      <c r="H360" s="11"/>
      <c r="I360" s="12" t="n">
        <f>5.5+0.04*'Расчёт'!$F$20</f>
        <v>11.5</v>
      </c>
      <c r="J360" s="11"/>
      <c r="K360" s="12" t="n">
        <f>CEILING(MAX('Расчёт'!$G$360,'Расчёт'!$I$360),0.5)</f>
        <v>16.5</v>
      </c>
      <c r="L360" s="11"/>
    </row>
    <row r="361" ht="17" customHeight="1">
      <c r="A361" s="16" t="str">
        <f>'Расчёт'!$A$333</f>
        <v>A</v>
      </c>
      <c r="B361" s="12" t="n">
        <v>0.6</v>
      </c>
      <c r="C361" s="12" t="n">
        <v>0.2</v>
      </c>
      <c r="D361" s="12" t="n">
        <f>'Расчёт'!$C$361*('Расчёт'!$F$43-'Расчёт'!$F$44)</f>
        <v>2.6</v>
      </c>
      <c r="E361" s="12" t="n">
        <f>15.8*'Расчёт'!$E$333*'Расчёт'!$K$333*SQRT('Расчёт'!$I$333/('Расчёт'!$B$361*'Расчёт'!$F$47))</f>
        <v>13.738456615698324</v>
      </c>
      <c r="F361" s="11"/>
      <c r="G361" s="12" t="n">
        <f>'Расчёт'!$E$361+'Расчёт'!$D$361</f>
        <v>16.338456615698323</v>
      </c>
      <c r="H361" s="11"/>
      <c r="I361" s="12" t="n">
        <f>5.5+0.04*'Расчёт'!$F$20</f>
        <v>11.5</v>
      </c>
      <c r="J361" s="11"/>
      <c r="K361" s="12" t="n">
        <f>CEILING(MAX('Расчёт'!$G$361,'Расчёт'!$I$361),0.5)</f>
        <v>16.5</v>
      </c>
      <c r="L361" s="11"/>
    </row>
    <row r="362" ht="17" customHeight="1">
      <c r="A362" s="16" t="str">
        <f>'Расчёт'!$A$334</f>
        <v>B</v>
      </c>
      <c r="B362" s="12" t="n">
        <v>0.6</v>
      </c>
      <c r="C362" s="12" t="n">
        <v>0.2</v>
      </c>
      <c r="D362" s="12" t="n">
        <f>'Расчёт'!$C$362*('Расчёт'!$F$43-'Расчёт'!$F$44)</f>
        <v>2.6</v>
      </c>
      <c r="E362" s="12" t="n">
        <f>15.8*'Расчёт'!$E$334*'Расчёт'!$K$334*SQRT('Расчёт'!$I$334/('Расчёт'!$B$362*'Расчёт'!$F$47))</f>
        <v>13.738456615698324</v>
      </c>
      <c r="F362" s="11"/>
      <c r="G362" s="12" t="n">
        <f>'Расчёт'!$E$362+'Расчёт'!$D$362</f>
        <v>16.338456615698323</v>
      </c>
      <c r="H362" s="11"/>
      <c r="I362" s="12" t="n">
        <f>5.5+0.04*'Расчёт'!$F$20</f>
        <v>11.5</v>
      </c>
      <c r="J362" s="11"/>
      <c r="K362" s="12" t="n">
        <f>CEILING(MAX('Расчёт'!$G$362,'Расчёт'!$I$362),0.5)</f>
        <v>16.5</v>
      </c>
      <c r="L362" s="11"/>
    </row>
    <row r="363" ht="17" customHeight="1">
      <c r="A363" s="16" t="str">
        <f>'Расчёт'!$A$335</f>
        <v>C</v>
      </c>
      <c r="B363" s="12" t="n">
        <v>0.6</v>
      </c>
      <c r="C363" s="12" t="n">
        <v>0.2</v>
      </c>
      <c r="D363" s="12" t="n">
        <f>'Расчёт'!$C$363*('Расчёт'!$F$43-'Расчёт'!$F$44)</f>
        <v>2.6</v>
      </c>
      <c r="E363" s="12" t="n">
        <f>15.8*'Расчёт'!$E$335*'Расчёт'!$K$335*SQRT('Расчёт'!$I$335/('Расчёт'!$B$363*'Расчёт'!$F$47))</f>
        <v>13.738456615698324</v>
      </c>
      <c r="F363" s="11"/>
      <c r="G363" s="12" t="n">
        <f>'Расчёт'!$E$363+'Расчёт'!$D$363</f>
        <v>16.338456615698323</v>
      </c>
      <c r="H363" s="11"/>
      <c r="I363" s="12" t="n">
        <f>5.5+0.04*'Расчёт'!$F$20</f>
        <v>11.5</v>
      </c>
      <c r="J363" s="11"/>
      <c r="K363" s="12" t="n">
        <f>CEILING(MAX('Расчёт'!$G$363,'Расчёт'!$I$363),0.5)</f>
        <v>16.5</v>
      </c>
      <c r="L363" s="11"/>
    </row>
    <row r="364" ht="17" customHeight="1">
      <c r="A364" s="16" t="str">
        <f>'Расчёт'!$A$336</f>
        <v>D</v>
      </c>
      <c r="B364" s="12" t="n">
        <v>0.6</v>
      </c>
      <c r="C364" s="12" t="n">
        <v>0.2</v>
      </c>
      <c r="D364" s="12" t="n">
        <f>'Расчёт'!$C$364*('Расчёт'!$F$43-'Расчёт'!$F$44)</f>
        <v>2.6</v>
      </c>
      <c r="E364" s="12" t="n">
        <f>15.8*'Расчёт'!$E$336*'Расчёт'!$K$336*SQRT('Расчёт'!$I$336/('Расчёт'!$B$364*'Расчёт'!$F$47))</f>
        <v>13.738456615698324</v>
      </c>
      <c r="F364" s="11"/>
      <c r="G364" s="12" t="n">
        <f>'Расчёт'!$E$364+'Расчёт'!$D$364</f>
        <v>16.338456615698323</v>
      </c>
      <c r="H364" s="11"/>
      <c r="I364" s="12" t="n">
        <f>5.5+0.04*'Расчёт'!$F$20</f>
        <v>11.5</v>
      </c>
      <c r="J364" s="11"/>
      <c r="K364" s="12" t="n">
        <f>CEILING(MAX('Расчёт'!$G$364,'Расчёт'!$I$364),0.5)</f>
        <v>16.5</v>
      </c>
      <c r="L364" s="11"/>
    </row>
    <row r="365" ht="17" customHeight="1">
      <c r="A365" s="16" t="str">
        <f>'Расчёт'!$A$337</f>
        <v>E</v>
      </c>
      <c r="B365" s="12" t="n">
        <v>0.6</v>
      </c>
      <c r="C365" s="12" t="n">
        <v>0.2</v>
      </c>
      <c r="D365" s="12" t="n">
        <f>'Расчёт'!$C$365*('Расчёт'!$F$43-'Расчёт'!$F$44)</f>
        <v>2.6</v>
      </c>
      <c r="E365" s="12" t="n">
        <f>15.8*'Расчёт'!$E$337*'Расчёт'!$K$337*SQRT('Расчёт'!$I$337/('Расчёт'!$B$365*'Расчёт'!$F$47))</f>
        <v>13.738456615698324</v>
      </c>
      <c r="F365" s="11"/>
      <c r="G365" s="12" t="n">
        <f>'Расчёт'!$E$365+'Расчёт'!$D$365</f>
        <v>16.338456615698323</v>
      </c>
      <c r="H365" s="11"/>
      <c r="I365" s="12" t="n">
        <f>5.5+0.04*'Расчёт'!$F$20</f>
        <v>11.5</v>
      </c>
      <c r="J365" s="11"/>
      <c r="K365" s="12" t="n">
        <f>CEILING(MAX('Расчёт'!$G$365,'Расчёт'!$I$365),0.5)</f>
        <v>16.5</v>
      </c>
      <c r="L365" s="11"/>
    </row>
    <row r="366" ht="17" customHeight="1">
      <c r="A366" s="16" t="str">
        <f>'Расчёт'!$A$338</f>
        <v>F</v>
      </c>
      <c r="B366" s="12" t="n">
        <v>0.6</v>
      </c>
      <c r="C366" s="12" t="n">
        <v>0.18</v>
      </c>
      <c r="D366" s="12" t="n">
        <f>'Расчёт'!$C$366*('Расчёт'!$F$43-'Расчёт'!$F$44)</f>
        <v>2.34</v>
      </c>
      <c r="E366" s="12" t="n">
        <f>15.8*'Расчёт'!$E$338*'Расчёт'!$K$338*SQRT('Расчёт'!$I$338/('Расчёт'!$B$366*'Расчёт'!$F$47))</f>
        <v>12.901492771640344</v>
      </c>
      <c r="F366" s="11"/>
      <c r="G366" s="12" t="n">
        <f>'Расчёт'!$E$366+'Расчёт'!$D$366</f>
        <v>15.241492771640344</v>
      </c>
      <c r="H366" s="11"/>
      <c r="I366" s="12" t="n">
        <f>5.5+0.04*'Расчёт'!$F$20</f>
        <v>11.5</v>
      </c>
      <c r="J366" s="11"/>
      <c r="K366" s="12" t="n">
        <f>MAX(CEILING(MAX('Расчёт'!$G$366,'Расчёт'!$I$366),0.5),'Расчёт'!$K$361,'Расчёт'!$K$368)</f>
        <v>16.5</v>
      </c>
      <c r="L366" s="11"/>
    </row>
    <row r="367" ht="17" customHeight="1">
      <c r="A367" s="16" t="str">
        <f>'Расчёт'!$A$339</f>
        <v>G</v>
      </c>
      <c r="B367" s="12" t="n">
        <v>0.6</v>
      </c>
      <c r="C367" s="12" t="n">
        <v>0.18</v>
      </c>
      <c r="D367" s="12" t="n">
        <f>'Расчёт'!$C$367*('Расчёт'!$F$43-'Расчёт'!$F$44)</f>
        <v>2.34</v>
      </c>
      <c r="E367" s="12" t="n">
        <f>15.8*'Расчёт'!$E$339*'Расчёт'!$K$339*SQRT('Расчёт'!$I$339/('Расчёт'!$B$367*'Расчёт'!$F$47))</f>
        <v>13.07475912167131</v>
      </c>
      <c r="F367" s="11"/>
      <c r="G367" s="12" t="n">
        <f>'Расчёт'!$E$367+'Расчёт'!$D$367</f>
        <v>15.41475912167131</v>
      </c>
      <c r="H367" s="11"/>
      <c r="I367" s="12" t="n">
        <f>5.5+0.04*'Расчёт'!$F$20</f>
        <v>11.5</v>
      </c>
      <c r="J367" s="11"/>
      <c r="K367" s="12" t="n">
        <f>MAX(CEILING(MAX('Расчёт'!$G$367,'Расчёт'!$I$367),0.5),'Расчёт'!$K$361,'Расчёт'!$K$368)</f>
        <v>16.5</v>
      </c>
      <c r="L367" s="11"/>
    </row>
    <row r="368" ht="17" customHeight="1">
      <c r="A368" s="16" t="str">
        <f>'Расчёт'!$A$340</f>
        <v>H</v>
      </c>
      <c r="B368" s="12" t="n">
        <v>0.6</v>
      </c>
      <c r="C368" s="12" t="n">
        <v>0.21</v>
      </c>
      <c r="D368" s="12" t="n">
        <f>'Расчёт'!$C$368*('Расчёт'!$F$43-'Расчёт'!$F$44)</f>
        <v>2.73</v>
      </c>
      <c r="E368" s="12" t="n">
        <f>15.8*'Расчёт'!$E$340*'Расчёт'!$K$340*SQRT('Расчёт'!$I$340/('Расчёт'!$B$368*'Расчёт'!$F$47))</f>
        <v>13.169160496094658</v>
      </c>
      <c r="F368" s="11"/>
      <c r="G368" s="12" t="n">
        <f>'Расчёт'!$E$368+'Расчёт'!$D$368</f>
        <v>15.899160496094659</v>
      </c>
      <c r="H368" s="11"/>
      <c r="I368" s="12" t="n">
        <f>5.5+0.04*'Расчёт'!$F$20</f>
        <v>11.5</v>
      </c>
      <c r="J368" s="11"/>
      <c r="K368" s="12" t="n">
        <f>CEILING(MAX('Расчёт'!$G$368,'Расчёт'!$I$368),0.5)</f>
        <v>16</v>
      </c>
      <c r="L368" s="11"/>
    </row>
    <row r="369" ht="17" customHeight="1">
      <c r="A369" s="16" t="str">
        <f>'Расчёт'!$A$341</f>
        <v>I</v>
      </c>
      <c r="B369" s="12" t="n">
        <v>0.6</v>
      </c>
      <c r="C369" s="12" t="n">
        <v>0.21</v>
      </c>
      <c r="D369" s="12" t="n">
        <f>'Расчёт'!$C$369*('Расчёт'!$F$43-'Расчёт'!$F$44)</f>
        <v>2.73</v>
      </c>
      <c r="E369" s="12" t="n">
        <f>15.8*'Расчёт'!$E$341*'Расчёт'!$K$341*SQRT('Расчёт'!$I$341/('Расчёт'!$B$369*'Расчёт'!$F$47))</f>
        <v>12.763694278026072</v>
      </c>
      <c r="F369" s="11"/>
      <c r="G369" s="12" t="n">
        <f>'Расчёт'!$E$369+'Расчёт'!$D$369</f>
        <v>15.493694278026073</v>
      </c>
      <c r="H369" s="11"/>
      <c r="I369" s="12" t="n">
        <f>5.5+0.04*'Расчёт'!$F$20</f>
        <v>11.5</v>
      </c>
      <c r="J369" s="11"/>
      <c r="K369" s="12" t="n">
        <f>CEILING(MAX('Расчёт'!$G$369,'Расчёт'!$I$369),0.5)</f>
        <v>15.5</v>
      </c>
      <c r="L369" s="11"/>
    </row>
    <row r="370" ht="17" customHeight="1">
      <c r="A370" s="16" t="str">
        <f>'Расчёт'!$A$342</f>
        <v>J</v>
      </c>
      <c r="B370" s="12" t="n">
        <v>0.6</v>
      </c>
      <c r="C370" s="12" t="n">
        <v>0.21</v>
      </c>
      <c r="D370" s="12" t="n">
        <f>'Расчёт'!$C$370*('Расчёт'!$F$43-'Расчёт'!$F$44)</f>
        <v>2.73</v>
      </c>
      <c r="E370" s="12" t="n">
        <f>15.8*'Расчёт'!$E$342*'Расчёт'!$K$342*SQRT('Расчёт'!$I$342/('Расчёт'!$B$370*'Расчёт'!$F$47))</f>
        <v>11.953399478655424</v>
      </c>
      <c r="F370" s="11"/>
      <c r="G370" s="12" t="n">
        <f>'Расчёт'!$E$370+'Расчёт'!$D$370</f>
        <v>14.683399478655424</v>
      </c>
      <c r="H370" s="11"/>
      <c r="I370" s="12" t="n">
        <f>5.5+0.04*'Расчёт'!$F$20</f>
        <v>11.5</v>
      </c>
      <c r="J370" s="11"/>
      <c r="K370" s="12" t="n">
        <f>CEILING(MAX('Расчёт'!$G$370,'Расчёт'!$I$370),0.5)</f>
        <v>15</v>
      </c>
      <c r="L370" s="11"/>
    </row>
    <row r="371" ht="17" customHeight="1">
      <c r="A371" s="16" t="str">
        <f>'Расчёт'!$A$343</f>
        <v>K</v>
      </c>
      <c r="B371" s="12" t="n">
        <v>0.6</v>
      </c>
      <c r="C371" s="12" t="n">
        <v>0.21</v>
      </c>
      <c r="D371" s="12" t="n">
        <f>'Расчёт'!$C$371*('Расчёт'!$F$43-'Расчёт'!$F$44)</f>
        <v>2.73</v>
      </c>
      <c r="E371" s="12" t="n">
        <f>15.8*'Расчёт'!$E$343*'Расчёт'!$K$343*SQRT('Расчёт'!$I$343/('Расчёт'!$B$371*'Расчёт'!$F$47))</f>
        <v>11.084025738409487</v>
      </c>
      <c r="F371" s="11"/>
      <c r="G371" s="12" t="n">
        <f>'Расчёт'!$E$371+'Расчёт'!$D$371</f>
        <v>13.814025738409487</v>
      </c>
      <c r="H371" s="11"/>
      <c r="I371" s="12" t="n">
        <f>5.5+0.04*'Расчёт'!$F$20</f>
        <v>11.5</v>
      </c>
      <c r="J371" s="11"/>
      <c r="K371" s="12" t="n">
        <f>CEILING(MAX('Расчёт'!$G$371,'Расчёт'!$I$371),0.5)</f>
        <v>14</v>
      </c>
      <c r="L371" s="11"/>
    </row>
    <row r="372" ht="17" customHeight="1">
      <c r="A372" s="16" t="str">
        <f>'Расчёт'!$A$344</f>
        <v>L</v>
      </c>
      <c r="B372" s="12" t="n">
        <v>0.6</v>
      </c>
      <c r="C372" s="12" t="n">
        <v>0.21</v>
      </c>
      <c r="D372" s="12" t="n">
        <f>'Расчёт'!$C$372*('Расчёт'!$F$43-'Расчёт'!$F$44)</f>
        <v>2.73</v>
      </c>
      <c r="E372" s="12" t="n">
        <f>15.8*'Расчёт'!$E$344*'Расчёт'!$K$344*SQRT('Расчёт'!$I$344/('Расчёт'!$B$372*'Расчёт'!$F$47))</f>
        <v>10.140389245148741</v>
      </c>
      <c r="F372" s="11"/>
      <c r="G372" s="12" t="n">
        <f>'Расчёт'!$E$372+'Расчёт'!$D$372</f>
        <v>12.870389245148742</v>
      </c>
      <c r="H372" s="11"/>
      <c r="I372" s="12" t="n">
        <f>5.5+0.04*'Расчёт'!$F$20</f>
        <v>11.5</v>
      </c>
      <c r="J372" s="11"/>
      <c r="K372" s="12" t="n">
        <f>CEILING(MAX('Расчёт'!$G$372,'Расчёт'!$I$372),0.5)</f>
        <v>13</v>
      </c>
      <c r="L372" s="11"/>
    </row>
    <row r="373" ht="17" customHeight="1">
      <c r="A373" s="16" t="str">
        <f>'Расчёт'!$A$345</f>
        <v>M</v>
      </c>
      <c r="B373" s="12" t="n">
        <v>0.6</v>
      </c>
      <c r="C373" s="12" t="n">
        <v>0.21</v>
      </c>
      <c r="D373" s="12" t="n">
        <f>'Расчёт'!$C$373*('Расчёт'!$F$43-'Расчёт'!$F$44)</f>
        <v>2.73</v>
      </c>
      <c r="E373" s="12" t="n">
        <f>15.8*'Расчёт'!$E$345*'Расчёт'!$K$345*SQRT('Расчёт'!$I$345/('Расчёт'!$B$373*'Расчёт'!$F$47))</f>
        <v>9.099415449166639</v>
      </c>
      <c r="F373" s="11"/>
      <c r="G373" s="12" t="n">
        <f>'Расчёт'!$E$373+'Расчёт'!$D$373</f>
        <v>11.829415449166639</v>
      </c>
      <c r="H373" s="11"/>
      <c r="I373" s="12" t="n">
        <f>5.5+0.04*'Расчёт'!$F$20</f>
        <v>11.5</v>
      </c>
      <c r="J373" s="11"/>
      <c r="K373" s="12" t="n">
        <f>CEILING(MAX('Расчёт'!$G$373,'Расчёт'!$I$373),0.5)</f>
        <v>12</v>
      </c>
      <c r="L373" s="11"/>
    </row>
    <row r="374" ht="17" customHeight="1">
      <c r="A374" s="16" t="str">
        <f>'Расчёт'!$A$346</f>
        <v>N</v>
      </c>
      <c r="B374" s="12" t="n">
        <v>0.6</v>
      </c>
      <c r="C374" s="12" t="n">
        <v>0.21</v>
      </c>
      <c r="D374" s="12" t="n">
        <f>'Расчёт'!$C$374*('Расчёт'!$F$43-'Расчёт'!$F$44)</f>
        <v>2.73</v>
      </c>
      <c r="E374" s="12" t="n">
        <f>15.8*'Расчёт'!$E$346*'Расчёт'!$K$346*SQRT('Расчёт'!$I$346/('Расчёт'!$B$374*'Расчёт'!$F$47))</f>
        <v>8.528572873459828</v>
      </c>
      <c r="F374" s="11"/>
      <c r="G374" s="12" t="n">
        <f>'Расчёт'!$E$374+'Расчёт'!$D$374</f>
        <v>11.258572873459828</v>
      </c>
      <c r="H374" s="11"/>
      <c r="I374" s="12" t="n">
        <f>5.5+0.04*'Расчёт'!$F$20</f>
        <v>11.5</v>
      </c>
      <c r="J374" s="11"/>
      <c r="K374" s="12" t="n">
        <f>CEILING(MAX('Расчёт'!$G$374,'Расчёт'!$I$374),0.5)</f>
        <v>11.5</v>
      </c>
      <c r="L374" s="11"/>
    </row>
    <row r="375" ht="17" customHeight="1">
      <c r="A375" s="16" t="str">
        <f>'Расчёт'!$A$347</f>
        <v>SH</v>
      </c>
      <c r="B375" s="12" t="n">
        <v>0.6</v>
      </c>
      <c r="C375" s="12" t="n">
        <v>0.21</v>
      </c>
      <c r="D375" s="12" t="n">
        <f>'Расчёт'!$C$375*('Расчёт'!$F$43-'Расчёт'!$F$44)</f>
        <v>2.73</v>
      </c>
      <c r="E375" s="12" t="n">
        <f>15.8*'Расчёт'!$E$347*'Расчёт'!$K$347*SQRT('Расчёт'!$I$347/('Расчёт'!$B$375*'Расчёт'!$F$47))</f>
        <v>7.916675375389415</v>
      </c>
      <c r="F375" s="11"/>
      <c r="G375" s="12" t="n">
        <f>'Расчёт'!$E$375+'Расчёт'!$D$375</f>
        <v>10.646675375389416</v>
      </c>
      <c r="H375" s="11"/>
      <c r="I375" s="12" t="n">
        <f>5.5+0.04*'Расчёт'!$F$20</f>
        <v>11.5</v>
      </c>
      <c r="J375" s="11"/>
      <c r="K375" s="12" t="n">
        <f>CEILING(MAX('Расчёт'!$G$375,'Расчёт'!$I$375),0.5)</f>
        <v>11.5</v>
      </c>
      <c r="L375" s="11"/>
    </row>
    <row r="376" ht="17" customHeight="1">
      <c r="A376" s="16" t="str">
        <f>'Расчёт'!$A$348</f>
        <v>IB</v>
      </c>
      <c r="B376" s="12" t="n">
        <v>0.8</v>
      </c>
      <c r="C376" s="12" t="n">
        <v>0.2</v>
      </c>
      <c r="D376" s="12" t="n">
        <f>'Расчёт'!$C$376*('Расчёт'!$F$43-'Расчёт'!$F$44)</f>
        <v>2.6</v>
      </c>
      <c r="E376" s="12" t="n">
        <f>15.8*'Расчёт'!$E$348*'Расчёт'!$K$348*SQRT('Расчёт'!$I$348/('Расчёт'!$B$376*'Расчёт'!$F$47))</f>
        <v>12.542226204463832</v>
      </c>
      <c r="F376" s="11"/>
      <c r="G376" s="12" t="n">
        <f>'Расчёт'!$E$376+'Расчёт'!$D$376</f>
        <v>15.142226204463832</v>
      </c>
      <c r="H376" s="11"/>
      <c r="I376" s="12" t="n">
        <f>MAX(6.7+0.02*'Расчёт'!$F$20,(5+0.035*'Расчёт'!$F$20)*'Расчёт'!$F$46^0.5)</f>
        <v>10.25</v>
      </c>
      <c r="J376" s="11"/>
      <c r="K376" s="12" t="n">
        <f>MAX(CEILING(MAX('Расчёт'!$G$376,'Расчёт'!$I$376),0.5),'Расчёт'!$K$361,'Расчёт'!$K$362,'Расчёт'!$K$363,'Расчёт'!$K$364,'Расчёт'!$K$365,'Расчёт'!$K$366)</f>
        <v>16.5</v>
      </c>
      <c r="L376" s="11"/>
    </row>
    <row r="377" ht="17" customHeight="1">
      <c r="A377" s="16" t="str">
        <f>'Расчёт'!$A$349</f>
        <v>IM</v>
      </c>
      <c r="B377" s="12" t="n">
        <v>0.8</v>
      </c>
      <c r="C377" s="12" t="n">
        <v>0.22</v>
      </c>
      <c r="D377" s="12" t="n">
        <f>'Расчёт'!$C$377*('Расчёт'!$F$43-'Расчёт'!$F$44)</f>
        <v>2.86</v>
      </c>
      <c r="E377" s="12" t="n">
        <f>15.8*'Расчёт'!$E$349*'Расчёт'!$K$349*SQRT('Расчёт'!$I$349/('Расчёт'!$B$377*'Расчёт'!$F$47))</f>
        <v>12.542226204463832</v>
      </c>
      <c r="F377" s="11"/>
      <c r="G377" s="12" t="n">
        <f>'Расчёт'!$E$377+'Расчёт'!$D$377</f>
        <v>15.402226204463831</v>
      </c>
      <c r="H377" s="11"/>
      <c r="I377" s="12" t="n">
        <f>MAX(6.7+0.02*'Расчёт'!$F$20,(5+0.035*'Расчёт'!$F$20)*'Расчёт'!$F$46^0.5)</f>
        <v>10.25</v>
      </c>
      <c r="J377" s="11"/>
      <c r="K377" s="12" t="n">
        <f>MAX(CEILING(MAX('Расчёт'!$G$377,'Расчёт'!$I$377),0.5),'Расчёт'!$K$361,'Расчёт'!$K$362,'Расчёт'!$K$363,'Расчёт'!$K$364,'Расчёт'!$K$365,'Расчёт'!$K$366)</f>
        <v>16.5</v>
      </c>
      <c r="L377" s="11"/>
    </row>
    <row r="378" ht="17" customHeight="1">
      <c r="A378" s="16" t="str">
        <f>'Расчёт'!$A$350</f>
        <v>DK</v>
      </c>
      <c r="B378" s="12" t="n">
        <v>0.6</v>
      </c>
      <c r="C378" s="12" t="n">
        <v>0.2</v>
      </c>
      <c r="D378" s="12" t="n">
        <f>'Расчёт'!$C$378*('Расчёт'!$F$43-'Расчёт'!$F$44)</f>
        <v>2.6</v>
      </c>
      <c r="E378" s="12" t="n">
        <f>15.8*'Расчёт'!$E$350*'Расчёт'!$K$350*SQRT('Расчёт'!$I$350/('Расчёт'!$B$378*'Расчёт'!$F$47))</f>
        <v>7.3245093125124825</v>
      </c>
      <c r="F378" s="11"/>
      <c r="G378" s="12" t="n">
        <f>'Расчёт'!$E$378+'Расчёт'!$D$378</f>
        <v>9.924509312512482</v>
      </c>
      <c r="H378" s="11"/>
      <c r="I378" s="12" t="n">
        <f>MAX(6.7+0.02*'Расчёт'!$F$20,(4+0.05*'Расчёт'!$F$20)*'Расчёт'!$F$46^0.5)</f>
        <v>11.5</v>
      </c>
      <c r="J378" s="11"/>
      <c r="K378" s="12" t="n">
        <f>CEILING(MAX('Расчёт'!$G$378,'Расчёт'!$I$378),0.5)</f>
        <v>11.5</v>
      </c>
      <c r="L378" s="11"/>
    </row>
    <row r="379" ht="17" customHeight="1">
      <c r="A379" s="16" t="str">
        <f>'Расчёт'!$A$351</f>
        <v>ISG</v>
      </c>
      <c r="B379" s="12" t="n">
        <v>0.67</v>
      </c>
      <c r="C379" s="12" t="n">
        <v>0.2</v>
      </c>
      <c r="D379" s="12" t="n">
        <f>'Расчёт'!$C$379*('Расчёт'!$F$43-'Расчёт'!$F$44)</f>
        <v>2.6</v>
      </c>
      <c r="E379" s="12" t="n">
        <f>15.8*'Расчёт'!$E$351*'Расчёт'!$K$351*SQRT('Расчёт'!$I$351/('Расчёт'!$B$379*'Расчёт'!$F$47))</f>
        <v>12.848531622882383</v>
      </c>
      <c r="F379" s="11"/>
      <c r="G379" s="12" t="n">
        <f>'Расчёт'!$E$379+'Расчёт'!$D$379</f>
        <v>15.448531622882383</v>
      </c>
      <c r="H379" s="11"/>
      <c r="I379" s="12" t="n">
        <f>6.7+0.02*'Расчёт'!$F$20</f>
        <v>9.7</v>
      </c>
      <c r="J379" s="11"/>
      <c r="K379" s="12" t="n">
        <f>CEILING(MAX('Расчёт'!$G$379,'Расчёт'!$I$379),0.5)</f>
        <v>15.5</v>
      </c>
      <c r="L379" s="11"/>
    </row>
    <row r="380" ht="17" customHeight="1">
      <c r="A380" s="16" t="str">
        <f>'Расчёт'!$A$352</f>
        <v>ISF</v>
      </c>
      <c r="B380" s="12" t="n">
        <v>0.8</v>
      </c>
      <c r="C380" s="12" t="n">
        <v>0.25</v>
      </c>
      <c r="D380" s="12" t="n">
        <f>'Расчёт'!$C$380*('Расчёт'!$F$43-'Расчёт'!$F$44)</f>
        <v>3.25</v>
      </c>
      <c r="E380" s="12" t="n">
        <f>15.8*'Расчёт'!$E$352*'Расчёт'!$K$352*SQRT('Расчёт'!$I$352/('Расчёт'!$B$380*'Расчёт'!$F$47))</f>
        <v>11.101233768317282</v>
      </c>
      <c r="F380" s="11"/>
      <c r="G380" s="12" t="n">
        <f>'Расчёт'!$E$380+'Расчёт'!$D$380</f>
        <v>14.351233768317282</v>
      </c>
      <c r="H380" s="11"/>
      <c r="I380" s="12" t="n">
        <f>6.7+0.02*'Расчёт'!$F$20</f>
        <v>9.7</v>
      </c>
      <c r="J380" s="11"/>
      <c r="K380" s="12" t="n">
        <f>CEILING(MAX('Расчёт'!$G$380,'Расчёт'!$I$380),0.5)</f>
        <v>14.5</v>
      </c>
      <c r="L380" s="11"/>
    </row>
    <row r="381" ht="17" customHeight="1">
      <c r="A381" s="16" t="str">
        <f>'Расчёт'!$A$353</f>
        <v>ISE</v>
      </c>
      <c r="B381" s="12" t="n">
        <v>0.8</v>
      </c>
      <c r="C381" s="12" t="n">
        <v>0.25</v>
      </c>
      <c r="D381" s="12" t="n">
        <f>'Расчёт'!$C$381*('Расчёт'!$F$43-'Расчёт'!$F$44)</f>
        <v>3.25</v>
      </c>
      <c r="E381" s="12" t="n">
        <f>15.8*'Расчёт'!$E$353*'Расчёт'!$K$353*SQRT('Расчёт'!$I$353/('Расчёт'!$B$381*'Расчёт'!$F$47))</f>
        <v>10.402705983727557</v>
      </c>
      <c r="F381" s="11"/>
      <c r="G381" s="12" t="n">
        <f>'Расчёт'!$E$381+'Расчёт'!$D$381</f>
        <v>13.652705983727557</v>
      </c>
      <c r="H381" s="11"/>
      <c r="I381" s="12" t="n">
        <f>6.7+0.02*'Расчёт'!$F$20</f>
        <v>9.7</v>
      </c>
      <c r="J381" s="11"/>
      <c r="K381" s="12" t="n">
        <f>CEILING(MAX('Расчёт'!$G$381,'Расчёт'!$I$381),0.5)</f>
        <v>14</v>
      </c>
      <c r="L381" s="11"/>
    </row>
    <row r="382" ht="17" customHeight="1">
      <c r="A382" s="16" t="str">
        <f>'Расчёт'!$A$354</f>
        <v>ISD</v>
      </c>
      <c r="B382" s="12" t="n">
        <v>0.8</v>
      </c>
      <c r="C382" s="12" t="n">
        <v>0.25</v>
      </c>
      <c r="D382" s="12" t="n">
        <f>'Расчёт'!$C$382*('Расчёт'!$F$43-'Расчёт'!$F$44)</f>
        <v>3.25</v>
      </c>
      <c r="E382" s="12" t="n">
        <f>15.8*'Расчёт'!$E$354*'Расчёт'!$K$354*SQRT('Расчёт'!$I$354/('Расчёт'!$B$382*'Расчёт'!$F$47))</f>
        <v>9.65376571027774</v>
      </c>
      <c r="F382" s="11"/>
      <c r="G382" s="12" t="n">
        <f>'Расчёт'!$E$382+'Расчёт'!$D$382</f>
        <v>12.90376571027774</v>
      </c>
      <c r="H382" s="11"/>
      <c r="I382" s="12" t="n">
        <f>6.7+0.02*'Расчёт'!$F$20</f>
        <v>9.7</v>
      </c>
      <c r="J382" s="11"/>
      <c r="K382" s="12" t="n">
        <f>CEILING(MAX('Расчёт'!$G$382,'Расчёт'!$I$382),0.5)</f>
        <v>13</v>
      </c>
      <c r="L382" s="11"/>
    </row>
    <row r="383" ht="17" customHeight="1">
      <c r="A383" s="16" t="str">
        <f>'Расчёт'!$A$355</f>
        <v>ISC</v>
      </c>
      <c r="B383" s="12" t="n">
        <v>0.8</v>
      </c>
      <c r="C383" s="12" t="n">
        <v>0.25</v>
      </c>
      <c r="D383" s="12" t="n">
        <f>'Расчёт'!$C$383*('Расчёт'!$F$43-'Расчёт'!$F$44)</f>
        <v>3.25</v>
      </c>
      <c r="E383" s="12" t="n">
        <f>15.8*'Расчёт'!$E$355*'Расчёт'!$K$355*SQRT('Расчёт'!$I$355/('Расчёт'!$B$383*'Расчёт'!$F$47))</f>
        <v>8.841611447806756</v>
      </c>
      <c r="F383" s="11"/>
      <c r="G383" s="12" t="n">
        <f>'Расчёт'!$E$383+'Расчёт'!$D$383</f>
        <v>12.091611447806756</v>
      </c>
      <c r="H383" s="11"/>
      <c r="I383" s="12" t="n">
        <f>6.7+0.02*'Расчёт'!$F$20</f>
        <v>9.7</v>
      </c>
      <c r="J383" s="11"/>
      <c r="K383" s="12" t="n">
        <f>CEILING(MAX('Расчёт'!$G$383,'Расчёт'!$I$383),0.5)</f>
        <v>12.5</v>
      </c>
      <c r="L383" s="11"/>
    </row>
    <row r="384" ht="17" customHeight="1">
      <c r="A384" s="16" t="str">
        <f>'Расчёт'!$A$356</f>
        <v>ISB</v>
      </c>
      <c r="B384" s="12" t="n">
        <v>0.7</v>
      </c>
      <c r="C384" s="12" t="n">
        <v>0.25</v>
      </c>
      <c r="D384" s="12" t="n">
        <f>'Расчёт'!$C$384*('Расчёт'!$F$43-'Расчёт'!$F$44)</f>
        <v>3.25</v>
      </c>
      <c r="E384" s="12" t="n">
        <f>15.8*'Расчёт'!$E$356*'Расчёт'!$K$356*SQRT('Расчёт'!$I$356/('Расчёт'!$B$384*'Расчёт'!$F$47))</f>
        <v>8.495578251506782</v>
      </c>
      <c r="F384" s="11"/>
      <c r="G384" s="12" t="n">
        <f>'Расчёт'!$E$384+'Расчёт'!$D$384</f>
        <v>11.745578251506782</v>
      </c>
      <c r="H384" s="11"/>
      <c r="I384" s="12" t="n">
        <f>6.7+0.02*'Расчёт'!$F$20</f>
        <v>9.7</v>
      </c>
      <c r="J384" s="11"/>
      <c r="K384" s="12" t="n">
        <f>CEILING(MAX('Расчёт'!$G$384,'Расчёт'!$I$384),0.5)</f>
        <v>12</v>
      </c>
      <c r="L384" s="11"/>
    </row>
    <row r="385" ht="17" customHeight="1">
      <c r="A385" s="16" t="str">
        <f>'Расчёт'!$A$357</f>
        <v>ISA</v>
      </c>
      <c r="B385" s="12" t="n">
        <v>0.64</v>
      </c>
      <c r="C385" s="12" t="n">
        <v>0.3</v>
      </c>
      <c r="D385" s="12" t="n">
        <f>'Расчёт'!$C$385*('Расчёт'!$F$43-'Расчёт'!$F$44)</f>
        <v>3.9</v>
      </c>
      <c r="E385" s="12" t="n">
        <f>15.8*'Расчёт'!$E$357*'Расчёт'!$K$357*SQRT('Расчёт'!$I$357/('Расчёт'!$B$385*'Расчёт'!$F$47))</f>
        <v>7.7566015596469375</v>
      </c>
      <c r="F385" s="11"/>
      <c r="G385" s="12" t="n">
        <f>'Расчёт'!$E$385+'Расчёт'!$D$385</f>
        <v>11.656601559646937</v>
      </c>
      <c r="H385" s="11"/>
      <c r="I385" s="12" t="n">
        <f>6.7+0.02*'Расчёт'!$F$20</f>
        <v>9.7</v>
      </c>
      <c r="J385" s="11"/>
      <c r="K385" s="12" t="n">
        <f>CEILING(MAX('Расчёт'!$G$385,'Расчёт'!$I$385),0.5)</f>
        <v>12</v>
      </c>
      <c r="L385" s="11"/>
    </row>
    <row r="386" ht="25" customHeight="1">
      <c r="A386" s="7" t="str">
        <v>Принятые толщины</v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 ht="28" customHeight="1">
      <c r="A387" s="10" t="str">
        <v>Марка</v>
      </c>
      <c r="B387" s="10"/>
      <c r="C387" s="10" t="str">
        <v>Принято s, мм</v>
      </c>
      <c r="D387" s="10"/>
      <c r="E387" s="10"/>
      <c r="F387" s="10" t="str">
        <v>s/sreq</v>
      </c>
      <c r="G387" s="10"/>
      <c r="H387" s="10"/>
      <c r="I387" s="10" t="str">
        <v>z, м</v>
      </c>
      <c r="J387" s="10"/>
      <c r="K387" s="10"/>
      <c r="L387" s="10"/>
    </row>
    <row r="388" ht="17" customHeight="1">
      <c r="A388" s="16" t="str">
        <f>'Расчёт'!$A$332</f>
        <v>KL</v>
      </c>
      <c r="B388" s="4"/>
      <c r="C388" s="15" t="n">
        <f>CEILING('Расчёт'!$K$360,1)+2</f>
        <v>19</v>
      </c>
      <c r="D388" s="11"/>
      <c r="E388" s="11"/>
      <c r="F388" s="12" t="n">
        <f>'Расчёт'!$C$388/'Расчёт'!$K$360</f>
        <v>1.1515151515151516</v>
      </c>
      <c r="G388" s="11"/>
      <c r="H388" s="11"/>
      <c r="I388" s="12" t="n">
        <f>'Расчёт'!$K$578/100</f>
        <v>0</v>
      </c>
      <c r="J388" s="11"/>
      <c r="K388" s="11"/>
      <c r="L388" s="11"/>
    </row>
    <row r="389" ht="17" customHeight="1">
      <c r="A389" s="16" t="str">
        <f>'Расчёт'!$A$333</f>
        <v>A</v>
      </c>
      <c r="B389" s="4"/>
      <c r="C389" s="15" t="n">
        <f>CEILING('Расчёт'!$K$361,1)</f>
        <v>17</v>
      </c>
      <c r="D389" s="11"/>
      <c r="E389" s="11"/>
      <c r="F389" s="12" t="n">
        <f>'Расчёт'!$C$389/'Расчёт'!$K$361</f>
        <v>1.0303030303030303</v>
      </c>
      <c r="G389" s="11"/>
      <c r="H389" s="11"/>
      <c r="I389" s="12" t="n">
        <f>'Расчёт'!$K$579/100</f>
        <v>0</v>
      </c>
      <c r="J389" s="11"/>
      <c r="K389" s="11"/>
      <c r="L389" s="11"/>
    </row>
    <row r="390" ht="17" customHeight="1">
      <c r="A390" s="16" t="str">
        <f>'Расчёт'!$A$334</f>
        <v>B</v>
      </c>
      <c r="B390" s="4"/>
      <c r="C390" s="15" t="n">
        <f>CEILING('Расчёт'!$K$362,1)</f>
        <v>17</v>
      </c>
      <c r="D390" s="11"/>
      <c r="E390" s="11"/>
      <c r="F390" s="12" t="n">
        <f>'Расчёт'!$C$390/'Расчёт'!$K$362</f>
        <v>1.0303030303030303</v>
      </c>
      <c r="G390" s="11"/>
      <c r="H390" s="11"/>
      <c r="I390" s="12" t="n">
        <f>'Расчёт'!$K$580/100</f>
        <v>0</v>
      </c>
      <c r="J390" s="11"/>
      <c r="K390" s="11"/>
      <c r="L390" s="11"/>
    </row>
    <row r="391" ht="17" customHeight="1">
      <c r="A391" s="16" t="str">
        <f>'Расчёт'!$A$335</f>
        <v>C</v>
      </c>
      <c r="B391" s="4"/>
      <c r="C391" s="15" t="n">
        <f>CEILING('Расчёт'!$K$363,1)</f>
        <v>17</v>
      </c>
      <c r="D391" s="11"/>
      <c r="E391" s="11"/>
      <c r="F391" s="12" t="n">
        <f>'Расчёт'!$C$391/'Расчёт'!$K$363</f>
        <v>1.0303030303030303</v>
      </c>
      <c r="G391" s="11"/>
      <c r="H391" s="11"/>
      <c r="I391" s="12" t="n">
        <f>'Расчёт'!$K$581/100</f>
        <v>0</v>
      </c>
      <c r="J391" s="11"/>
      <c r="K391" s="11"/>
      <c r="L391" s="11"/>
    </row>
    <row r="392" ht="17" customHeight="1">
      <c r="A392" s="16" t="str">
        <f>'Расчёт'!$A$336</f>
        <v>D</v>
      </c>
      <c r="B392" s="4"/>
      <c r="C392" s="15" t="n">
        <f>CEILING('Расчёт'!$K$364,1)</f>
        <v>17</v>
      </c>
      <c r="D392" s="11"/>
      <c r="E392" s="11"/>
      <c r="F392" s="12" t="n">
        <f>'Расчёт'!$C$392/'Расчёт'!$K$364</f>
        <v>1.0303030303030303</v>
      </c>
      <c r="G392" s="11"/>
      <c r="H392" s="11"/>
      <c r="I392" s="12" t="n">
        <f>'Расчёт'!$K$582/100</f>
        <v>0</v>
      </c>
      <c r="J392" s="11"/>
      <c r="K392" s="11"/>
      <c r="L392" s="11"/>
    </row>
    <row r="393" ht="17" customHeight="1">
      <c r="A393" s="16" t="str">
        <f>'Расчёт'!$A$337</f>
        <v>E</v>
      </c>
      <c r="B393" s="4"/>
      <c r="C393" s="15" t="n">
        <f>CEILING('Расчёт'!$K$365,1)</f>
        <v>17</v>
      </c>
      <c r="D393" s="11"/>
      <c r="E393" s="11"/>
      <c r="F393" s="12" t="n">
        <f>'Расчёт'!$C$393/'Расчёт'!$K$365</f>
        <v>1.0303030303030303</v>
      </c>
      <c r="G393" s="11"/>
      <c r="H393" s="11"/>
      <c r="I393" s="12" t="n">
        <f>'Расчёт'!$K$583/100</f>
        <v>0</v>
      </c>
      <c r="J393" s="11"/>
      <c r="K393" s="11"/>
      <c r="L393" s="11"/>
    </row>
    <row r="394" ht="17" customHeight="1">
      <c r="A394" s="16" t="str">
        <f>'Расчёт'!$A$338</f>
        <v>F</v>
      </c>
      <c r="B394" s="4"/>
      <c r="C394" s="15" t="n">
        <f>CEILING('Расчёт'!$K$366,1)</f>
        <v>17</v>
      </c>
      <c r="D394" s="11"/>
      <c r="E394" s="11"/>
      <c r="F394" s="12" t="n">
        <f>'Расчёт'!$C$394/'Расчёт'!$K$366</f>
        <v>1.0303030303030303</v>
      </c>
      <c r="G394" s="11"/>
      <c r="H394" s="11"/>
      <c r="I394" s="12" t="n">
        <f>('Расчёт'!$G$584*'Расчёт'!$K$584+'Расчёт'!$G$585*'Расчёт'!$K$585)/('Расчёт'!$G$584+'Расчёт'!$G$585)/100</f>
        <v>0.029764259882968422</v>
      </c>
      <c r="J394" s="11"/>
      <c r="K394" s="11"/>
      <c r="L394" s="11"/>
    </row>
    <row r="395" ht="17" customHeight="1">
      <c r="A395" s="16" t="str">
        <f>'Расчёт'!$A$339</f>
        <v>G</v>
      </c>
      <c r="B395" s="4"/>
      <c r="C395" s="15" t="n">
        <f>CEILING('Расчёт'!$K$367,1)</f>
        <v>17</v>
      </c>
      <c r="D395" s="11"/>
      <c r="E395" s="11"/>
      <c r="F395" s="12" t="n">
        <f>'Расчёт'!$C$395/'Расчёт'!$K$367</f>
        <v>1.0303030303030303</v>
      </c>
      <c r="G395" s="11"/>
      <c r="H395" s="11"/>
      <c r="I395" s="12" t="n">
        <f>('Расчёт'!$G$586*'Расчёт'!$K$586+'Расчёт'!$G$587*'Расчёт'!$K$587)/('Расчёт'!$G$586+'Расчёт'!$G$587)/100</f>
        <v>0.9964375679915288</v>
      </c>
      <c r="J395" s="11"/>
      <c r="K395" s="11"/>
      <c r="L395" s="11"/>
    </row>
    <row r="396" ht="17" customHeight="1">
      <c r="A396" s="16" t="str">
        <f>'Расчёт'!$A$340</f>
        <v>H</v>
      </c>
      <c r="B396" s="4"/>
      <c r="C396" s="15" t="n">
        <f>CEILING('Расчёт'!$K$368,1)</f>
        <v>16</v>
      </c>
      <c r="D396" s="11"/>
      <c r="E396" s="11"/>
      <c r="F396" s="12" t="n">
        <f>'Расчёт'!$C$396/'Расчёт'!$K$368</f>
        <v>1</v>
      </c>
      <c r="G396" s="11"/>
      <c r="H396" s="11"/>
      <c r="I396" s="12" t="n">
        <f>'Расчёт'!$K$588/100</f>
        <v>2.94026569346791</v>
      </c>
      <c r="J396" s="11"/>
      <c r="K396" s="11"/>
      <c r="L396" s="11"/>
    </row>
    <row r="397" ht="17" customHeight="1">
      <c r="A397" s="16" t="str">
        <f>'Расчёт'!$A$341</f>
        <v>I</v>
      </c>
      <c r="B397" s="4"/>
      <c r="C397" s="15" t="n">
        <f>CEILING('Расчёт'!$K$369,1)</f>
        <v>16</v>
      </c>
      <c r="D397" s="11"/>
      <c r="E397" s="11"/>
      <c r="F397" s="12" t="n">
        <f>'Расчёт'!$C$397/'Расчёт'!$K$369</f>
        <v>1.032258064516129</v>
      </c>
      <c r="G397" s="11"/>
      <c r="H397" s="11"/>
      <c r="I397" s="12" t="n">
        <f>'Расчёт'!$K$589/100</f>
        <v>4.94026569346791</v>
      </c>
      <c r="J397" s="11"/>
      <c r="K397" s="11"/>
      <c r="L397" s="11"/>
    </row>
    <row r="398" ht="17" customHeight="1">
      <c r="A398" s="16" t="str">
        <f>'Расчёт'!$A$342</f>
        <v>J</v>
      </c>
      <c r="B398" s="4"/>
      <c r="C398" s="15" t="n">
        <f>CEILING('Расчёт'!$K$370,1)</f>
        <v>15</v>
      </c>
      <c r="D398" s="11"/>
      <c r="E398" s="11"/>
      <c r="F398" s="12" t="n">
        <f>'Расчёт'!$C$398/'Расчёт'!$K$370</f>
        <v>1</v>
      </c>
      <c r="G398" s="11"/>
      <c r="H398" s="11"/>
      <c r="I398" s="12" t="n">
        <f>'Расчёт'!$K$590/100</f>
        <v>6.94026569346791</v>
      </c>
      <c r="J398" s="11"/>
      <c r="K398" s="11"/>
      <c r="L398" s="11"/>
    </row>
    <row r="399" ht="17" customHeight="1">
      <c r="A399" s="16" t="str">
        <f>'Расчёт'!$A$343</f>
        <v>K</v>
      </c>
      <c r="B399" s="4"/>
      <c r="C399" s="15" t="n">
        <f>CEILING('Расчёт'!$K$371,1)</f>
        <v>14</v>
      </c>
      <c r="D399" s="11"/>
      <c r="E399" s="11"/>
      <c r="F399" s="12" t="n">
        <f>'Расчёт'!$C$399/'Расчёт'!$K$371</f>
        <v>1</v>
      </c>
      <c r="G399" s="11"/>
      <c r="H399" s="11"/>
      <c r="I399" s="12" t="n">
        <f>'Расчёт'!$K$591/100</f>
        <v>8.94026569346791</v>
      </c>
      <c r="J399" s="11"/>
      <c r="K399" s="11"/>
      <c r="L399" s="11"/>
    </row>
    <row r="400" ht="17" customHeight="1">
      <c r="A400" s="16" t="str">
        <f>'Расчёт'!$A$344</f>
        <v>L</v>
      </c>
      <c r="B400" s="4"/>
      <c r="C400" s="15" t="n">
        <f>CEILING('Расчёт'!$K$372,1)</f>
        <v>13</v>
      </c>
      <c r="D400" s="11"/>
      <c r="E400" s="11"/>
      <c r="F400" s="12" t="n">
        <f>'Расчёт'!$C$400/'Расчёт'!$K$372</f>
        <v>1</v>
      </c>
      <c r="G400" s="11"/>
      <c r="H400" s="11"/>
      <c r="I400" s="12" t="n">
        <f>'Расчёт'!$K$592/100</f>
        <v>10.940265693467909</v>
      </c>
      <c r="J400" s="11"/>
      <c r="K400" s="11"/>
      <c r="L400" s="11"/>
    </row>
    <row r="401" ht="17" customHeight="1">
      <c r="A401" s="16" t="str">
        <f>'Расчёт'!$A$345</f>
        <v>M</v>
      </c>
      <c r="B401" s="4"/>
      <c r="C401" s="15" t="n">
        <f>CEILING('Расчёт'!$K$373,1)</f>
        <v>12</v>
      </c>
      <c r="D401" s="11"/>
      <c r="E401" s="11"/>
      <c r="F401" s="12" t="n">
        <f>'Расчёт'!$C$401/'Расчёт'!$K$373</f>
        <v>1</v>
      </c>
      <c r="G401" s="11"/>
      <c r="H401" s="11"/>
      <c r="I401" s="12" t="n">
        <f>'Расчёт'!$K$593/100</f>
        <v>12.442699270100931</v>
      </c>
      <c r="J401" s="11"/>
      <c r="K401" s="11"/>
      <c r="L401" s="11"/>
    </row>
    <row r="402" ht="17" customHeight="1">
      <c r="A402" s="16" t="str">
        <f>'Расчёт'!$A$346</f>
        <v>N</v>
      </c>
      <c r="B402" s="4"/>
      <c r="C402" s="15" t="n">
        <f>CEILING('Расчёт'!$K$374,1)</f>
        <v>12</v>
      </c>
      <c r="D402" s="11"/>
      <c r="E402" s="11"/>
      <c r="F402" s="12" t="n">
        <f>'Расчёт'!$C$402/'Расчёт'!$K$374</f>
        <v>1.0434782608695652</v>
      </c>
      <c r="G402" s="11"/>
      <c r="H402" s="11"/>
      <c r="I402" s="12" t="n">
        <f>'Расчёт'!$K$594/100</f>
        <v>13.447566423366977</v>
      </c>
      <c r="J402" s="11"/>
      <c r="K402" s="11"/>
      <c r="L402" s="11"/>
    </row>
    <row r="403" ht="17" customHeight="1">
      <c r="A403" s="16" t="str">
        <f>'Расчёт'!$A$347</f>
        <v>SH</v>
      </c>
      <c r="B403" s="4"/>
      <c r="C403" s="15" t="n">
        <f>CEILING('Расчёт'!$K$375,1)</f>
        <v>12</v>
      </c>
      <c r="D403" s="11"/>
      <c r="E403" s="11"/>
      <c r="F403" s="12" t="n">
        <f>'Расчёт'!$C$403/'Расчёт'!$K$375</f>
        <v>1.0434782608695652</v>
      </c>
      <c r="G403" s="11"/>
      <c r="H403" s="11"/>
      <c r="I403" s="12" t="n">
        <f>'Расчёт'!$K$595/100</f>
        <v>14.725</v>
      </c>
      <c r="J403" s="11"/>
      <c r="K403" s="11"/>
      <c r="L403" s="11"/>
    </row>
    <row r="404" ht="17" customHeight="1">
      <c r="A404" s="16" t="str">
        <f>'Расчёт'!$A$348</f>
        <v>IB</v>
      </c>
      <c r="B404" s="4"/>
      <c r="C404" s="15" t="n">
        <f>CEILING('Расчёт'!$K$376,1)</f>
        <v>17</v>
      </c>
      <c r="D404" s="11"/>
      <c r="E404" s="11"/>
      <c r="F404" s="12" t="n">
        <f>'Расчёт'!$C$404/'Расчёт'!$K$376</f>
        <v>1.0303030303030303</v>
      </c>
      <c r="G404" s="11"/>
      <c r="H404" s="11"/>
      <c r="I404" s="12" t="n">
        <f>'Расчёт'!$K$597/100</f>
        <v>1.8</v>
      </c>
      <c r="J404" s="11"/>
      <c r="K404" s="11"/>
      <c r="L404" s="11"/>
    </row>
    <row r="405" ht="17" customHeight="1">
      <c r="A405" s="16" t="str">
        <f>'Расчёт'!$A$349</f>
        <v>IM</v>
      </c>
      <c r="B405" s="4"/>
      <c r="C405" s="15" t="n">
        <f>CEILING('Расчёт'!$K$377,1)</f>
        <v>17</v>
      </c>
      <c r="D405" s="11"/>
      <c r="E405" s="11"/>
      <c r="F405" s="12" t="n">
        <f>'Расчёт'!$C$405/'Расчёт'!$K$377</f>
        <v>1.0303030303030303</v>
      </c>
      <c r="G405" s="11"/>
      <c r="H405" s="11"/>
      <c r="I405" s="12" t="n">
        <f>'Расчёт'!$K$596/100</f>
        <v>1.8</v>
      </c>
      <c r="J405" s="11"/>
      <c r="K405" s="11"/>
      <c r="L405" s="11"/>
    </row>
    <row r="406" ht="17" customHeight="1">
      <c r="A406" s="16" t="str">
        <f>'Расчёт'!$A$350</f>
        <v>DK</v>
      </c>
      <c r="B406" s="4"/>
      <c r="C406" s="15" t="n">
        <f>CEILING('Расчёт'!$K$378,1)</f>
        <v>12</v>
      </c>
      <c r="D406" s="11"/>
      <c r="E406" s="11"/>
      <c r="F406" s="12" t="n">
        <f>'Расчёт'!$C$406/'Расчёт'!$K$378</f>
        <v>1.0434782608695652</v>
      </c>
      <c r="G406" s="11"/>
      <c r="H406" s="11"/>
      <c r="I406" s="12" t="n">
        <f>'Расчёт'!$K$598/100</f>
        <v>15.77</v>
      </c>
      <c r="J406" s="11"/>
      <c r="K406" s="11"/>
      <c r="L406" s="11"/>
    </row>
    <row r="407" ht="17" customHeight="1">
      <c r="A407" s="16" t="str">
        <f>'Расчёт'!$A$351</f>
        <v>ISG</v>
      </c>
      <c r="B407" s="4"/>
      <c r="C407" s="15" t="n">
        <f>CEILING('Расчёт'!$K$379,1)</f>
        <v>16</v>
      </c>
      <c r="D407" s="11"/>
      <c r="E407" s="11"/>
      <c r="F407" s="12" t="n">
        <f>'Расчёт'!$C$407/'Расчёт'!$K$379</f>
        <v>1.032258064516129</v>
      </c>
      <c r="G407" s="11"/>
      <c r="H407" s="11"/>
      <c r="I407" s="12" t="n">
        <f>'Расчёт'!$K$599/100</f>
        <v>2.8</v>
      </c>
      <c r="J407" s="11"/>
      <c r="K407" s="11"/>
      <c r="L407" s="11"/>
    </row>
    <row r="408" ht="17" customHeight="1">
      <c r="A408" s="16" t="str">
        <f>'Расчёт'!$A$352</f>
        <v>ISF</v>
      </c>
      <c r="B408" s="4"/>
      <c r="C408" s="15" t="n">
        <f>CEILING('Расчёт'!$K$380,1)</f>
        <v>15</v>
      </c>
      <c r="D408" s="11"/>
      <c r="E408" s="11"/>
      <c r="F408" s="12" t="n">
        <f>'Расчёт'!$C$408/'Расчёт'!$K$380</f>
        <v>1.0344827586206897</v>
      </c>
      <c r="G408" s="11"/>
      <c r="H408" s="11"/>
      <c r="I408" s="12" t="n">
        <f>'Расчёт'!$K$600/100</f>
        <v>4.8</v>
      </c>
      <c r="J408" s="11"/>
      <c r="K408" s="11"/>
      <c r="L408" s="11"/>
    </row>
    <row r="409" ht="17" customHeight="1">
      <c r="A409" s="16" t="str">
        <f>'Расчёт'!$A$353</f>
        <v>ISE</v>
      </c>
      <c r="B409" s="4"/>
      <c r="C409" s="15" t="n">
        <f>CEILING('Расчёт'!$K$381,1)</f>
        <v>14</v>
      </c>
      <c r="D409" s="11"/>
      <c r="E409" s="11"/>
      <c r="F409" s="12" t="n">
        <f>'Расчёт'!$C$409/'Расчёт'!$K$381</f>
        <v>1</v>
      </c>
      <c r="G409" s="11"/>
      <c r="H409" s="11"/>
      <c r="I409" s="12" t="n">
        <f>'Расчёт'!$K$601/100</f>
        <v>6.8</v>
      </c>
      <c r="J409" s="11"/>
      <c r="K409" s="11"/>
      <c r="L409" s="11"/>
    </row>
    <row r="410" ht="17" customHeight="1">
      <c r="A410" s="16" t="str">
        <f>'Расчёт'!$A$354</f>
        <v>ISD</v>
      </c>
      <c r="B410" s="4"/>
      <c r="C410" s="15" t="n">
        <f>CEILING('Расчёт'!$K$382,1)</f>
        <v>13</v>
      </c>
      <c r="D410" s="11"/>
      <c r="E410" s="11"/>
      <c r="F410" s="12" t="n">
        <f>'Расчёт'!$C$410/'Расчёт'!$K$382</f>
        <v>1</v>
      </c>
      <c r="G410" s="11"/>
      <c r="H410" s="11"/>
      <c r="I410" s="12" t="n">
        <f>'Расчёт'!$K$602/100</f>
        <v>8.8</v>
      </c>
      <c r="J410" s="11"/>
      <c r="K410" s="11"/>
      <c r="L410" s="11"/>
    </row>
    <row r="411" ht="17" customHeight="1">
      <c r="A411" s="16" t="str">
        <f>'Расчёт'!$A$355</f>
        <v>ISC</v>
      </c>
      <c r="B411" s="4"/>
      <c r="C411" s="15" t="n">
        <f>CEILING('Расчёт'!$K$383,1)</f>
        <v>13</v>
      </c>
      <c r="D411" s="11"/>
      <c r="E411" s="11"/>
      <c r="F411" s="12" t="n">
        <f>'Расчёт'!$C$411/'Расчёт'!$K$383</f>
        <v>1.04</v>
      </c>
      <c r="G411" s="11"/>
      <c r="H411" s="11"/>
      <c r="I411" s="12" t="n">
        <f>'Расчёт'!$K$603/100</f>
        <v>10.8</v>
      </c>
      <c r="J411" s="11"/>
      <c r="K411" s="11"/>
      <c r="L411" s="11"/>
    </row>
    <row r="412" ht="17" customHeight="1">
      <c r="A412" s="16" t="str">
        <f>'Расчёт'!$A$356</f>
        <v>ISB</v>
      </c>
      <c r="B412" s="4"/>
      <c r="C412" s="15" t="n">
        <f>CEILING('Расчёт'!$K$384,1)</f>
        <v>12</v>
      </c>
      <c r="D412" s="11"/>
      <c r="E412" s="11"/>
      <c r="F412" s="12" t="n">
        <f>'Расчёт'!$C$412/'Расчёт'!$K$384</f>
        <v>1</v>
      </c>
      <c r="G412" s="11"/>
      <c r="H412" s="11"/>
      <c r="I412" s="12" t="n">
        <f>'Расчёт'!$K$604/100</f>
        <v>12.8</v>
      </c>
      <c r="J412" s="11"/>
      <c r="K412" s="11"/>
      <c r="L412" s="11"/>
    </row>
    <row r="413" ht="17" customHeight="1">
      <c r="A413" s="16" t="str">
        <f>'Расчёт'!$A$357</f>
        <v>ISA</v>
      </c>
      <c r="B413" s="4"/>
      <c r="C413" s="15" t="n">
        <f>CEILING('Расчёт'!$K$385,1)</f>
        <v>12</v>
      </c>
      <c r="D413" s="11"/>
      <c r="E413" s="11"/>
      <c r="F413" s="12" t="n">
        <f>'Расчёт'!$C$413/'Расчёт'!$K$385</f>
        <v>1</v>
      </c>
      <c r="G413" s="11"/>
      <c r="H413" s="11"/>
      <c r="I413" s="12" t="n">
        <f>'Расчёт'!$K$605/100</f>
        <v>14.69</v>
      </c>
      <c r="J413" s="11"/>
      <c r="K413" s="11"/>
      <c r="L413" s="11"/>
    </row>
    <row r="414" ht="25" customHeight="1">
      <c r="A414" s="7" t="str">
        <v>Расчёт листа A: последовательность вычислений</v>
      </c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 ht="28" customHeight="1">
      <c r="A415" s="10" t="str">
        <v>Параметр / шаг</v>
      </c>
      <c r="B415" s="10"/>
      <c r="C415" s="10"/>
      <c r="D415" s="10"/>
      <c r="E415" s="10"/>
      <c r="F415" s="10" t="str">
        <v>Значение</v>
      </c>
      <c r="G415" s="10"/>
      <c r="H415" s="10"/>
      <c r="I415" s="10" t="str">
        <v>Ед.</v>
      </c>
      <c r="J415" s="10"/>
      <c r="K415" s="10" t="str">
        <v>Формула</v>
      </c>
      <c r="L415" s="10"/>
    </row>
    <row r="416" ht="17" customHeight="1">
      <c r="A416" s="4" t="str">
        <v>Шаг продольных балок a</v>
      </c>
      <c r="B416" s="4"/>
      <c r="C416" s="4"/>
      <c r="D416" s="4"/>
      <c r="E416" s="4"/>
      <c r="F416" s="12" t="n">
        <f>'Расчёт'!$E$333</f>
        <v>0.8</v>
      </c>
      <c r="G416" s="11"/>
      <c r="H416" s="11"/>
      <c r="I416" s="4" t="str">
        <v>m</v>
      </c>
      <c r="J416" s="4"/>
      <c r="K416" s="4" t="str">
        <v>MAX(750;800)/1000</v>
      </c>
      <c r="L416" s="4"/>
    </row>
    <row r="417" ht="17" customHeight="1">
      <c r="A417" s="4" t="str">
        <v>Пролёт b</v>
      </c>
      <c r="B417" s="4"/>
      <c r="C417" s="4"/>
      <c r="D417" s="4"/>
      <c r="E417" s="4"/>
      <c r="F417" s="12" t="n">
        <f>'Расчёт'!$G$333</f>
        <v>2.25</v>
      </c>
      <c r="G417" s="11"/>
      <c r="H417" s="11"/>
      <c r="I417" s="4" t="str">
        <v>m</v>
      </c>
      <c r="J417" s="4"/>
      <c r="K417" s="4" t="str">
        <v>3 × 0.75</v>
      </c>
      <c r="L417" s="4"/>
    </row>
    <row r="418" ht="29" customHeight="1">
      <c r="A418" s="4" t="str">
        <v>Расчётное давление p</v>
      </c>
      <c r="B418" s="4"/>
      <c r="C418" s="4"/>
      <c r="D418" s="4"/>
      <c r="E418" s="4"/>
      <c r="F418" s="12" t="n">
        <f>'Расчёт'!$I$333</f>
        <v>166.57156189651178</v>
      </c>
      <c r="G418" s="11"/>
      <c r="H418" s="11"/>
      <c r="I418" s="4" t="str">
        <v>kPa</v>
      </c>
      <c r="J418" s="4"/>
      <c r="K418" s="4" t="str">
        <v>MAX(p внешнее, pнетто балласта)</v>
      </c>
      <c r="L418" s="4"/>
    </row>
    <row r="419" ht="29" customHeight="1">
      <c r="A419" s="4" t="str">
        <v>Коэффициент панели k</v>
      </c>
      <c r="B419" s="4"/>
      <c r="C419" s="4"/>
      <c r="D419" s="4"/>
      <c r="E419" s="4"/>
      <c r="F419" s="12" t="n">
        <f>'Расчёт'!$K$333</f>
        <v>1</v>
      </c>
      <c r="G419" s="11"/>
      <c r="H419" s="11"/>
      <c r="I419" s="4" t="str">
        <v>—</v>
      </c>
      <c r="J419" s="4"/>
      <c r="K419" s="4" t="str">
        <v>MIN(1.2 − 0.5a/b; 1)</v>
      </c>
      <c r="L419" s="4"/>
    </row>
    <row r="420" ht="17" customHeight="1">
      <c r="A420" s="4" t="str">
        <v>Коэффициент kσ</v>
      </c>
      <c r="B420" s="4"/>
      <c r="C420" s="4"/>
      <c r="D420" s="4"/>
      <c r="E420" s="4"/>
      <c r="F420" s="12" t="n">
        <f>'Расчёт'!$B$361</f>
        <v>0.6</v>
      </c>
      <c r="G420" s="11"/>
      <c r="H420" s="11"/>
      <c r="I420" s="4" t="str">
        <v>—</v>
      </c>
      <c r="J420" s="4"/>
      <c r="K420" s="4" t="str">
        <v>0.6</v>
      </c>
      <c r="L420" s="4"/>
    </row>
    <row r="421" ht="17" customHeight="1">
      <c r="A421" s="4" t="str">
        <v>Нормативное напряжение σn</v>
      </c>
      <c r="B421" s="4"/>
      <c r="C421" s="4"/>
      <c r="D421" s="4"/>
      <c r="E421" s="4"/>
      <c r="F421" s="12" t="n">
        <f>'Расчёт'!$F$47</f>
        <v>235</v>
      </c>
      <c r="G421" s="11"/>
      <c r="H421" s="11"/>
      <c r="I421" s="4" t="str">
        <v>MPa</v>
      </c>
      <c r="J421" s="4"/>
      <c r="K421" s="4" t="str">
        <v>235</v>
      </c>
      <c r="L421" s="4"/>
    </row>
    <row r="422" ht="17" customHeight="1">
      <c r="A422" s="4" t="str">
        <v>Скорость коррозии u</v>
      </c>
      <c r="B422" s="4"/>
      <c r="C422" s="4"/>
      <c r="D422" s="4"/>
      <c r="E422" s="4"/>
      <c r="F422" s="12" t="n">
        <f>'Расчёт'!$C$361</f>
        <v>0.2</v>
      </c>
      <c r="G422" s="11"/>
      <c r="H422" s="11"/>
      <c r="I422" s="4" t="str">
        <v>mm/yr</v>
      </c>
      <c r="J422" s="4"/>
      <c r="K422" s="4" t="str">
        <v>0.2</v>
      </c>
      <c r="L422" s="4"/>
    </row>
    <row r="423" ht="17" customHeight="1">
      <c r="A423" s="4" t="str">
        <v>Срок службы</v>
      </c>
      <c r="B423" s="4"/>
      <c r="C423" s="4"/>
      <c r="D423" s="4"/>
      <c r="E423" s="4"/>
      <c r="F423" s="15" t="n">
        <f>'Расчёт'!$F$43</f>
        <v>25</v>
      </c>
      <c r="G423" s="11"/>
      <c r="H423" s="11"/>
      <c r="I423" s="4" t="str">
        <v>yr</v>
      </c>
      <c r="J423" s="4"/>
      <c r="K423" s="4" t="str">
        <v>25</v>
      </c>
      <c r="L423" s="4"/>
    </row>
    <row r="424" ht="17" customHeight="1">
      <c r="A424" s="4" t="str">
        <v>Начало учёта коррозии</v>
      </c>
      <c r="B424" s="4"/>
      <c r="C424" s="4"/>
      <c r="D424" s="4"/>
      <c r="E424" s="4"/>
      <c r="F424" s="15" t="n">
        <f>'Расчёт'!$F$44</f>
        <v>12</v>
      </c>
      <c r="G424" s="11"/>
      <c r="H424" s="11"/>
      <c r="I424" s="4" t="str">
        <v>yr</v>
      </c>
      <c r="J424" s="4"/>
      <c r="K424" s="4" t="str">
        <v>12</v>
      </c>
      <c r="L424" s="4"/>
    </row>
    <row r="425" ht="29" customHeight="1">
      <c r="A425" s="4" t="str">
        <v>Чистая толщина s′</v>
      </c>
      <c r="B425" s="4"/>
      <c r="C425" s="4"/>
      <c r="D425" s="4"/>
      <c r="E425" s="4"/>
      <c r="F425" s="12" t="n">
        <f>'Расчёт'!$E$361</f>
        <v>13.738456615698324</v>
      </c>
      <c r="G425" s="11"/>
      <c r="H425" s="11"/>
      <c r="I425" s="4" t="str">
        <v>mm</v>
      </c>
      <c r="J425" s="4"/>
      <c r="K425" s="4" t="str">
        <v>15.8ak × SQRT(p/(kσ × σn))</v>
      </c>
      <c r="L425" s="4"/>
    </row>
    <row r="426" ht="17" customHeight="1">
      <c r="A426" s="4" t="str">
        <v>Прибавка Δs</v>
      </c>
      <c r="B426" s="4"/>
      <c r="C426" s="4"/>
      <c r="D426" s="4"/>
      <c r="E426" s="4"/>
      <c r="F426" s="12" t="n">
        <f>'Расчёт'!$D$361</f>
        <v>2.6</v>
      </c>
      <c r="G426" s="11"/>
      <c r="H426" s="11"/>
      <c r="I426" s="4" t="str">
        <v>mm</v>
      </c>
      <c r="J426" s="4"/>
      <c r="K426" s="4" t="str">
        <v>u × (25 − 12)</v>
      </c>
      <c r="L426" s="4"/>
    </row>
    <row r="427" ht="17" customHeight="1">
      <c r="A427" s="4" t="str">
        <v>Толщина с прибавкой</v>
      </c>
      <c r="B427" s="4"/>
      <c r="C427" s="4"/>
      <c r="D427" s="4"/>
      <c r="E427" s="4"/>
      <c r="F427" s="12" t="n">
        <f>'Расчёт'!$G$361</f>
        <v>16.338456615698323</v>
      </c>
      <c r="G427" s="11"/>
      <c r="H427" s="11"/>
      <c r="I427" s="4" t="str">
        <v>mm</v>
      </c>
      <c r="J427" s="4"/>
      <c r="K427" s="4" t="str">
        <v>s′ + Δs</v>
      </c>
      <c r="L427" s="4"/>
    </row>
    <row r="428" ht="17" customHeight="1">
      <c r="A428" s="4" t="str">
        <v>Минимум smin</v>
      </c>
      <c r="B428" s="4"/>
      <c r="C428" s="4"/>
      <c r="D428" s="4"/>
      <c r="E428" s="4"/>
      <c r="F428" s="12" t="n">
        <f>'Расчёт'!$I$361</f>
        <v>11.5</v>
      </c>
      <c r="G428" s="11"/>
      <c r="H428" s="11"/>
      <c r="I428" s="4" t="str">
        <v>mm</v>
      </c>
      <c r="J428" s="4"/>
      <c r="K428" s="4" t="str">
        <v>5.5 + 0.04L</v>
      </c>
      <c r="L428" s="4"/>
    </row>
    <row r="429" ht="29" customHeight="1">
      <c r="A429" s="4" t="str">
        <v>Требуемая sreq</v>
      </c>
      <c r="B429" s="4"/>
      <c r="C429" s="4"/>
      <c r="D429" s="4"/>
      <c r="E429" s="4"/>
      <c r="F429" s="12" t="n">
        <f>'Расчёт'!$K$361</f>
        <v>16.5</v>
      </c>
      <c r="G429" s="11"/>
      <c r="H429" s="11"/>
      <c r="I429" s="4" t="str">
        <v>mm</v>
      </c>
      <c r="J429" s="4"/>
      <c r="K429" s="4" t="str">
        <v>CEILING(MAX(s′+Δs;smin);0.5)</v>
      </c>
      <c r="L429" s="4"/>
    </row>
    <row r="430" ht="17" customHeight="1">
      <c r="A430" s="4" t="str">
        <v>Принятая толщина s</v>
      </c>
      <c r="B430" s="4"/>
      <c r="C430" s="4"/>
      <c r="D430" s="4"/>
      <c r="E430" s="4"/>
      <c r="F430" s="15" t="n">
        <f>'Расчёт'!$C$389</f>
        <v>17</v>
      </c>
      <c r="G430" s="11"/>
      <c r="H430" s="11"/>
      <c r="I430" s="4" t="str">
        <v>mm</v>
      </c>
      <c r="J430" s="4"/>
      <c r="K430" s="4" t="str">
        <v>CEILING(sreq;1)</v>
      </c>
      <c r="L430" s="4"/>
    </row>
    <row r="431" ht="25" customHeight="1">
      <c r="A431" s="7" t="str">
        <v>Листы переборки в ДП и платформ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 ht="28" customHeight="1">
      <c r="A432" s="10" t="str">
        <v>Параметр</v>
      </c>
      <c r="B432" s="10"/>
      <c r="C432" s="10"/>
      <c r="D432" s="10"/>
      <c r="E432" s="10"/>
      <c r="F432" s="10" t="str">
        <v>Значение</v>
      </c>
      <c r="G432" s="10"/>
      <c r="H432" s="10"/>
      <c r="I432" s="10" t="str">
        <v>Ед.</v>
      </c>
      <c r="J432" s="10"/>
      <c r="K432" s="3"/>
      <c r="L432" s="3"/>
    </row>
    <row r="433" ht="17" customHeight="1">
      <c r="A433" s="14" t="str">
        <v>Высота переборки</v>
      </c>
      <c r="B433" s="4"/>
      <c r="C433" s="4"/>
      <c r="D433" s="4"/>
      <c r="E433" s="4"/>
      <c r="F433" s="12" t="n">
        <f>'Расчёт'!$F$96-'Расчёт'!$F$26</f>
        <v>14.239999999999998</v>
      </c>
      <c r="G433" s="11"/>
      <c r="H433" s="11"/>
      <c r="I433" s="14" t="str">
        <v>m</v>
      </c>
      <c r="J433" s="4"/>
      <c r="K433" s="3"/>
      <c r="L433" s="3"/>
    </row>
    <row r="434" ht="17" customHeight="1">
      <c r="A434" s="14" t="str">
        <v>Давление у низа</v>
      </c>
      <c r="B434" s="4"/>
      <c r="C434" s="4"/>
      <c r="D434" s="4"/>
      <c r="E434" s="4"/>
      <c r="F434" s="12" t="n">
        <f>MAX('Расчёт'!$F$40*('Расчёт'!$F$50+'Расчёт'!$F$86)*('Расчёт'!$F$96-'Расчёт'!$F$26),'Расчёт'!$F$40*'Расчёт'!$F$50*(('Расчёт'!$F$96-'Расчёт'!$F$26)+('Расчёт'!$F$94)*'Расчёт'!$F$87),'Расчёт'!$F$40*'Расчёт'!$F$50*(('Расчёт'!$F$96-'Расчёт'!$F$26)+'Расчёт'!$F$98*'Расчёт'!$F$88),0.75*'Расчёт'!$F$40*'Расчёт'!$F$50*(('Расчёт'!$F$96-'Расчёт'!$F$26)+'Расчёт'!$F$99),'Расчёт'!$F$40*'Расчёт'!$F$50*('Расчёт'!$F$96-'Расчёт'!$F$26)+'Расчёт'!$F$100)</f>
        <v>182.83317428571425</v>
      </c>
      <c r="G434" s="11"/>
      <c r="H434" s="11"/>
      <c r="I434" s="14" t="str">
        <v>kPa</v>
      </c>
      <c r="J434" s="4"/>
      <c r="K434" s="3"/>
      <c r="L434" s="3"/>
    </row>
    <row r="435" ht="17" customHeight="1">
      <c r="A435" s="14" t="str">
        <v>a</v>
      </c>
      <c r="B435" s="4"/>
      <c r="C435" s="4"/>
      <c r="D435" s="4"/>
      <c r="E435" s="4"/>
      <c r="F435" s="12" t="n">
        <f>'Расчёт'!$F$30</f>
        <v>0.75</v>
      </c>
      <c r="G435" s="11"/>
      <c r="H435" s="11"/>
      <c r="I435" s="14" t="str">
        <v>m</v>
      </c>
      <c r="J435" s="4"/>
      <c r="K435" s="3"/>
      <c r="L435" s="3"/>
    </row>
    <row r="436" ht="17" customHeight="1">
      <c r="A436" s="14" t="str">
        <v>b</v>
      </c>
      <c r="B436" s="4"/>
      <c r="C436" s="4"/>
      <c r="D436" s="4"/>
      <c r="E436" s="4"/>
      <c r="F436" s="12" t="n">
        <f>MAX('Расчёт'!$C$566,'Расчёт'!$C$567,'Расчёт'!$C$568,'Расчёт'!$C$569)</f>
        <v>4.039999999999999</v>
      </c>
      <c r="G436" s="11"/>
      <c r="H436" s="11"/>
      <c r="I436" s="14" t="str">
        <v>m</v>
      </c>
      <c r="J436" s="4"/>
      <c r="K436" s="3"/>
      <c r="L436" s="3"/>
    </row>
    <row r="437" ht="17" customHeight="1">
      <c r="A437" s="14" t="str">
        <v>kσ</v>
      </c>
      <c r="B437" s="4"/>
      <c r="C437" s="4"/>
      <c r="D437" s="4"/>
      <c r="E437" s="4"/>
      <c r="F437" s="12" t="n">
        <v>0.55</v>
      </c>
      <c r="G437" s="11"/>
      <c r="H437" s="11"/>
      <c r="I437" s="14" t="str">
        <v>—</v>
      </c>
      <c r="J437" s="4"/>
      <c r="K437" s="3"/>
      <c r="L437" s="3"/>
    </row>
    <row r="438" ht="17" customHeight="1">
      <c r="A438" s="14" t="str">
        <v>Δs</v>
      </c>
      <c r="B438" s="4"/>
      <c r="C438" s="4"/>
      <c r="D438" s="4"/>
      <c r="E438" s="4"/>
      <c r="F438" s="12" t="n">
        <f>0.3*('Расчёт'!$F$43-'Расчёт'!$F$44)</f>
        <v>3.9</v>
      </c>
      <c r="G438" s="11"/>
      <c r="H438" s="11"/>
      <c r="I438" s="14" t="str">
        <v>mm</v>
      </c>
      <c r="J438" s="4"/>
      <c r="K438" s="3"/>
      <c r="L438" s="3"/>
    </row>
    <row r="439" ht="17" customHeight="1">
      <c r="A439" s="14" t="str">
        <v>smin</v>
      </c>
      <c r="B439" s="4"/>
      <c r="C439" s="4"/>
      <c r="D439" s="4"/>
      <c r="E439" s="4"/>
      <c r="F439" s="12" t="n">
        <f>6.7+0.02*'Расчёт'!$F$20</f>
        <v>9.7</v>
      </c>
      <c r="G439" s="11"/>
      <c r="H439" s="11"/>
      <c r="I439" s="14" t="str">
        <v>mm</v>
      </c>
      <c r="J439" s="4"/>
      <c r="K439" s="3"/>
      <c r="L439" s="3"/>
    </row>
    <row r="440" ht="17" customHeight="1">
      <c r="A440" s="14" t="str">
        <v>sreq</v>
      </c>
      <c r="B440" s="4"/>
      <c r="C440" s="4"/>
      <c r="D440" s="4"/>
      <c r="E440" s="4"/>
      <c r="F440" s="12" t="n">
        <f>MAX(15.8*'Расчёт'!$F$435*MIN(1.2-0.5*'Расчёт'!$F$435/'Расчёт'!$F$436,1)*SQRT('Расчёт'!$F$434/('Расчёт'!$F$437*'Расчёт'!$F$47))+'Расчёт'!$F$438,'Расчёт'!$F$439)</f>
        <v>17.99388015292713</v>
      </c>
      <c r="G440" s="11"/>
      <c r="H440" s="11"/>
      <c r="I440" s="14" t="str">
        <v>mm</v>
      </c>
      <c r="J440" s="4"/>
      <c r="K440" s="3"/>
      <c r="L440" s="3"/>
    </row>
    <row r="441" ht="17" customHeight="1">
      <c r="A441" s="14" t="str">
        <v>Толщина переборки</v>
      </c>
      <c r="B441" s="4"/>
      <c r="C441" s="4"/>
      <c r="D441" s="4"/>
      <c r="E441" s="4"/>
      <c r="F441" s="12" t="n">
        <f>CEILING('Расчёт'!$F$440,1)</f>
        <v>18</v>
      </c>
      <c r="G441" s="11"/>
      <c r="H441" s="11"/>
      <c r="I441" s="14" t="str">
        <v>mm</v>
      </c>
      <c r="J441" s="4"/>
      <c r="K441" s="3"/>
      <c r="L441" s="3"/>
    </row>
    <row r="442" ht="17" customHeight="1">
      <c r="A442" s="14" t="str">
        <v>Толщина платформы</v>
      </c>
      <c r="B442" s="4"/>
      <c r="C442" s="4"/>
      <c r="D442" s="4"/>
      <c r="E442" s="4"/>
      <c r="F442" s="12" t="n">
        <v>12</v>
      </c>
      <c r="G442" s="11"/>
      <c r="H442" s="11"/>
      <c r="I442" s="14" t="str">
        <v>mm</v>
      </c>
      <c r="J442" s="4"/>
      <c r="K442" s="3"/>
      <c r="L442" s="3"/>
    </row>
    <row r="443" ht="17" customHeight="1">
      <c r="A443" s="14" t="str">
        <v>Ширина выреза</v>
      </c>
      <c r="B443" s="4"/>
      <c r="C443" s="4"/>
      <c r="D443" s="4"/>
      <c r="E443" s="4"/>
      <c r="F443" s="12" t="n">
        <v>0.6</v>
      </c>
      <c r="G443" s="11"/>
      <c r="H443" s="11"/>
      <c r="I443" s="14" t="str">
        <v>m</v>
      </c>
      <c r="J443" s="4"/>
      <c r="K443" s="3"/>
      <c r="L443" s="3"/>
    </row>
    <row r="444" ht="17" customHeight="1">
      <c r="A444" s="14" t="str">
        <v>Нетто-ширина</v>
      </c>
      <c r="B444" s="4"/>
      <c r="C444" s="4"/>
      <c r="D444" s="4"/>
      <c r="E444" s="4"/>
      <c r="F444" s="12" t="n">
        <f>'Расчёт'!$F$27-'Расчёт'!$F$443</f>
        <v>1.4</v>
      </c>
      <c r="G444" s="11"/>
      <c r="H444" s="11"/>
      <c r="I444" s="14" t="str">
        <v>m</v>
      </c>
      <c r="J444" s="4"/>
      <c r="K444" s="3"/>
      <c r="L444" s="3"/>
    </row>
    <row r="445" ht="25" customHeight="1">
      <c r="A445" s="7" t="str">
        <v>5. Днище и второе дно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 ht="25" customHeight="1">
      <c r="A446" s="7" t="str">
        <v>Продольные балки днища и второго дна</v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 ht="28" customHeight="1">
      <c r="A447" s="10" t="str">
        <v>Марка</v>
      </c>
      <c r="B447" s="10" t="str">
        <v>Элемент</v>
      </c>
      <c r="C447" s="10"/>
      <c r="D447" s="10"/>
      <c r="E447" s="10" t="str">
        <v>a, м</v>
      </c>
      <c r="F447" s="10"/>
      <c r="G447" s="10" t="str">
        <v>l, м</v>
      </c>
      <c r="H447" s="10"/>
      <c r="I447" s="10" t="str">
        <v>p, кПа</v>
      </c>
      <c r="J447" s="10"/>
      <c r="K447" s="10" t="str">
        <v>m</v>
      </c>
      <c r="L447" s="10"/>
    </row>
    <row r="448" ht="17" customHeight="1">
      <c r="A448" s="4" t="str">
        <v>B-L</v>
      </c>
      <c r="B448" s="4" t="str">
        <v>Продольная балка днища</v>
      </c>
      <c r="C448" s="4"/>
      <c r="D448" s="4"/>
      <c r="E448" s="12" t="n">
        <f>'Расчёт'!$F$34</f>
        <v>0.8</v>
      </c>
      <c r="F448" s="11"/>
      <c r="G448" s="12" t="n">
        <f>'Расчёт'!$F$32</f>
        <v>2.25</v>
      </c>
      <c r="H448" s="11"/>
      <c r="I448" s="12" t="n">
        <f>'Расчёт'!$F$164</f>
        <v>166.57156189651178</v>
      </c>
      <c r="J448" s="11"/>
      <c r="K448" s="12" t="n">
        <v>12</v>
      </c>
      <c r="L448" s="11"/>
    </row>
    <row r="449" ht="29" customHeight="1">
      <c r="A449" s="4" t="str">
        <v>IB-L</v>
      </c>
      <c r="B449" s="4" t="str">
        <v>Продольная балка второго дна</v>
      </c>
      <c r="C449" s="4"/>
      <c r="D449" s="4"/>
      <c r="E449" s="12" t="n">
        <f>'Расчёт'!$F$34</f>
        <v>0.8</v>
      </c>
      <c r="F449" s="11"/>
      <c r="G449" s="12" t="n">
        <f>'Расчёт'!$F$32</f>
        <v>2.25</v>
      </c>
      <c r="H449" s="11"/>
      <c r="I449" s="12" t="n">
        <f>'Расчёт'!$D$165</f>
        <v>185.10278785714283</v>
      </c>
      <c r="J449" s="11"/>
      <c r="K449" s="12" t="n">
        <v>12</v>
      </c>
      <c r="L449" s="11"/>
    </row>
    <row r="450" ht="28" customHeight="1">
      <c r="A450" s="10" t="str">
        <v>Марка</v>
      </c>
      <c r="B450" s="10"/>
      <c r="C450" s="10" t="str">
        <v>kσ</v>
      </c>
      <c r="D450" s="10"/>
      <c r="E450" s="10" t="str">
        <v>u, мм/год</v>
      </c>
      <c r="F450" s="10"/>
      <c r="G450" s="10" t="str">
        <v>Δs, мм</v>
      </c>
      <c r="H450" s="10"/>
      <c r="I450" s="10" t="str">
        <v>W′, см³</v>
      </c>
      <c r="J450" s="10"/>
      <c r="K450" s="10" t="str">
        <v>αк</v>
      </c>
      <c r="L450" s="10"/>
    </row>
    <row r="451" ht="17" customHeight="1">
      <c r="A451" s="16" t="str">
        <f>'Расчёт'!$A$448</f>
        <v>B-L</v>
      </c>
      <c r="B451" s="4"/>
      <c r="C451" s="12" t="n">
        <v>0.5</v>
      </c>
      <c r="D451" s="11"/>
      <c r="E451" s="12" t="n">
        <v>0.2</v>
      </c>
      <c r="F451" s="11"/>
      <c r="G451" s="12" t="n">
        <f>'Расчёт'!$E$451*('Расчёт'!$F$43-'Расчёт'!$F$44)</f>
        <v>2.6</v>
      </c>
      <c r="H451" s="11"/>
      <c r="I451" s="12" t="n">
        <f>1000*'Расчёт'!$I$448*'Расчёт'!$E$448*'Расчёт'!$G$448^2/'Расчёт'!$K$448/'Расчёт'!$C$451/'Расчёт'!$F$47</f>
        <v>478.4502309793425</v>
      </c>
      <c r="J451" s="11"/>
      <c r="K451" s="12" t="n">
        <f>IF('Расчёт'!$I$451&lt;200,MIN(0.07+6/'Расчёт'!$I$451,0.25),(0.01+1/'Расчёт'!$I$451)/0.15)</f>
        <v>0.0806005436616064</v>
      </c>
      <c r="L451" s="11"/>
    </row>
    <row r="452" ht="17" customHeight="1">
      <c r="A452" s="16" t="str">
        <f>'Расчёт'!$A$449</f>
        <v>IB-L</v>
      </c>
      <c r="B452" s="4"/>
      <c r="C452" s="12" t="n">
        <v>0.66</v>
      </c>
      <c r="D452" s="11"/>
      <c r="E452" s="12" t="n">
        <v>0.2</v>
      </c>
      <c r="F452" s="11"/>
      <c r="G452" s="12" t="n">
        <f>'Расчёт'!$E$452*('Расчёт'!$F$43-'Расчёт'!$F$44)</f>
        <v>2.6</v>
      </c>
      <c r="H452" s="11"/>
      <c r="I452" s="12" t="n">
        <f>1000*'Расчёт'!$I$449*'Расчёт'!$E$449*'Расчёт'!$G$449^2/'Расчёт'!$K$449/'Расчёт'!$C$452/'Расчёт'!$F$47</f>
        <v>402.7865306369162</v>
      </c>
      <c r="J452" s="11"/>
      <c r="K452" s="12" t="n">
        <f>IF('Расчёт'!$I$452&lt;200,MIN(0.07+6/'Расчёт'!$I$452,0.25),(0.01+1/'Расчёт'!$I$452)/0.15)</f>
        <v>0.08321803112298262</v>
      </c>
      <c r="L452" s="11"/>
    </row>
    <row r="453" ht="28" customHeight="1">
      <c r="A453" s="10" t="str">
        <v>Марка</v>
      </c>
      <c r="B453" s="10"/>
      <c r="C453" s="10" t="str">
        <v>ωк</v>
      </c>
      <c r="D453" s="10"/>
      <c r="E453" s="10" t="str">
        <v>Wreq, см³</v>
      </c>
      <c r="F453" s="10"/>
      <c r="G453" s="10" t="str">
        <v>smin, мм</v>
      </c>
      <c r="H453" s="10"/>
      <c r="I453" s="10" t="str">
        <v>sп, мм</v>
      </c>
      <c r="J453" s="10"/>
      <c r="K453" s="10" t="str">
        <v>bп, м</v>
      </c>
      <c r="L453" s="10"/>
    </row>
    <row r="454" ht="17" customHeight="1">
      <c r="A454" s="16" t="str">
        <f>'Расчёт'!$A$448</f>
        <v>B-L</v>
      </c>
      <c r="B454" s="4"/>
      <c r="C454" s="12" t="n">
        <f>1+'Расчёт'!$K$451*'Расчёт'!$G$451</f>
        <v>1.2095614135201767</v>
      </c>
      <c r="D454" s="11"/>
      <c r="E454" s="12" t="n">
        <f>'Расчёт'!$I$451*'Расчёт'!$C$454</f>
        <v>578.7149376824285</v>
      </c>
      <c r="F454" s="11"/>
      <c r="G454" s="12" t="n">
        <f>5.5+0.025*'Расчёт'!$F$20</f>
        <v>9.25</v>
      </c>
      <c r="H454" s="11"/>
      <c r="I454" s="12" t="n">
        <f>'Расчёт'!$C$389</f>
        <v>17</v>
      </c>
      <c r="J454" s="11"/>
      <c r="K454" s="12" t="n">
        <f>MIN('Расчёт'!$G$448/6,'Расчёт'!$E$448)</f>
        <v>0.375</v>
      </c>
      <c r="L454" s="11"/>
    </row>
    <row r="455" ht="17" customHeight="1">
      <c r="A455" s="16" t="str">
        <f>'Расчёт'!$A$449</f>
        <v>IB-L</v>
      </c>
      <c r="B455" s="4"/>
      <c r="C455" s="12" t="n">
        <f>1+'Расчёт'!$K$452*'Расчёт'!$G$452</f>
        <v>1.2163668809197548</v>
      </c>
      <c r="D455" s="11"/>
      <c r="E455" s="12" t="n">
        <f>'Расчёт'!$I$452*'Расчёт'!$C$455</f>
        <v>489.936195947315</v>
      </c>
      <c r="F455" s="11"/>
      <c r="G455" s="12" t="n">
        <f>5.5+0.025*'Расчёт'!$F$20</f>
        <v>9.25</v>
      </c>
      <c r="H455" s="11"/>
      <c r="I455" s="12" t="n">
        <f>'Расчёт'!$C$404</f>
        <v>17</v>
      </c>
      <c r="J455" s="11"/>
      <c r="K455" s="12" t="n">
        <f>MIN('Расчёт'!$G$449/6,'Расчёт'!$E$449)</f>
        <v>0.375</v>
      </c>
      <c r="L455" s="11"/>
    </row>
    <row r="456" ht="28" customHeight="1">
      <c r="A456" s="10" t="str">
        <v>Марка</v>
      </c>
      <c r="B456" s="10"/>
      <c r="C456" s="10" t="str">
        <v>Профиль</v>
      </c>
      <c r="D456" s="10"/>
      <c r="E456" s="10" t="str">
        <v>Wфакт, см3</v>
      </c>
      <c r="F456" s="10"/>
      <c r="G456" s="10" t="str">
        <v>Wфакт/Wreq</v>
      </c>
      <c r="H456" s="10"/>
      <c r="I456" s="3"/>
      <c r="J456" s="3"/>
      <c r="K456" s="3"/>
      <c r="L456" s="3"/>
    </row>
    <row r="457" ht="17" customHeight="1">
      <c r="A457" s="16" t="str">
        <f>'Расчёт'!$A$448</f>
        <v>B-L</v>
      </c>
      <c r="B457" s="4"/>
      <c r="C457" s="4" t="str">
        <v>HP 300x11</v>
      </c>
      <c r="D457" s="4"/>
      <c r="E457" s="12" t="n">
        <f>'Расчёт'!$I$466</f>
        <v>654.2086341940778</v>
      </c>
      <c r="F457" s="11"/>
      <c r="G457" s="12" t="n">
        <f>'Расчёт'!$E$457/'Расчёт'!$E$454</f>
        <v>1.130450575224441</v>
      </c>
      <c r="H457" s="11"/>
      <c r="I457" s="3"/>
      <c r="J457" s="3"/>
      <c r="K457" s="3"/>
      <c r="L457" s="3"/>
    </row>
    <row r="458" ht="17" customHeight="1">
      <c r="A458" s="16" t="str">
        <f>'Расчёт'!$A$449</f>
        <v>IB-L</v>
      </c>
      <c r="B458" s="4"/>
      <c r="C458" s="4" t="str">
        <v>HP 280x11</v>
      </c>
      <c r="D458" s="4"/>
      <c r="E458" s="12" t="n">
        <f>'Расчёт'!$I$467</f>
        <v>550.1666112126063</v>
      </c>
      <c r="F458" s="11"/>
      <c r="G458" s="12" t="n">
        <f>'Расчёт'!$E$458/'Расчёт'!$E$455</f>
        <v>1.1229352225116433</v>
      </c>
      <c r="H458" s="11"/>
      <c r="I458" s="3"/>
      <c r="J458" s="3"/>
      <c r="K458" s="3"/>
      <c r="L458" s="3"/>
    </row>
    <row r="459" ht="28" customHeight="1">
      <c r="A459" s="10" t="str">
        <v>Марка</v>
      </c>
      <c r="B459" s="10"/>
      <c r="C459" s="10" t="str">
        <v>Профиль</v>
      </c>
      <c r="D459" s="10"/>
      <c r="E459" s="10" t="str">
        <v>h, см</v>
      </c>
      <c r="F459" s="10"/>
      <c r="G459" s="10" t="str">
        <v>s, см</v>
      </c>
      <c r="H459" s="10"/>
      <c r="I459" s="10" t="str">
        <v>Aпроф, см²</v>
      </c>
      <c r="J459" s="10"/>
      <c r="K459" s="10" t="str">
        <v>y₀, см</v>
      </c>
      <c r="L459" s="10"/>
    </row>
    <row r="460" ht="17" customHeight="1">
      <c r="A460" s="4" t="str">
        <v>B-L</v>
      </c>
      <c r="B460" s="4"/>
      <c r="C460" s="14" t="str">
        <f>'Расчёт'!$C$457</f>
        <v>HP 300x11</v>
      </c>
      <c r="D460" s="4"/>
      <c r="E460" s="12" t="n">
        <f>'Сортамент HP'!$D$16/10</f>
        <v>30</v>
      </c>
      <c r="F460" s="11"/>
      <c r="G460" s="12" t="n">
        <f>'Сортамент HP'!$E$16/10</f>
        <v>1.1</v>
      </c>
      <c r="H460" s="11"/>
      <c r="I460" s="12" t="n">
        <f>'Сортамент HP'!$H$16/1</f>
        <v>46.7</v>
      </c>
      <c r="J460" s="11"/>
      <c r="K460" s="12" t="n">
        <f>'Сортамент HP'!$J$16/1</f>
        <v>18.9</v>
      </c>
      <c r="L460" s="11"/>
    </row>
    <row r="461" ht="17" customHeight="1">
      <c r="A461" s="4" t="str">
        <v>IB-L</v>
      </c>
      <c r="B461" s="4"/>
      <c r="C461" s="14" t="str">
        <f>'Расчёт'!$C$458</f>
        <v>HP 280x11</v>
      </c>
      <c r="D461" s="4"/>
      <c r="E461" s="12" t="n">
        <f>'Сортамент HP'!$D$14/10</f>
        <v>28</v>
      </c>
      <c r="F461" s="11"/>
      <c r="G461" s="12" t="n">
        <f>'Сортамент HP'!$E$14/10</f>
        <v>1.1</v>
      </c>
      <c r="H461" s="11"/>
      <c r="I461" s="12" t="n">
        <f>'Сортамент HP'!$H$14/1</f>
        <v>42.6</v>
      </c>
      <c r="J461" s="11"/>
      <c r="K461" s="12" t="n">
        <f>'Сортамент HP'!$J$14/1</f>
        <v>17.4</v>
      </c>
      <c r="L461" s="11"/>
    </row>
    <row r="462" ht="28" customHeight="1">
      <c r="A462" s="10" t="str">
        <v>Марка</v>
      </c>
      <c r="B462" s="10"/>
      <c r="C462" s="10" t="str">
        <v>Iпроф, см⁴</v>
      </c>
      <c r="D462" s="10"/>
      <c r="E462" s="10" t="str">
        <v>bп, см</v>
      </c>
      <c r="F462" s="10"/>
      <c r="G462" s="10" t="str">
        <v>sп, см</v>
      </c>
      <c r="H462" s="10"/>
      <c r="I462" s="10" t="str">
        <v>Aп, см²</v>
      </c>
      <c r="J462" s="10"/>
      <c r="K462" s="10" t="str">
        <v>e, см</v>
      </c>
      <c r="L462" s="10"/>
    </row>
    <row r="463" ht="17" customHeight="1">
      <c r="A463" s="16" t="str">
        <f>'Расчёт'!$A$460</f>
        <v>B-L</v>
      </c>
      <c r="B463" s="4"/>
      <c r="C463" s="12" t="n">
        <f>'Сортамент HP'!$K$16/1</f>
        <v>4190</v>
      </c>
      <c r="D463" s="11"/>
      <c r="E463" s="12" t="n">
        <f>'Расчёт'!$K$454*100</f>
        <v>37.5</v>
      </c>
      <c r="F463" s="11"/>
      <c r="G463" s="12" t="n">
        <f>'Расчёт'!$I$454/10</f>
        <v>1.7</v>
      </c>
      <c r="H463" s="11"/>
      <c r="I463" s="12" t="n">
        <f>'Расчёт'!$E$463*'Расчёт'!$G$463</f>
        <v>63.75</v>
      </c>
      <c r="J463" s="11"/>
      <c r="K463" s="12" t="n">
        <f>'Расчёт'!$I$460*('Расчёт'!$K$460+'Расчёт'!$G$463/2)/('Расчёт'!$I$460+'Расчёт'!$I$463)</f>
        <v>8.350611136260751</v>
      </c>
      <c r="L463" s="11"/>
    </row>
    <row r="464" ht="17" customHeight="1">
      <c r="A464" s="16" t="str">
        <f>'Расчёт'!$A$461</f>
        <v>IB-L</v>
      </c>
      <c r="B464" s="4"/>
      <c r="C464" s="12" t="n">
        <f>'Сортамент HP'!$K$14/1</f>
        <v>3330</v>
      </c>
      <c r="D464" s="11"/>
      <c r="E464" s="12" t="n">
        <f>'Расчёт'!$K$455*100</f>
        <v>37.5</v>
      </c>
      <c r="F464" s="11"/>
      <c r="G464" s="12" t="n">
        <f>'Расчёт'!$I$455/10</f>
        <v>1.7</v>
      </c>
      <c r="H464" s="11"/>
      <c r="I464" s="12" t="n">
        <f>'Расчёт'!$E$464*'Расчёт'!$G$464</f>
        <v>63.75</v>
      </c>
      <c r="J464" s="11"/>
      <c r="K464" s="12" t="n">
        <f>'Расчёт'!$I$461*('Расчёт'!$K$461+'Расчёт'!$G$464/2)/('Расчёт'!$I$461+'Расчёт'!$I$464)</f>
        <v>7.310296191819464</v>
      </c>
      <c r="L464" s="11"/>
    </row>
    <row r="465" ht="28" customHeight="1">
      <c r="A465" s="10" t="str">
        <v>Марка</v>
      </c>
      <c r="B465" s="10"/>
      <c r="C465" s="10" t="str">
        <v>IΣ, см⁴</v>
      </c>
      <c r="D465" s="10"/>
      <c r="E465" s="10" t="str">
        <v>Wверх, см³</v>
      </c>
      <c r="F465" s="10"/>
      <c r="G465" s="10" t="str">
        <v>Wниз, см³</v>
      </c>
      <c r="H465" s="10"/>
      <c r="I465" s="10" t="str">
        <v>Wmin, см³</v>
      </c>
      <c r="J465" s="10"/>
      <c r="K465" s="10" t="str">
        <v>Проверка</v>
      </c>
      <c r="L465" s="10"/>
    </row>
    <row r="466" ht="17" customHeight="1">
      <c r="A466" s="16" t="str">
        <f>'Расчёт'!$A$460</f>
        <v>B-L</v>
      </c>
      <c r="B466" s="4"/>
      <c r="C466" s="12" t="n">
        <f>'Расчёт'!$C$463+'Расчёт'!$E$463*'Расчёт'!$G$463^3/12+'Расчёт'!$I$460*('Расчёт'!$K$460+'Расчёт'!$G$463/2)^2-('Расчёт'!$I$460+'Расчёт'!$I$463)*'Расчёт'!$K$463^2</f>
        <v>14719.2944587483</v>
      </c>
      <c r="D466" s="11"/>
      <c r="E466" s="12" t="n">
        <f>'Расчёт'!$C$466/('Расчёт'!$E$460+'Расчёт'!$G$463/2-'Расчёт'!$K$463)</f>
        <v>654.2086341940778</v>
      </c>
      <c r="F466" s="11"/>
      <c r="G466" s="12" t="n">
        <f>'Расчёт'!$C$466/('Расчёт'!$K$463+'Расчёт'!$G$463/2)</f>
        <v>1599.8170383201757</v>
      </c>
      <c r="H466" s="11"/>
      <c r="I466" s="12" t="n">
        <f>MIN('Расчёт'!$E$466,'Расчёт'!$G$466)</f>
        <v>654.2086341940778</v>
      </c>
      <c r="J466" s="11"/>
      <c r="K466" s="14" t="str">
        <f>IF(AND('Расчёт'!$I$466&gt;='Расчёт'!$E$454,'Расчёт'!$G$460*10&gt;='Расчёт'!$G$454),"Выполнено","Не выполнено")</f>
        <v>Выполнено</v>
      </c>
      <c r="L466" s="4"/>
    </row>
    <row r="467" ht="17" customHeight="1">
      <c r="A467" s="16" t="str">
        <f>'Расчёт'!$A$461</f>
        <v>IB-L</v>
      </c>
      <c r="B467" s="4"/>
      <c r="C467" s="12" t="n">
        <f>'Расчёт'!$C$464+'Расчёт'!$E$464*'Расчёт'!$G$464^3/12+'Расчёт'!$I$461*('Расчёт'!$K$461+'Расчёт'!$G$464/2)^2-('Расчёт'!$I$461+'Расчёт'!$I$464)*'Расчёт'!$K$464^2</f>
        <v>11850.425850669957</v>
      </c>
      <c r="D467" s="11"/>
      <c r="E467" s="12" t="n">
        <f>'Расчёт'!$C$467/('Расчёт'!$E$461+'Расчёт'!$G$464/2-'Расчёт'!$K$464)</f>
        <v>550.1666112126063</v>
      </c>
      <c r="F467" s="11"/>
      <c r="G467" s="12" t="n">
        <f>'Расчёт'!$C$467/('Расчёт'!$K$464+'Расчёт'!$G$464/2)</f>
        <v>1452.2053577601478</v>
      </c>
      <c r="H467" s="11"/>
      <c r="I467" s="12" t="n">
        <f>MIN('Расчёт'!$E$467,'Расчёт'!$G$467)</f>
        <v>550.1666112126063</v>
      </c>
      <c r="J467" s="11"/>
      <c r="K467" s="14" t="str">
        <f>IF(AND('Расчёт'!$I$467&gt;='Расчёт'!$E$455,'Расчёт'!$G$461*10&gt;='Расчёт'!$G$455),"Выполнено","Не выполнено")</f>
        <v>Выполнено</v>
      </c>
      <c r="L467" s="4"/>
    </row>
    <row r="468" ht="25" customHeight="1">
      <c r="A468" s="7" t="str">
        <v>Флоры, вертикальный киль и стрингер</v>
      </c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 ht="28" customHeight="1">
      <c r="A469" s="10" t="str">
        <v>Элемент</v>
      </c>
      <c r="B469" s="10"/>
      <c r="C469" s="10"/>
      <c r="D469" s="10" t="str">
        <v>a, м</v>
      </c>
      <c r="E469" s="10"/>
      <c r="F469" s="10" t="str">
        <v>α</v>
      </c>
      <c r="G469" s="10"/>
      <c r="H469" s="10" t="str">
        <v>k1</v>
      </c>
      <c r="I469" s="10"/>
      <c r="J469" s="10" t="str">
        <v>k2</v>
      </c>
      <c r="K469" s="10" t="str">
        <v>Δs, мм</v>
      </c>
      <c r="L469" s="10"/>
    </row>
    <row r="470" ht="17" customHeight="1">
      <c r="A470" s="4" t="str">
        <v>Сплошной флор</v>
      </c>
      <c r="B470" s="4"/>
      <c r="C470" s="4"/>
      <c r="D470" s="12" t="n">
        <f>'Расчёт'!$F$34</f>
        <v>0.8</v>
      </c>
      <c r="E470" s="11"/>
      <c r="F470" s="12" t="n">
        <f>0.023*'Расчёт'!$F$20+5.8</f>
        <v>9.25</v>
      </c>
      <c r="G470" s="11"/>
      <c r="H470" s="12" t="n">
        <f>'Расчёт'!$F$63</f>
        <v>1.45</v>
      </c>
      <c r="I470" s="11"/>
      <c r="J470" s="12" t="n">
        <f>'Расчёт'!$F$64</f>
        <v>0.93</v>
      </c>
      <c r="K470" s="12" t="n">
        <f>0.2*('Расчёт'!$F$43-'Расчёт'!$F$44)</f>
        <v>2.6</v>
      </c>
      <c r="L470" s="11"/>
    </row>
    <row r="471" ht="17" customHeight="1">
      <c r="A471" s="4" t="str">
        <v>Вертикальный киль</v>
      </c>
      <c r="B471" s="4"/>
      <c r="C471" s="4"/>
      <c r="D471" s="4" t="str">
        <v>—</v>
      </c>
      <c r="E471" s="4"/>
      <c r="F471" s="12" t="n">
        <f>MIN(0.03*'Расчёт'!$F$20+8.3,11.2)</f>
        <v>11.2</v>
      </c>
      <c r="G471" s="11"/>
      <c r="H471" s="4" t="str">
        <v>—</v>
      </c>
      <c r="I471" s="4"/>
      <c r="J471" s="4" t="str">
        <v>—</v>
      </c>
      <c r="K471" s="12" t="n">
        <f>'Расчёт'!$K$470</f>
        <v>2.6</v>
      </c>
      <c r="L471" s="11"/>
    </row>
    <row r="472" ht="29" customHeight="1">
      <c r="A472" s="4" t="str">
        <v>Стрингер в плоскости внутреннего борта</v>
      </c>
      <c r="B472" s="4"/>
      <c r="C472" s="4"/>
      <c r="D472" s="4" t="str">
        <v>—</v>
      </c>
      <c r="E472" s="4"/>
      <c r="F472" s="4" t="str">
        <v>—</v>
      </c>
      <c r="G472" s="4"/>
      <c r="H472" s="4" t="str">
        <v>—</v>
      </c>
      <c r="I472" s="4"/>
      <c r="J472" s="4" t="str">
        <v>—</v>
      </c>
      <c r="K472" s="4" t="str">
        <v>—</v>
      </c>
      <c r="L472" s="4"/>
    </row>
    <row r="473" ht="28" customHeight="1">
      <c r="A473" s="10" t="str">
        <v>Марка</v>
      </c>
      <c r="B473" s="10"/>
      <c r="C473" s="10"/>
      <c r="D473" s="10"/>
      <c r="E473" s="10"/>
      <c r="F473" s="10" t="str">
        <v>sreq, мм</v>
      </c>
      <c r="G473" s="10"/>
      <c r="H473" s="10"/>
      <c r="I473" s="10" t="str">
        <v>s, мм</v>
      </c>
      <c r="J473" s="10"/>
      <c r="K473" s="10" t="str">
        <v>Проверка</v>
      </c>
      <c r="L473" s="10"/>
    </row>
    <row r="474" ht="17" customHeight="1">
      <c r="A474" s="16" t="str">
        <f>'Расчёт'!$A$470</f>
        <v>Сплошной флор</v>
      </c>
      <c r="B474" s="4"/>
      <c r="C474" s="4"/>
      <c r="D474" s="4"/>
      <c r="E474" s="4"/>
      <c r="F474" s="12" t="n">
        <f>'Расчёт'!$D$470*'Расчёт'!$F$470*'Расчёт'!$H$470*'Расчёт'!$J$470*SQRT('Расчёт'!$F$46)+'Расчёт'!$K$470</f>
        <v>12.5789</v>
      </c>
      <c r="G474" s="11"/>
      <c r="H474" s="11"/>
      <c r="I474" s="15" t="n">
        <f>CEILING('Расчёт'!$F$474,1)</f>
        <v>13</v>
      </c>
      <c r="J474" s="11"/>
      <c r="K474" s="14" t="str">
        <f>IF('Расчёт'!$I$474&gt;='Расчёт'!$F$474,"Выполнено","Недостаточно")</f>
        <v>Выполнено</v>
      </c>
      <c r="L474" s="4"/>
    </row>
    <row r="475" ht="17" customHeight="1">
      <c r="A475" s="16" t="str">
        <f>'Расчёт'!$A$471</f>
        <v>Вертикальный киль</v>
      </c>
      <c r="B475" s="4"/>
      <c r="C475" s="4"/>
      <c r="D475" s="4"/>
      <c r="E475" s="4"/>
      <c r="F475" s="12" t="n">
        <f>'Расчёт'!$F$471*'Расчёт'!$F$53^2/'Расчёт'!$F$26*SQRT('Расчёт'!$F$46)+'Расчёт'!$K$471</f>
        <v>16.45692880763312</v>
      </c>
      <c r="G475" s="11"/>
      <c r="H475" s="11"/>
      <c r="I475" s="15" t="n">
        <f>MAX(CEILING('Расчёт'!$F$475,1),'Расчёт'!$I$474+1)</f>
        <v>17</v>
      </c>
      <c r="J475" s="11"/>
      <c r="K475" s="14" t="str">
        <f>IF('Расчёт'!$I$475&gt;='Расчёт'!$F$475,"Выполнено","Недостаточно")</f>
        <v>Выполнено</v>
      </c>
      <c r="L475" s="4"/>
    </row>
    <row r="476" ht="17" customHeight="1">
      <c r="A476" s="16" t="str">
        <f>'Расчёт'!$A$472</f>
        <v>Стрингер в плоскости внутреннего борта</v>
      </c>
      <c r="B476" s="4"/>
      <c r="C476" s="4"/>
      <c r="D476" s="4"/>
      <c r="E476" s="4"/>
      <c r="F476" s="12" t="n">
        <f>'Расчёт'!$I$474</f>
        <v>13</v>
      </c>
      <c r="G476" s="11"/>
      <c r="H476" s="11"/>
      <c r="I476" s="15" t="n">
        <f>'Расчёт'!$I$475</f>
        <v>17</v>
      </c>
      <c r="J476" s="11"/>
      <c r="K476" s="14" t="str">
        <f>IF('Расчёт'!$I$476&gt;='Расчёт'!$F$476,"Выполнено","Недостаточно")</f>
        <v>Выполнено</v>
      </c>
      <c r="L476" s="4"/>
    </row>
    <row r="477" ht="25" customHeight="1">
      <c r="A477" s="7" t="str">
        <v>6. Борт, палуба и переборка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 ht="25" customHeight="1">
      <c r="A478" s="7" t="str">
        <v>Шпангоуты наружного и внутреннего борта</v>
      </c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 ht="28" customHeight="1">
      <c r="A479" s="10" t="str">
        <v>Марка</v>
      </c>
      <c r="B479" s="10" t="str">
        <v>Элемент</v>
      </c>
      <c r="C479" s="10"/>
      <c r="D479" s="10"/>
      <c r="E479" s="10" t="str">
        <v>a, м</v>
      </c>
      <c r="F479" s="10"/>
      <c r="G479" s="10" t="str">
        <v>l, м</v>
      </c>
      <c r="H479" s="10"/>
      <c r="I479" s="10" t="str">
        <v>p, кПа</v>
      </c>
      <c r="J479" s="10"/>
      <c r="K479" s="10" t="str">
        <v>m</v>
      </c>
      <c r="L479" s="10"/>
    </row>
    <row r="480" ht="17" customHeight="1">
      <c r="A480" s="4" t="str">
        <v>OF1</v>
      </c>
      <c r="B480" s="4" t="str">
        <v>Наружный шпангоут 1</v>
      </c>
      <c r="C480" s="4"/>
      <c r="D480" s="4"/>
      <c r="E480" s="12" t="n">
        <f>'Расчёт'!$F$30</f>
        <v>0.75</v>
      </c>
      <c r="F480" s="11"/>
      <c r="G480" s="12" t="n">
        <f>'Расчёт'!$F$35-'Расчёт'!$F$26</f>
        <v>3.4000000000000004</v>
      </c>
      <c r="H480" s="11"/>
      <c r="I480" s="12" t="n">
        <f>'Расчёт'!$J$184</f>
        <v>168.00886285714284</v>
      </c>
      <c r="J480" s="11"/>
      <c r="K480" s="12" t="n">
        <v>12</v>
      </c>
      <c r="L480" s="11"/>
    </row>
    <row r="481" ht="17" customHeight="1">
      <c r="A481" s="4" t="str">
        <v>OF2</v>
      </c>
      <c r="B481" s="4" t="str">
        <v>Наружный шпангоут 2</v>
      </c>
      <c r="C481" s="4"/>
      <c r="D481" s="4"/>
      <c r="E481" s="12" t="n">
        <f>'Расчёт'!$F$30</f>
        <v>0.75</v>
      </c>
      <c r="F481" s="11"/>
      <c r="G481" s="12" t="n">
        <f>'Расчёт'!$F$36-'Расчёт'!$F$35</f>
        <v>3.3999999999999995</v>
      </c>
      <c r="H481" s="11"/>
      <c r="I481" s="12" t="n">
        <f>'Расчёт'!$J$185</f>
        <v>133.82101285714285</v>
      </c>
      <c r="J481" s="11"/>
      <c r="K481" s="12" t="n">
        <v>12</v>
      </c>
      <c r="L481" s="11"/>
    </row>
    <row r="482" ht="17" customHeight="1">
      <c r="A482" s="4" t="str">
        <v>OF3</v>
      </c>
      <c r="B482" s="4" t="str">
        <v>Наружный шпангоут 3</v>
      </c>
      <c r="C482" s="4"/>
      <c r="D482" s="4"/>
      <c r="E482" s="12" t="n">
        <f>'Расчёт'!$F$30</f>
        <v>0.75</v>
      </c>
      <c r="F482" s="11"/>
      <c r="G482" s="12" t="n">
        <f>'Расчёт'!$F$37-'Расчёт'!$F$36</f>
        <v>3.4000000000000004</v>
      </c>
      <c r="H482" s="11"/>
      <c r="I482" s="12" t="n">
        <f>'Расчёт'!$J$186</f>
        <v>99.63316285714284</v>
      </c>
      <c r="J482" s="11"/>
      <c r="K482" s="12" t="n">
        <v>12</v>
      </c>
      <c r="L482" s="11"/>
    </row>
    <row r="483" ht="17" customHeight="1">
      <c r="A483" s="4" t="str">
        <v>OF4</v>
      </c>
      <c r="B483" s="4" t="str">
        <v>Наружный шпангоут 4</v>
      </c>
      <c r="C483" s="4"/>
      <c r="D483" s="4"/>
      <c r="E483" s="12" t="n">
        <f>'Расчёт'!$F$30</f>
        <v>0.75</v>
      </c>
      <c r="F483" s="11"/>
      <c r="G483" s="12" t="n">
        <f>'Расчёт'!$F$22-'Расчёт'!$F$37</f>
        <v>3.5</v>
      </c>
      <c r="H483" s="11"/>
      <c r="I483" s="12" t="n">
        <f>'Расчёт'!$J$187</f>
        <v>64.94255035714286</v>
      </c>
      <c r="J483" s="11"/>
      <c r="K483" s="12" t="n">
        <v>12</v>
      </c>
      <c r="L483" s="11"/>
    </row>
    <row r="484" ht="17" customHeight="1">
      <c r="A484" s="4" t="str">
        <v>IF1</v>
      </c>
      <c r="B484" s="4" t="str">
        <v>Внутренний шпангоут 1</v>
      </c>
      <c r="C484" s="4"/>
      <c r="D484" s="4"/>
      <c r="E484" s="12" t="n">
        <f>'Расчёт'!$F$30</f>
        <v>0.75</v>
      </c>
      <c r="F484" s="11"/>
      <c r="G484" s="12" t="n">
        <f>'Расчёт'!$F$35-'Расчёт'!$F$26</f>
        <v>3.4000000000000004</v>
      </c>
      <c r="H484" s="11"/>
      <c r="I484" s="12" t="n">
        <f>'Расчёт'!$D$188</f>
        <v>168.00886285714284</v>
      </c>
      <c r="J484" s="11"/>
      <c r="K484" s="12" t="n">
        <v>12</v>
      </c>
      <c r="L484" s="11"/>
    </row>
    <row r="485" ht="17" customHeight="1">
      <c r="A485" s="4" t="str">
        <v>IF2</v>
      </c>
      <c r="B485" s="4" t="str">
        <v>Внутренний шпангоут 2</v>
      </c>
      <c r="C485" s="4"/>
      <c r="D485" s="4"/>
      <c r="E485" s="12" t="n">
        <f>'Расчёт'!$F$30</f>
        <v>0.75</v>
      </c>
      <c r="F485" s="11"/>
      <c r="G485" s="12" t="n">
        <f>'Расчёт'!$F$36-'Расчёт'!$F$35</f>
        <v>3.3999999999999995</v>
      </c>
      <c r="H485" s="11"/>
      <c r="I485" s="12" t="n">
        <f>'Расчёт'!$D$189</f>
        <v>133.82101285714285</v>
      </c>
      <c r="J485" s="11"/>
      <c r="K485" s="12" t="n">
        <v>12</v>
      </c>
      <c r="L485" s="11"/>
    </row>
    <row r="486" ht="17" customHeight="1">
      <c r="A486" s="4" t="str">
        <v>IF3</v>
      </c>
      <c r="B486" s="4" t="str">
        <v>Внутренний шпангоут 3</v>
      </c>
      <c r="C486" s="4"/>
      <c r="D486" s="4"/>
      <c r="E486" s="12" t="n">
        <f>'Расчёт'!$F$30</f>
        <v>0.75</v>
      </c>
      <c r="F486" s="11"/>
      <c r="G486" s="12" t="n">
        <f>'Расчёт'!$F$37-'Расчёт'!$F$36</f>
        <v>3.4000000000000004</v>
      </c>
      <c r="H486" s="11"/>
      <c r="I486" s="12" t="n">
        <f>'Расчёт'!$D$190</f>
        <v>99.63316285714284</v>
      </c>
      <c r="J486" s="11"/>
      <c r="K486" s="12" t="n">
        <v>12</v>
      </c>
      <c r="L486" s="11"/>
    </row>
    <row r="487" ht="17" customHeight="1">
      <c r="A487" s="4" t="str">
        <v>IF4</v>
      </c>
      <c r="B487" s="4" t="str">
        <v>Внутренний шпангоут 4</v>
      </c>
      <c r="C487" s="4"/>
      <c r="D487" s="4"/>
      <c r="E487" s="12" t="n">
        <f>'Расчёт'!$F$30</f>
        <v>0.75</v>
      </c>
      <c r="F487" s="11"/>
      <c r="G487" s="12" t="n">
        <f>('Расчёт'!$F$22+'Расчёт'!$F$29*'Расчёт'!$F$27/('Расчёт'!$F$21/2))-'Расчёт'!$F$37</f>
        <v>3.58</v>
      </c>
      <c r="H487" s="11"/>
      <c r="I487" s="12" t="n">
        <f>'Расчёт'!$D$191</f>
        <v>64.54034035714287</v>
      </c>
      <c r="J487" s="11"/>
      <c r="K487" s="12" t="n">
        <v>12</v>
      </c>
      <c r="L487" s="11"/>
    </row>
    <row r="488" ht="28" customHeight="1">
      <c r="A488" s="10" t="str">
        <v>Марка</v>
      </c>
      <c r="B488" s="10"/>
      <c r="C488" s="10" t="str">
        <v>kσ</v>
      </c>
      <c r="D488" s="10"/>
      <c r="E488" s="10" t="str">
        <v>u, мм/год</v>
      </c>
      <c r="F488" s="10"/>
      <c r="G488" s="10" t="str">
        <v>Δs, мм</v>
      </c>
      <c r="H488" s="10"/>
      <c r="I488" s="10" t="str">
        <v>W′, см³</v>
      </c>
      <c r="J488" s="10"/>
      <c r="K488" s="10" t="str">
        <v>αк</v>
      </c>
      <c r="L488" s="10"/>
    </row>
    <row r="489" ht="17" customHeight="1">
      <c r="A489" s="16" t="str">
        <f>'Расчёт'!$A$480</f>
        <v>OF1</v>
      </c>
      <c r="B489" s="4"/>
      <c r="C489" s="12" t="n">
        <v>0.65</v>
      </c>
      <c r="D489" s="11"/>
      <c r="E489" s="12" t="n">
        <v>0.21</v>
      </c>
      <c r="F489" s="11"/>
      <c r="G489" s="12" t="n">
        <f>'Расчёт'!$E$489*('Расчёт'!$F$43-'Расчёт'!$F$44)</f>
        <v>2.73</v>
      </c>
      <c r="H489" s="11"/>
      <c r="I489" s="12" t="n">
        <f>1000*'Расчёт'!$I$480*'Расчёт'!$E$480*'Расчёт'!$G$480^2/'Расчёт'!$K$480/'Расчёт'!$C$489/'Расчёт'!$F$47</f>
        <v>794.673672106617</v>
      </c>
      <c r="J489" s="11"/>
      <c r="K489" s="12" t="n">
        <f>IF('Расчёт'!$I$489&lt;200,MIN(0.07+6/'Расчёт'!$I$489,0.25),(0.01+1/'Расчёт'!$I$489)/0.15)</f>
        <v>0.07505585445615749</v>
      </c>
      <c r="L489" s="11"/>
    </row>
    <row r="490" ht="17" customHeight="1">
      <c r="A490" s="16" t="str">
        <f>'Расчёт'!$A$481</f>
        <v>OF2</v>
      </c>
      <c r="B490" s="4"/>
      <c r="C490" s="12" t="n">
        <v>0.65</v>
      </c>
      <c r="D490" s="11"/>
      <c r="E490" s="12" t="n">
        <v>0.21</v>
      </c>
      <c r="F490" s="11"/>
      <c r="G490" s="12" t="n">
        <f>'Расчёт'!$E$490*('Расчёт'!$F$43-'Расчёт'!$F$44)</f>
        <v>2.73</v>
      </c>
      <c r="H490" s="11"/>
      <c r="I490" s="12" t="n">
        <f>1000*'Расчёт'!$I$481*'Расчёт'!$E$481*'Расчёт'!$G$481^2/'Расчёт'!$K$481/'Расчёт'!$C$490/'Расчёт'!$F$47</f>
        <v>632.9668202244561</v>
      </c>
      <c r="J490" s="11"/>
      <c r="K490" s="12" t="n">
        <f>IF('Расчёт'!$I$490&lt;200,MIN(0.07+6/'Расчёт'!$I$490,0.25),(0.01+1/'Расчёт'!$I$490)/0.15)</f>
        <v>0.07719907761405662</v>
      </c>
      <c r="L490" s="11"/>
    </row>
    <row r="491" ht="17" customHeight="1">
      <c r="A491" s="16" t="str">
        <f>'Расчёт'!$A$482</f>
        <v>OF3</v>
      </c>
      <c r="B491" s="4"/>
      <c r="C491" s="12" t="n">
        <v>0.65</v>
      </c>
      <c r="D491" s="11"/>
      <c r="E491" s="12" t="n">
        <v>0.21</v>
      </c>
      <c r="F491" s="11"/>
      <c r="G491" s="12" t="n">
        <f>'Расчёт'!$E$491*('Расчёт'!$F$43-'Расчёт'!$F$44)</f>
        <v>2.73</v>
      </c>
      <c r="H491" s="11"/>
      <c r="I491" s="12" t="n">
        <f>1000*'Расчёт'!$I$482*'Расчёт'!$E$482*'Расчёт'!$G$482^2/'Расчёт'!$K$482/'Расчёт'!$C$491/'Расчёт'!$F$47</f>
        <v>471.25996834229585</v>
      </c>
      <c r="J491" s="11"/>
      <c r="K491" s="12" t="n">
        <f>IF('Расчёт'!$I$491&lt;200,MIN(0.07+6/'Расчёт'!$I$491,0.25),(0.01+1/'Расчёт'!$I$491)/0.15)</f>
        <v>0.08081314019404337</v>
      </c>
      <c r="L491" s="11"/>
    </row>
    <row r="492" ht="17" customHeight="1">
      <c r="A492" s="16" t="str">
        <f>'Расчёт'!$A$483</f>
        <v>OF4</v>
      </c>
      <c r="B492" s="4"/>
      <c r="C492" s="12" t="n">
        <v>0.65</v>
      </c>
      <c r="D492" s="11"/>
      <c r="E492" s="12" t="n">
        <v>0.21</v>
      </c>
      <c r="F492" s="11"/>
      <c r="G492" s="12" t="n">
        <f>'Расчёт'!$E$492*('Расчёт'!$F$43-'Расчёт'!$F$44)</f>
        <v>2.73</v>
      </c>
      <c r="H492" s="11"/>
      <c r="I492" s="12" t="n">
        <f>1000*'Расчёт'!$I$483*'Расчёт'!$E$483*'Расчёт'!$G$483^2/'Расчёт'!$K$483/'Расчёт'!$C$492/'Расчёт'!$F$47</f>
        <v>325.50991893412436</v>
      </c>
      <c r="J492" s="11"/>
      <c r="K492" s="12" t="n">
        <f>IF('Расчёт'!$I$492&lt;200,MIN(0.07+6/'Расчёт'!$I$492,0.25),(0.01+1/'Расчёт'!$I$492)/0.15)</f>
        <v>0.08714735336431488</v>
      </c>
      <c r="L492" s="11"/>
    </row>
    <row r="493" ht="17" customHeight="1">
      <c r="A493" s="16" t="str">
        <f>'Расчёт'!$A$484</f>
        <v>IF1</v>
      </c>
      <c r="B493" s="4"/>
      <c r="C493" s="12" t="n">
        <v>0.75</v>
      </c>
      <c r="D493" s="11"/>
      <c r="E493" s="12" t="n">
        <v>0.21</v>
      </c>
      <c r="F493" s="11"/>
      <c r="G493" s="12" t="n">
        <f>'Расчёт'!$E$493*('Расчёт'!$F$43-'Расчёт'!$F$44)</f>
        <v>2.73</v>
      </c>
      <c r="H493" s="11"/>
      <c r="I493" s="12" t="n">
        <f>1000*'Расчёт'!$I$484*'Расчёт'!$E$484*'Расчёт'!$G$484^2/'Расчёт'!$K$484/'Расчёт'!$C$493/'Расчёт'!$F$47</f>
        <v>688.7171824924013</v>
      </c>
      <c r="J493" s="11"/>
      <c r="K493" s="12" t="n">
        <f>IF('Расчёт'!$I$493&lt;200,MIN(0.07+6/'Расчёт'!$I$493,0.25),(0.01+1/'Расчёт'!$I$493)/0.15)</f>
        <v>0.07634649873146378</v>
      </c>
      <c r="L493" s="11"/>
    </row>
    <row r="494" ht="17" customHeight="1">
      <c r="A494" s="16" t="str">
        <f>'Расчёт'!$A$485</f>
        <v>IF2</v>
      </c>
      <c r="B494" s="4"/>
      <c r="C494" s="12" t="n">
        <v>0.75</v>
      </c>
      <c r="D494" s="11"/>
      <c r="E494" s="12" t="n">
        <v>0.21</v>
      </c>
      <c r="F494" s="11"/>
      <c r="G494" s="12" t="n">
        <f>'Расчёт'!$E$494*('Расчёт'!$F$43-'Расчёт'!$F$44)</f>
        <v>2.73</v>
      </c>
      <c r="H494" s="11"/>
      <c r="I494" s="12" t="n">
        <f>1000*'Расчёт'!$I$485*'Расчёт'!$E$485*'Расчёт'!$G$485^2/'Расчёт'!$K$485/'Расчёт'!$C$494/'Расчёт'!$F$47</f>
        <v>548.5712441945287</v>
      </c>
      <c r="J494" s="11"/>
      <c r="K494" s="12" t="n">
        <f>IF('Расчёт'!$I$494&lt;200,MIN(0.07+6/'Расчёт'!$I$494,0.25),(0.01+1/'Расчёт'!$I$494)/0.15)</f>
        <v>0.07881944852903969</v>
      </c>
      <c r="L494" s="11"/>
    </row>
    <row r="495" ht="17" customHeight="1">
      <c r="A495" s="16" t="str">
        <f>'Расчёт'!$A$486</f>
        <v>IF3</v>
      </c>
      <c r="B495" s="4"/>
      <c r="C495" s="12" t="n">
        <v>0.75</v>
      </c>
      <c r="D495" s="11"/>
      <c r="E495" s="12" t="n">
        <v>0.21</v>
      </c>
      <c r="F495" s="11"/>
      <c r="G495" s="12" t="n">
        <f>'Расчёт'!$E$495*('Расчёт'!$F$43-'Расчёт'!$F$44)</f>
        <v>2.73</v>
      </c>
      <c r="H495" s="11"/>
      <c r="I495" s="12" t="n">
        <f>1000*'Расчёт'!$I$486*'Расчёт'!$E$486*'Расчёт'!$G$486^2/'Расчёт'!$K$486/'Расчёт'!$C$495/'Расчёт'!$F$47</f>
        <v>408.4253058966564</v>
      </c>
      <c r="J495" s="11"/>
      <c r="K495" s="12" t="n">
        <f>IF('Расчёт'!$I$495&lt;200,MIN(0.07+6/'Расчёт'!$I$495,0.25),(0.01+1/'Расчёт'!$I$495)/0.15)</f>
        <v>0.0829895207367167</v>
      </c>
      <c r="L495" s="11"/>
    </row>
    <row r="496" ht="17" customHeight="1">
      <c r="A496" s="16" t="str">
        <f>'Расчёт'!$A$487</f>
        <v>IF4</v>
      </c>
      <c r="B496" s="4"/>
      <c r="C496" s="12" t="n">
        <v>0.75</v>
      </c>
      <c r="D496" s="11"/>
      <c r="E496" s="12" t="n">
        <v>0.21</v>
      </c>
      <c r="F496" s="11"/>
      <c r="G496" s="12" t="n">
        <f>'Расчёт'!$E$496*('Расчёт'!$F$43-'Расчёт'!$F$44)</f>
        <v>2.73</v>
      </c>
      <c r="H496" s="11"/>
      <c r="I496" s="12" t="n">
        <f>1000*'Расчёт'!$I$487*'Расчёт'!$E$487*'Расчёт'!$G$487^2/'Расчёт'!$K$487/'Расчёт'!$C$496/'Расчёт'!$F$47</f>
        <v>293.324403600456</v>
      </c>
      <c r="J496" s="11"/>
      <c r="K496" s="12" t="n">
        <f>IF('Расчёт'!$I$496&lt;200,MIN(0.07+6/'Расчёт'!$I$496,0.25),(0.01+1/'Расчёт'!$I$496)/0.15)</f>
        <v>0.0893946312848015</v>
      </c>
      <c r="L496" s="11"/>
    </row>
    <row r="497" ht="28" customHeight="1">
      <c r="A497" s="10" t="str">
        <v>Марка</v>
      </c>
      <c r="B497" s="10"/>
      <c r="C497" s="10" t="str">
        <v>ωк</v>
      </c>
      <c r="D497" s="10"/>
      <c r="E497" s="10" t="str">
        <v>Wreq, см³</v>
      </c>
      <c r="F497" s="10"/>
      <c r="G497" s="10" t="str">
        <v>smin, мм</v>
      </c>
      <c r="H497" s="10"/>
      <c r="I497" s="10" t="str">
        <v>sп, мм</v>
      </c>
      <c r="J497" s="10"/>
      <c r="K497" s="10" t="str">
        <v>bп, м</v>
      </c>
      <c r="L497" s="10"/>
    </row>
    <row r="498" ht="17" customHeight="1">
      <c r="A498" s="16" t="str">
        <f>'Расчёт'!$A$480</f>
        <v>OF1</v>
      </c>
      <c r="B498" s="4"/>
      <c r="C498" s="12" t="n">
        <f>1+'Расчёт'!$K$489*'Расчёт'!$G$489</f>
        <v>1.2049024826653099</v>
      </c>
      <c r="D498" s="11"/>
      <c r="E498" s="12" t="n">
        <f>'Расчёт'!$I$489*'Расчёт'!$C$498</f>
        <v>957.5042804300213</v>
      </c>
      <c r="F498" s="11"/>
      <c r="G498" s="12" t="n">
        <f>5.5+0.025*'Расчёт'!$F$20</f>
        <v>9.25</v>
      </c>
      <c r="H498" s="11"/>
      <c r="I498" s="12" t="n">
        <f>'Расчёт'!$C$397</f>
        <v>16</v>
      </c>
      <c r="J498" s="11"/>
      <c r="K498" s="12" t="n">
        <f>MIN('Расчёт'!$G$480/6,'Расчёт'!$E$480)</f>
        <v>0.5666666666666668</v>
      </c>
      <c r="L498" s="11"/>
    </row>
    <row r="499" ht="17" customHeight="1">
      <c r="A499" s="16" t="str">
        <f>'Расчёт'!$A$481</f>
        <v>OF2</v>
      </c>
      <c r="B499" s="4"/>
      <c r="C499" s="12" t="n">
        <f>1+'Расчёт'!$K$490*'Расчёт'!$G$490</f>
        <v>1.2107534818863745</v>
      </c>
      <c r="D499" s="11"/>
      <c r="E499" s="12" t="n">
        <f>'Расчёт'!$I$490*'Расчёт'!$C$499</f>
        <v>766.3667815053071</v>
      </c>
      <c r="F499" s="11"/>
      <c r="G499" s="12" t="n">
        <f>5.5+0.025*'Расчёт'!$F$20</f>
        <v>9.25</v>
      </c>
      <c r="H499" s="11"/>
      <c r="I499" s="12" t="n">
        <f>'Расчёт'!$C$399</f>
        <v>14</v>
      </c>
      <c r="J499" s="11"/>
      <c r="K499" s="12" t="n">
        <f>MIN('Расчёт'!$G$481/6,'Расчёт'!$E$481)</f>
        <v>0.5666666666666665</v>
      </c>
      <c r="L499" s="11"/>
    </row>
    <row r="500" ht="17" customHeight="1">
      <c r="A500" s="16" t="str">
        <f>'Расчёт'!$A$482</f>
        <v>OF3</v>
      </c>
      <c r="B500" s="4"/>
      <c r="C500" s="12" t="n">
        <f>1+'Расчёт'!$K$491*'Расчёт'!$G$491</f>
        <v>1.2206198727297384</v>
      </c>
      <c r="D500" s="11"/>
      <c r="E500" s="12" t="n">
        <f>'Расчёт'!$I$491*'Расчёт'!$C$500</f>
        <v>575.2292825805937</v>
      </c>
      <c r="F500" s="11"/>
      <c r="G500" s="12" t="n">
        <f>5.5+0.025*'Расчёт'!$F$20</f>
        <v>9.25</v>
      </c>
      <c r="H500" s="11"/>
      <c r="I500" s="12" t="n">
        <f>'Расчёт'!$C$401</f>
        <v>12</v>
      </c>
      <c r="J500" s="11"/>
      <c r="K500" s="12" t="n">
        <f>MIN('Расчёт'!$G$482/6,'Расчёт'!$E$482)</f>
        <v>0.5666666666666668</v>
      </c>
      <c r="L500" s="11"/>
    </row>
    <row r="501" ht="17" customHeight="1">
      <c r="A501" s="16" t="str">
        <f>'Расчёт'!$A$483</f>
        <v>OF4</v>
      </c>
      <c r="B501" s="4"/>
      <c r="C501" s="12" t="n">
        <f>1+'Расчёт'!$K$492*'Расчёт'!$G$492</f>
        <v>1.2379122746845796</v>
      </c>
      <c r="D501" s="11"/>
      <c r="E501" s="12" t="n">
        <f>'Расчёт'!$I$492*'Расчёт'!$C$501</f>
        <v>402.952724180135</v>
      </c>
      <c r="F501" s="11"/>
      <c r="G501" s="12" t="n">
        <f>5.5+0.025*'Расчёт'!$F$20</f>
        <v>9.25</v>
      </c>
      <c r="H501" s="11"/>
      <c r="I501" s="12" t="n">
        <f>'Расчёт'!$C$401</f>
        <v>12</v>
      </c>
      <c r="J501" s="11"/>
      <c r="K501" s="12" t="n">
        <f>MIN('Расчёт'!$G$483/6,'Расчёт'!$E$483)</f>
        <v>0.5833333333333334</v>
      </c>
      <c r="L501" s="11"/>
    </row>
    <row r="502" ht="17" customHeight="1">
      <c r="A502" s="16" t="str">
        <f>'Расчёт'!$A$484</f>
        <v>IF1</v>
      </c>
      <c r="B502" s="4"/>
      <c r="C502" s="12" t="n">
        <f>1+'Расчёт'!$K$493*'Расчёт'!$G$493</f>
        <v>1.208425941536896</v>
      </c>
      <c r="D502" s="11"/>
      <c r="E502" s="12" t="n">
        <f>'Расчёт'!$I$493*'Расчёт'!$C$502</f>
        <v>832.2637097060184</v>
      </c>
      <c r="F502" s="11"/>
      <c r="G502" s="12" t="n">
        <f>5.5+0.025*'Расчёт'!$F$20</f>
        <v>9.25</v>
      </c>
      <c r="H502" s="11"/>
      <c r="I502" s="12" t="n">
        <f>'Расчёт'!$C$408</f>
        <v>15</v>
      </c>
      <c r="J502" s="11"/>
      <c r="K502" s="12" t="n">
        <f>MIN('Расчёт'!$G$484/6,'Расчёт'!$E$484)</f>
        <v>0.5666666666666668</v>
      </c>
      <c r="L502" s="11"/>
    </row>
    <row r="503" ht="17" customHeight="1">
      <c r="A503" s="16" t="str">
        <f>'Расчёт'!$A$485</f>
        <v>IF2</v>
      </c>
      <c r="B503" s="4"/>
      <c r="C503" s="12" t="n">
        <f>1+'Расчёт'!$K$494*'Расчёт'!$G$494</f>
        <v>1.2151770944842784</v>
      </c>
      <c r="D503" s="11"/>
      <c r="E503" s="12" t="n">
        <f>'Расчёт'!$I$494*'Расчёт'!$C$503</f>
        <v>666.611210637933</v>
      </c>
      <c r="F503" s="11"/>
      <c r="G503" s="12" t="n">
        <f>5.5+0.025*'Расчёт'!$F$20</f>
        <v>9.25</v>
      </c>
      <c r="H503" s="11"/>
      <c r="I503" s="12" t="n">
        <f>'Расчёт'!$C$410</f>
        <v>13</v>
      </c>
      <c r="J503" s="11"/>
      <c r="K503" s="12" t="n">
        <f>MIN('Расчёт'!$G$485/6,'Расчёт'!$E$485)</f>
        <v>0.5666666666666665</v>
      </c>
      <c r="L503" s="11"/>
    </row>
    <row r="504" ht="17" customHeight="1">
      <c r="A504" s="16" t="str">
        <f>'Расчёт'!$A$486</f>
        <v>IF3</v>
      </c>
      <c r="B504" s="4"/>
      <c r="C504" s="12" t="n">
        <f>1+'Расчёт'!$K$495*'Расчёт'!$G$495</f>
        <v>1.2265613916112366</v>
      </c>
      <c r="D504" s="11"/>
      <c r="E504" s="12" t="n">
        <f>'Расчёт'!$I$495*'Расчёт'!$C$504</f>
        <v>500.9587115698479</v>
      </c>
      <c r="F504" s="11"/>
      <c r="G504" s="12" t="n">
        <f>5.5+0.025*'Расчёт'!$F$20</f>
        <v>9.25</v>
      </c>
      <c r="H504" s="11"/>
      <c r="I504" s="12" t="n">
        <f>'Расчёт'!$C$411</f>
        <v>13</v>
      </c>
      <c r="J504" s="11"/>
      <c r="K504" s="12" t="n">
        <f>MIN('Расчёт'!$G$486/6,'Расчёт'!$E$486)</f>
        <v>0.5666666666666668</v>
      </c>
      <c r="L504" s="11"/>
    </row>
    <row r="505" ht="17" customHeight="1">
      <c r="A505" s="16" t="str">
        <f>'Расчёт'!$A$487</f>
        <v>IF4</v>
      </c>
      <c r="B505" s="4"/>
      <c r="C505" s="12" t="n">
        <f>1+'Расчёт'!$K$496*'Расчёт'!$G$496</f>
        <v>1.244047343407508</v>
      </c>
      <c r="D505" s="11"/>
      <c r="E505" s="12" t="n">
        <f>'Расчёт'!$I$496*'Расчёт'!$C$505</f>
        <v>364.90944505573896</v>
      </c>
      <c r="F505" s="11"/>
      <c r="G505" s="12" t="n">
        <f>5.5+0.025*'Расчёт'!$F$20</f>
        <v>9.25</v>
      </c>
      <c r="H505" s="11"/>
      <c r="I505" s="12" t="n">
        <f>'Расчёт'!$C$412</f>
        <v>12</v>
      </c>
      <c r="J505" s="11"/>
      <c r="K505" s="12" t="n">
        <f>MIN('Расчёт'!$G$487/6,'Расчёт'!$E$487)</f>
        <v>0.5966666666666667</v>
      </c>
      <c r="L505" s="11"/>
    </row>
    <row r="506" ht="28" customHeight="1">
      <c r="A506" s="10" t="str">
        <v>Марка</v>
      </c>
      <c r="B506" s="10"/>
      <c r="C506" s="10" t="str">
        <v>Профиль</v>
      </c>
      <c r="D506" s="10"/>
      <c r="E506" s="10" t="str">
        <v>Wфакт, см3</v>
      </c>
      <c r="F506" s="10"/>
      <c r="G506" s="10" t="str">
        <v>Wфакт/Wreq</v>
      </c>
      <c r="H506" s="10"/>
      <c r="I506" s="3"/>
      <c r="J506" s="3"/>
      <c r="K506" s="3"/>
      <c r="L506" s="3"/>
    </row>
    <row r="507" ht="17" customHeight="1">
      <c r="A507" s="16" t="str">
        <f>'Расчёт'!$A$480</f>
        <v>OF1</v>
      </c>
      <c r="B507" s="4"/>
      <c r="C507" s="4" t="str">
        <v>HP 340x14</v>
      </c>
      <c r="D507" s="4"/>
      <c r="E507" s="12" t="n">
        <f>'Расчёт'!$I$534</f>
        <v>1007.1525310393457</v>
      </c>
      <c r="F507" s="11"/>
      <c r="G507" s="12" t="n">
        <f>'Расчёт'!$E$507/'Расчёт'!$E$498</f>
        <v>1.05185172706176</v>
      </c>
      <c r="H507" s="11"/>
      <c r="I507" s="3"/>
      <c r="J507" s="3"/>
      <c r="K507" s="3"/>
      <c r="L507" s="3"/>
    </row>
    <row r="508" ht="17" customHeight="1">
      <c r="A508" s="16" t="str">
        <f>'Расчёт'!$A$481</f>
        <v>OF2</v>
      </c>
      <c r="B508" s="4"/>
      <c r="C508" s="4" t="str">
        <v>HP 320x12</v>
      </c>
      <c r="D508" s="4"/>
      <c r="E508" s="12" t="n">
        <f>'Расчёт'!$I$535</f>
        <v>802.8155098695532</v>
      </c>
      <c r="F508" s="11"/>
      <c r="G508" s="12" t="n">
        <f>'Расчёт'!$E$508/'Расчёт'!$E$499</f>
        <v>1.0475604230818214</v>
      </c>
      <c r="H508" s="11"/>
      <c r="I508" s="3"/>
      <c r="J508" s="3"/>
      <c r="K508" s="3"/>
      <c r="L508" s="3"/>
    </row>
    <row r="509" ht="17" customHeight="1">
      <c r="A509" s="16" t="str">
        <f>'Расчёт'!$A$482</f>
        <v>OF3</v>
      </c>
      <c r="B509" s="4"/>
      <c r="C509" s="4" t="str">
        <v>HP 300x11</v>
      </c>
      <c r="D509" s="4"/>
      <c r="E509" s="12" t="n">
        <f>'Расчёт'!$I$536</f>
        <v>649.8423927638437</v>
      </c>
      <c r="F509" s="11"/>
      <c r="G509" s="12" t="n">
        <f>'Расчёт'!$E$509/'Расчёт'!$E$500</f>
        <v>1.1297102085076764</v>
      </c>
      <c r="H509" s="11"/>
      <c r="I509" s="3"/>
      <c r="J509" s="3"/>
      <c r="K509" s="3"/>
      <c r="L509" s="3"/>
    </row>
    <row r="510" ht="17" customHeight="1">
      <c r="A510" s="16" t="str">
        <f>'Расчёт'!$A$483</f>
        <v>OF4</v>
      </c>
      <c r="B510" s="4"/>
      <c r="C510" s="4" t="str">
        <v>HP 260x10</v>
      </c>
      <c r="D510" s="4"/>
      <c r="E510" s="12" t="n">
        <f>'Расчёт'!$I$537</f>
        <v>440.892787190064</v>
      </c>
      <c r="F510" s="11"/>
      <c r="G510" s="12" t="n">
        <f>'Расчёт'!$E$510/'Расчёт'!$E$501</f>
        <v>1.0941551222593753</v>
      </c>
      <c r="H510" s="11"/>
      <c r="I510" s="3"/>
      <c r="J510" s="3"/>
      <c r="K510" s="3"/>
      <c r="L510" s="3"/>
    </row>
    <row r="511" ht="17" customHeight="1">
      <c r="A511" s="16" t="str">
        <f>'Расчёт'!$A$484</f>
        <v>IF1</v>
      </c>
      <c r="B511" s="4"/>
      <c r="C511" s="4" t="str">
        <v>HP 320x13</v>
      </c>
      <c r="D511" s="4"/>
      <c r="E511" s="12" t="n">
        <f>'Расчёт'!$I$538</f>
        <v>838.2926315804604</v>
      </c>
      <c r="F511" s="11"/>
      <c r="G511" s="12" t="n">
        <f>'Расчёт'!$E$511/'Расчёт'!$E$502</f>
        <v>1.0072440042790902</v>
      </c>
      <c r="H511" s="11"/>
      <c r="I511" s="3"/>
      <c r="J511" s="3"/>
      <c r="K511" s="3"/>
      <c r="L511" s="3"/>
    </row>
    <row r="512" ht="17" customHeight="1">
      <c r="A512" s="16" t="str">
        <f>'Расчёт'!$A$485</f>
        <v>IF2</v>
      </c>
      <c r="B512" s="4"/>
      <c r="C512" s="4" t="str">
        <v>HP 300x12</v>
      </c>
      <c r="D512" s="4"/>
      <c r="E512" s="12" t="n">
        <f>'Расчёт'!$I$539</f>
        <v>681.8045438358243</v>
      </c>
      <c r="F512" s="11"/>
      <c r="G512" s="12" t="n">
        <f>'Расчёт'!$E$512/'Расчёт'!$E$503</f>
        <v>1.0227918957188729</v>
      </c>
      <c r="H512" s="11"/>
      <c r="I512" s="3"/>
      <c r="J512" s="3"/>
      <c r="K512" s="3"/>
      <c r="L512" s="3"/>
    </row>
    <row r="513" ht="17" customHeight="1">
      <c r="A513" s="16" t="str">
        <f>'Расчёт'!$A$486</f>
        <v>IF3</v>
      </c>
      <c r="B513" s="4"/>
      <c r="C513" s="4" t="str">
        <v>HP 280x11</v>
      </c>
      <c r="D513" s="4"/>
      <c r="E513" s="12" t="n">
        <f>'Расчёт'!$I$540</f>
        <v>550.6428841347055</v>
      </c>
      <c r="F513" s="11"/>
      <c r="G513" s="12" t="n">
        <f>'Расчёт'!$E$513/'Расчёт'!$E$504</f>
        <v>1.099178178595124</v>
      </c>
      <c r="H513" s="11"/>
      <c r="I513" s="3"/>
      <c r="J513" s="3"/>
      <c r="K513" s="3"/>
      <c r="L513" s="3"/>
    </row>
    <row r="514" ht="17" customHeight="1">
      <c r="A514" s="16" t="str">
        <f>'Расчёт'!$A$487</f>
        <v>IF4</v>
      </c>
      <c r="B514" s="4"/>
      <c r="C514" s="4" t="str">
        <v>HP 240x11</v>
      </c>
      <c r="D514" s="4"/>
      <c r="E514" s="12" t="n">
        <f>'Расчёт'!$I$541</f>
        <v>378.6921928573479</v>
      </c>
      <c r="F514" s="11"/>
      <c r="G514" s="12" t="n">
        <f>'Расчёт'!$E$514/'Расчёт'!$E$505</f>
        <v>1.0377703235374016</v>
      </c>
      <c r="H514" s="11"/>
      <c r="I514" s="3"/>
      <c r="J514" s="3"/>
      <c r="K514" s="3"/>
      <c r="L514" s="3"/>
    </row>
    <row r="515" ht="28" customHeight="1">
      <c r="A515" s="10" t="str">
        <v>Марка</v>
      </c>
      <c r="B515" s="10"/>
      <c r="C515" s="10" t="str">
        <v>Профиль</v>
      </c>
      <c r="D515" s="10"/>
      <c r="E515" s="10" t="str">
        <v>h, см</v>
      </c>
      <c r="F515" s="10"/>
      <c r="G515" s="10" t="str">
        <v>s, см</v>
      </c>
      <c r="H515" s="10"/>
      <c r="I515" s="10" t="str">
        <v>Aпроф, см²</v>
      </c>
      <c r="J515" s="10"/>
      <c r="K515" s="10" t="str">
        <v>y₀, см</v>
      </c>
      <c r="L515" s="10"/>
    </row>
    <row r="516" ht="17" customHeight="1">
      <c r="A516" s="4" t="str">
        <v>OF1</v>
      </c>
      <c r="B516" s="4"/>
      <c r="C516" s="14" t="str">
        <f>'Расчёт'!$C$507</f>
        <v>HP 340x14</v>
      </c>
      <c r="D516" s="4"/>
      <c r="E516" s="12" t="n">
        <f>'Сортамент HP'!$D$22/10</f>
        <v>34</v>
      </c>
      <c r="F516" s="11"/>
      <c r="G516" s="12" t="n">
        <f>'Сортамент HP'!$E$22/10</f>
        <v>1.4</v>
      </c>
      <c r="H516" s="11"/>
      <c r="I516" s="12" t="n">
        <f>'Сортамент HP'!$H$22/1</f>
        <v>65.5</v>
      </c>
      <c r="J516" s="11"/>
      <c r="K516" s="12" t="n">
        <f>'Сортамент HP'!$J$22/1</f>
        <v>21.1</v>
      </c>
      <c r="L516" s="11"/>
    </row>
    <row r="517" ht="17" customHeight="1">
      <c r="A517" s="4" t="str">
        <v>OF2</v>
      </c>
      <c r="B517" s="4"/>
      <c r="C517" s="14" t="str">
        <f>'Расчёт'!$C$508</f>
        <v>HP 320x12</v>
      </c>
      <c r="D517" s="4"/>
      <c r="E517" s="12" t="n">
        <f>'Сортамент HP'!$D$19/10</f>
        <v>32</v>
      </c>
      <c r="F517" s="11"/>
      <c r="G517" s="12" t="n">
        <f>'Сортамент HP'!$E$19/10</f>
        <v>1.2</v>
      </c>
      <c r="H517" s="11"/>
      <c r="I517" s="12" t="n">
        <f>'Сортамент HP'!$H$19/1</f>
        <v>54.2</v>
      </c>
      <c r="J517" s="11"/>
      <c r="K517" s="12" t="n">
        <f>'Сортамент HP'!$J$19/1</f>
        <v>20.1</v>
      </c>
      <c r="L517" s="11"/>
    </row>
    <row r="518" ht="17" customHeight="1">
      <c r="A518" s="4" t="str">
        <v>OF3</v>
      </c>
      <c r="B518" s="4"/>
      <c r="C518" s="14" t="str">
        <f>'Расчёт'!$C$509</f>
        <v>HP 300x11</v>
      </c>
      <c r="D518" s="4"/>
      <c r="E518" s="12" t="n">
        <f>'Сортамент HP'!$D$16/10</f>
        <v>30</v>
      </c>
      <c r="F518" s="11"/>
      <c r="G518" s="12" t="n">
        <f>'Сортамент HP'!$E$16/10</f>
        <v>1.1</v>
      </c>
      <c r="H518" s="11"/>
      <c r="I518" s="12" t="n">
        <f>'Сортамент HP'!$H$16/1</f>
        <v>46.7</v>
      </c>
      <c r="J518" s="11"/>
      <c r="K518" s="12" t="n">
        <f>'Сортамент HP'!$J$16/1</f>
        <v>18.9</v>
      </c>
      <c r="L518" s="11"/>
    </row>
    <row r="519" ht="17" customHeight="1">
      <c r="A519" s="4" t="str">
        <v>OF4</v>
      </c>
      <c r="B519" s="4"/>
      <c r="C519" s="14" t="str">
        <f>'Расчёт'!$C$510</f>
        <v>HP 260x10</v>
      </c>
      <c r="D519" s="4"/>
      <c r="E519" s="12" t="n">
        <f>'Сортамент HP'!$D$11/10</f>
        <v>26</v>
      </c>
      <c r="F519" s="11"/>
      <c r="G519" s="12" t="n">
        <f>'Сортамент HP'!$E$11/10</f>
        <v>1</v>
      </c>
      <c r="H519" s="11"/>
      <c r="I519" s="12" t="n">
        <f>'Сортамент HP'!$H$11/1</f>
        <v>36.1</v>
      </c>
      <c r="J519" s="11"/>
      <c r="K519" s="12" t="n">
        <f>'Сортамент HP'!$J$11/1</f>
        <v>16.2</v>
      </c>
      <c r="L519" s="11"/>
    </row>
    <row r="520" ht="17" customHeight="1">
      <c r="A520" s="4" t="str">
        <v>IF1</v>
      </c>
      <c r="B520" s="4"/>
      <c r="C520" s="14" t="str">
        <f>'Расчёт'!$C$511</f>
        <v>HP 320x13</v>
      </c>
      <c r="D520" s="4"/>
      <c r="E520" s="12" t="n">
        <f>'Сортамент HP'!$D$20/10</f>
        <v>32</v>
      </c>
      <c r="F520" s="11"/>
      <c r="G520" s="12" t="n">
        <f>'Сортамент HP'!$E$20/10</f>
        <v>1.3</v>
      </c>
      <c r="H520" s="11"/>
      <c r="I520" s="12" t="n">
        <f>'Сортамент HP'!$H$20/1</f>
        <v>57.4</v>
      </c>
      <c r="J520" s="11"/>
      <c r="K520" s="12" t="n">
        <f>'Сортамент HP'!$J$20/1</f>
        <v>19.9</v>
      </c>
      <c r="L520" s="11"/>
    </row>
    <row r="521" ht="17" customHeight="1">
      <c r="A521" s="4" t="str">
        <v>IF2</v>
      </c>
      <c r="B521" s="4"/>
      <c r="C521" s="14" t="str">
        <f>'Расчёт'!$C$512</f>
        <v>HP 300x12</v>
      </c>
      <c r="D521" s="4"/>
      <c r="E521" s="12" t="n">
        <f>'Сортамент HP'!$D$17/10</f>
        <v>30</v>
      </c>
      <c r="F521" s="11"/>
      <c r="G521" s="12" t="n">
        <f>'Сортамент HP'!$E$17/10</f>
        <v>1.2</v>
      </c>
      <c r="H521" s="11"/>
      <c r="I521" s="12" t="n">
        <f>'Сортамент HP'!$H$17/1</f>
        <v>49.7</v>
      </c>
      <c r="J521" s="11"/>
      <c r="K521" s="12" t="n">
        <f>'Сортамент HP'!$J$17/1</f>
        <v>18.7</v>
      </c>
      <c r="L521" s="11"/>
    </row>
    <row r="522" ht="17" customHeight="1">
      <c r="A522" s="4" t="str">
        <v>IF3</v>
      </c>
      <c r="B522" s="4"/>
      <c r="C522" s="14" t="str">
        <f>'Расчёт'!$C$513</f>
        <v>HP 280x11</v>
      </c>
      <c r="D522" s="4"/>
      <c r="E522" s="12" t="n">
        <f>'Сортамент HP'!$D$14/10</f>
        <v>28</v>
      </c>
      <c r="F522" s="11"/>
      <c r="G522" s="12" t="n">
        <f>'Сортамент HP'!$E$14/10</f>
        <v>1.1</v>
      </c>
      <c r="H522" s="11"/>
      <c r="I522" s="12" t="n">
        <f>'Сортамент HP'!$H$14/1</f>
        <v>42.6</v>
      </c>
      <c r="J522" s="11"/>
      <c r="K522" s="12" t="n">
        <f>'Сортамент HP'!$J$14/1</f>
        <v>17.4</v>
      </c>
      <c r="L522" s="11"/>
    </row>
    <row r="523" ht="17" customHeight="1">
      <c r="A523" s="4" t="str">
        <v>IF4</v>
      </c>
      <c r="B523" s="4"/>
      <c r="C523" s="14" t="str">
        <f>'Расчёт'!$C$514</f>
        <v>HP 240x11</v>
      </c>
      <c r="D523" s="4"/>
      <c r="E523" s="12" t="n">
        <f>'Сортамент HP'!$D$9/10</f>
        <v>24</v>
      </c>
      <c r="F523" s="11"/>
      <c r="G523" s="12" t="n">
        <f>'Сортамент HP'!$E$9/10</f>
        <v>1.1</v>
      </c>
      <c r="H523" s="11"/>
      <c r="I523" s="12" t="n">
        <f>'Сортамент HP'!$H$9/1</f>
        <v>34.9</v>
      </c>
      <c r="J523" s="11"/>
      <c r="K523" s="12" t="n">
        <f>'Сортамент HP'!$J$9/1</f>
        <v>14.6</v>
      </c>
      <c r="L523" s="11"/>
    </row>
    <row r="524" ht="28" customHeight="1">
      <c r="A524" s="10" t="str">
        <v>Марка</v>
      </c>
      <c r="B524" s="10"/>
      <c r="C524" s="10" t="str">
        <v>Iпроф, см⁴</v>
      </c>
      <c r="D524" s="10"/>
      <c r="E524" s="10" t="str">
        <v>bп, см</v>
      </c>
      <c r="F524" s="10"/>
      <c r="G524" s="10" t="str">
        <v>sп, см</v>
      </c>
      <c r="H524" s="10"/>
      <c r="I524" s="10" t="str">
        <v>Aп, см²</v>
      </c>
      <c r="J524" s="10"/>
      <c r="K524" s="10" t="str">
        <v>e, см</v>
      </c>
      <c r="L524" s="10"/>
    </row>
    <row r="525" ht="17" customHeight="1">
      <c r="A525" s="16" t="str">
        <f>'Расчёт'!$A$516</f>
        <v>OF1</v>
      </c>
      <c r="B525" s="4"/>
      <c r="C525" s="12" t="n">
        <f>'Сортамент HP'!$K$22/1</f>
        <v>7540</v>
      </c>
      <c r="D525" s="11"/>
      <c r="E525" s="12" t="n">
        <f>'Расчёт'!$K$498*100</f>
        <v>56.66666666666668</v>
      </c>
      <c r="F525" s="11"/>
      <c r="G525" s="12" t="n">
        <f>'Расчёт'!$I$498/10</f>
        <v>1.6</v>
      </c>
      <c r="H525" s="11"/>
      <c r="I525" s="12" t="n">
        <f>'Расчёт'!$E$525*'Расчёт'!$G$525</f>
        <v>90.66666666666669</v>
      </c>
      <c r="J525" s="11"/>
      <c r="K525" s="12" t="n">
        <f>'Расчёт'!$I$516*('Расчёт'!$K$516+'Расчёт'!$G$525/2)/('Расчёт'!$I$516+'Расчёт'!$I$525)</f>
        <v>9.18537886872999</v>
      </c>
      <c r="L525" s="11"/>
    </row>
    <row r="526" ht="17" customHeight="1">
      <c r="A526" s="16" t="str">
        <f>'Расчёт'!$A$517</f>
        <v>OF2</v>
      </c>
      <c r="B526" s="4"/>
      <c r="C526" s="12" t="n">
        <f>'Сортамент HP'!$K$19/1</f>
        <v>5530</v>
      </c>
      <c r="D526" s="11"/>
      <c r="E526" s="12" t="n">
        <f>'Расчёт'!$K$499*100</f>
        <v>56.66666666666666</v>
      </c>
      <c r="F526" s="11"/>
      <c r="G526" s="12" t="n">
        <f>'Расчёт'!$I$499/10</f>
        <v>1.4</v>
      </c>
      <c r="H526" s="11"/>
      <c r="I526" s="12" t="n">
        <f>'Расчёт'!$E$526*'Расчёт'!$G$526</f>
        <v>79.33333333333331</v>
      </c>
      <c r="J526" s="11"/>
      <c r="K526" s="12" t="n">
        <f>'Расчёт'!$I$517*('Расчёт'!$K$517+'Расчёт'!$G$526/2)/('Расчёт'!$I$517+'Расчёт'!$I$526)</f>
        <v>8.442536195706444</v>
      </c>
      <c r="L526" s="11"/>
    </row>
    <row r="527" ht="17" customHeight="1">
      <c r="A527" s="16" t="str">
        <f>'Расчёт'!$A$518</f>
        <v>OF3</v>
      </c>
      <c r="B527" s="4"/>
      <c r="C527" s="12" t="n">
        <f>'Сортамент HP'!$K$16/1</f>
        <v>4190</v>
      </c>
      <c r="D527" s="11"/>
      <c r="E527" s="12" t="n">
        <f>'Расчёт'!$K$500*100</f>
        <v>56.66666666666668</v>
      </c>
      <c r="F527" s="11"/>
      <c r="G527" s="12" t="n">
        <f>'Расчёт'!$I$500/10</f>
        <v>1.2</v>
      </c>
      <c r="H527" s="11"/>
      <c r="I527" s="12" t="n">
        <f>'Расчёт'!$E$527*'Расчёт'!$G$527</f>
        <v>68.00000000000001</v>
      </c>
      <c r="J527" s="11"/>
      <c r="K527" s="12" t="n">
        <f>'Расчёт'!$I$518*('Расчёт'!$K$518+'Расчёт'!$G$527/2)/('Расчёт'!$I$518+'Расчёт'!$I$527)</f>
        <v>7.939407149084568</v>
      </c>
      <c r="L527" s="11"/>
    </row>
    <row r="528" ht="17" customHeight="1">
      <c r="A528" s="16" t="str">
        <f>'Расчёт'!$A$519</f>
        <v>OF4</v>
      </c>
      <c r="B528" s="4"/>
      <c r="C528" s="12" t="n">
        <f>'Сортамент HP'!$K$11/1</f>
        <v>2477</v>
      </c>
      <c r="D528" s="11"/>
      <c r="E528" s="12" t="n">
        <f>'Расчёт'!$K$501*100</f>
        <v>58.333333333333336</v>
      </c>
      <c r="F528" s="11"/>
      <c r="G528" s="12" t="n">
        <f>'Расчёт'!$I$501/10</f>
        <v>1.2</v>
      </c>
      <c r="H528" s="11"/>
      <c r="I528" s="12" t="n">
        <f>'Расчёт'!$E$528*'Расчёт'!$G$528</f>
        <v>70</v>
      </c>
      <c r="J528" s="11"/>
      <c r="K528" s="12" t="n">
        <f>'Расчёт'!$I$519*('Расчёт'!$K$519+'Расчёт'!$G$528/2)/('Расчёт'!$I$519+'Расчёт'!$I$528)</f>
        <v>5.716116870876532</v>
      </c>
      <c r="L528" s="11"/>
    </row>
    <row r="529" ht="17" customHeight="1">
      <c r="A529" s="16" t="str">
        <f>'Расчёт'!$A$520</f>
        <v>IF1</v>
      </c>
      <c r="B529" s="4"/>
      <c r="C529" s="12" t="n">
        <f>'Сортамент HP'!$K$20/1</f>
        <v>5850</v>
      </c>
      <c r="D529" s="11"/>
      <c r="E529" s="12" t="n">
        <f>'Расчёт'!$K$502*100</f>
        <v>56.66666666666668</v>
      </c>
      <c r="F529" s="11"/>
      <c r="G529" s="12" t="n">
        <f>'Расчёт'!$I$502/10</f>
        <v>1.5</v>
      </c>
      <c r="H529" s="11"/>
      <c r="I529" s="12" t="n">
        <f>'Расчёт'!$E$529*'Расчёт'!$G$529</f>
        <v>85.00000000000001</v>
      </c>
      <c r="J529" s="11"/>
      <c r="K529" s="12" t="n">
        <f>'Расчёт'!$I$520*('Расчёт'!$K$520+'Расчёт'!$G$529/2)/('Расчёт'!$I$520+'Расчёт'!$I$529)</f>
        <v>8.32380617977528</v>
      </c>
      <c r="L529" s="11"/>
    </row>
    <row r="530" ht="17" customHeight="1">
      <c r="A530" s="16" t="str">
        <f>'Расчёт'!$A$521</f>
        <v>IF2</v>
      </c>
      <c r="B530" s="4"/>
      <c r="C530" s="12" t="n">
        <f>'Сортамент HP'!$K$17/1</f>
        <v>4460</v>
      </c>
      <c r="D530" s="11"/>
      <c r="E530" s="12" t="n">
        <f>'Расчёт'!$K$503*100</f>
        <v>56.66666666666666</v>
      </c>
      <c r="F530" s="11"/>
      <c r="G530" s="12" t="n">
        <f>'Расчёт'!$I$503/10</f>
        <v>1.3</v>
      </c>
      <c r="H530" s="11"/>
      <c r="I530" s="12" t="n">
        <f>'Расчёт'!$E$530*'Расчёт'!$G$530</f>
        <v>73.66666666666666</v>
      </c>
      <c r="J530" s="11"/>
      <c r="K530" s="12" t="n">
        <f>'Расчёт'!$I$521*('Расчёт'!$K$521+'Расчёт'!$G$530/2)/('Расчёт'!$I$521+'Расчёт'!$I$530)</f>
        <v>7.7954201567144015</v>
      </c>
      <c r="L530" s="11"/>
    </row>
    <row r="531" ht="17" customHeight="1">
      <c r="A531" s="16" t="str">
        <f>'Расчёт'!$A$522</f>
        <v>IF3</v>
      </c>
      <c r="B531" s="4"/>
      <c r="C531" s="12" t="n">
        <f>'Сортамент HP'!$K$14/1</f>
        <v>3330</v>
      </c>
      <c r="D531" s="11"/>
      <c r="E531" s="12" t="n">
        <f>'Расчёт'!$K$504*100</f>
        <v>56.66666666666668</v>
      </c>
      <c r="F531" s="11"/>
      <c r="G531" s="12" t="n">
        <f>'Расчёт'!$I$504/10</f>
        <v>1.3</v>
      </c>
      <c r="H531" s="11"/>
      <c r="I531" s="12" t="n">
        <f>'Расчёт'!$E$531*'Расчёт'!$G$531</f>
        <v>73.66666666666669</v>
      </c>
      <c r="J531" s="11"/>
      <c r="K531" s="12" t="n">
        <f>'Расчёт'!$I$522*('Расчёт'!$K$522+'Расчёт'!$G$531/2)/('Расчёт'!$I$522+'Расчёт'!$I$531)</f>
        <v>6.613503440366971</v>
      </c>
      <c r="L531" s="11"/>
    </row>
    <row r="532" ht="17" customHeight="1">
      <c r="A532" s="16" t="str">
        <f>'Расчёт'!$A$523</f>
        <v>IF4</v>
      </c>
      <c r="B532" s="4"/>
      <c r="C532" s="12" t="n">
        <f>'Сортамент HP'!$K$9/1</f>
        <v>2000</v>
      </c>
      <c r="D532" s="11"/>
      <c r="E532" s="12" t="n">
        <f>'Расчёт'!$K$505*100</f>
        <v>59.66666666666667</v>
      </c>
      <c r="F532" s="11"/>
      <c r="G532" s="12" t="n">
        <f>'Расчёт'!$I$505/10</f>
        <v>1.2</v>
      </c>
      <c r="H532" s="11"/>
      <c r="I532" s="12" t="n">
        <f>'Расчёт'!$E$532*'Расчёт'!$G$532</f>
        <v>71.60000000000001</v>
      </c>
      <c r="J532" s="11"/>
      <c r="K532" s="12" t="n">
        <f>'Расчёт'!$I$523*('Расчёт'!$K$523+'Расчёт'!$G$532/2)/('Расчёт'!$I$523+'Расчёт'!$I$532)</f>
        <v>4.981032863849764</v>
      </c>
      <c r="L532" s="11"/>
    </row>
    <row r="533" ht="28" customHeight="1">
      <c r="A533" s="10" t="str">
        <v>Марка</v>
      </c>
      <c r="B533" s="10"/>
      <c r="C533" s="10" t="str">
        <v>IΣ, см⁴</v>
      </c>
      <c r="D533" s="10"/>
      <c r="E533" s="10" t="str">
        <v>Wверх, см³</v>
      </c>
      <c r="F533" s="10"/>
      <c r="G533" s="10" t="str">
        <v>Wниз, см³</v>
      </c>
      <c r="H533" s="10"/>
      <c r="I533" s="10" t="str">
        <v>Wmin, см³</v>
      </c>
      <c r="J533" s="10"/>
      <c r="K533" s="10" t="str">
        <v>Проверка</v>
      </c>
      <c r="L533" s="10"/>
    </row>
    <row r="534" ht="17" customHeight="1">
      <c r="A534" s="16" t="str">
        <f>'Расчёт'!$A$516</f>
        <v>OF1</v>
      </c>
      <c r="B534" s="4"/>
      <c r="C534" s="12" t="n">
        <f>'Расчёт'!$C$525+'Расчёт'!$E$525*'Расчёт'!$G$525^3/12+'Расчёт'!$I$516*('Расчёт'!$K$516+'Расчёт'!$G$525/2)^2-('Расчёт'!$I$516+'Расчёт'!$I$525)*'Расчёт'!$K$525^2</f>
        <v>25797.830503972495</v>
      </c>
      <c r="D534" s="11"/>
      <c r="E534" s="12" t="n">
        <f>'Расчёт'!$C$534/('Расчёт'!$E$516+'Расчёт'!$G$525/2-'Расчёт'!$K$525)</f>
        <v>1007.1525310393457</v>
      </c>
      <c r="F534" s="11"/>
      <c r="G534" s="12" t="n">
        <f>'Расчёт'!$C$534/('Расчёт'!$K$525+'Расчёт'!$G$525/2)</f>
        <v>2583.5605081305885</v>
      </c>
      <c r="H534" s="11"/>
      <c r="I534" s="12" t="n">
        <f>MIN('Расчёт'!$E$534,'Расчёт'!$G$534)</f>
        <v>1007.1525310393457</v>
      </c>
      <c r="J534" s="11"/>
      <c r="K534" s="14" t="str">
        <f>IF(AND('Расчёт'!$I$534&gt;='Расчёт'!$E$498,'Расчёт'!$G$516*10&gt;='Расчёт'!$G$498),"Выполнено","Не выполнено")</f>
        <v>Выполнено</v>
      </c>
      <c r="L534" s="4"/>
    </row>
    <row r="535" ht="17" customHeight="1">
      <c r="A535" s="16" t="str">
        <f>'Расчёт'!$A$517</f>
        <v>OF2</v>
      </c>
      <c r="B535" s="4"/>
      <c r="C535" s="12" t="n">
        <f>'Расчёт'!$C$526+'Расчёт'!$E$526*'Расчёт'!$G$526^3/12+'Расчёт'!$I$517*('Расчёт'!$K$517+'Расчёт'!$G$526/2)^2-('Расчёт'!$I$517+'Расчёт'!$I$526)*'Расчёт'!$K$526^2</f>
        <v>19474.268172186166</v>
      </c>
      <c r="D535" s="11"/>
      <c r="E535" s="12" t="n">
        <f>'Расчёт'!$C$535/('Расчёт'!$E$517+'Расчёт'!$G$526/2-'Расчёт'!$K$526)</f>
        <v>802.8155098695532</v>
      </c>
      <c r="F535" s="11"/>
      <c r="G535" s="12" t="n">
        <f>'Расчёт'!$C$535/('Расчёт'!$K$526+'Расчёт'!$G$526/2)</f>
        <v>2130.0728545468332</v>
      </c>
      <c r="H535" s="11"/>
      <c r="I535" s="12" t="n">
        <f>MIN('Расчёт'!$E$535,'Расчёт'!$G$535)</f>
        <v>802.8155098695532</v>
      </c>
      <c r="J535" s="11"/>
      <c r="K535" s="14" t="str">
        <f>IF(AND('Расчёт'!$I$535&gt;='Расчёт'!$E$499,'Расчёт'!$G$517*10&gt;='Расчёт'!$G$499),"Выполнено","Не выполнено")</f>
        <v>Выполнено</v>
      </c>
      <c r="L535" s="4"/>
    </row>
    <row r="536" ht="17" customHeight="1">
      <c r="A536" s="16" t="str">
        <f>'Расчёт'!$A$518</f>
        <v>OF3</v>
      </c>
      <c r="B536" s="4"/>
      <c r="C536" s="12" t="n">
        <f>'Расчёт'!$C$527+'Расчёт'!$E$527*'Расчёт'!$G$527^3/12+'Расчёт'!$I$518*('Расчёт'!$K$518+'Расчёт'!$G$527/2)^2-('Расчёт'!$I$518+'Расчёт'!$I$527)*'Расчёт'!$K$527^2</f>
        <v>14725.813879686137</v>
      </c>
      <c r="D536" s="11"/>
      <c r="E536" s="12" t="n">
        <f>'Расчёт'!$C$536/('Расчёт'!$E$518+'Расчёт'!$G$527/2-'Расчёт'!$K$527)</f>
        <v>649.8423927638437</v>
      </c>
      <c r="F536" s="11"/>
      <c r="G536" s="12" t="n">
        <f>'Расчёт'!$C$536/('Расчёт'!$K$527+'Расчёт'!$G$527/2)</f>
        <v>1724.4538903692815</v>
      </c>
      <c r="H536" s="11"/>
      <c r="I536" s="12" t="n">
        <f>MIN('Расчёт'!$E$536,'Расчёт'!$G$536)</f>
        <v>649.8423927638437</v>
      </c>
      <c r="J536" s="11"/>
      <c r="K536" s="14" t="str">
        <f>IF(AND('Расчёт'!$I$536&gt;='Расчёт'!$E$500,'Расчёт'!$G$518*10&gt;='Расчёт'!$G$500),"Выполнено","Не выполнено")</f>
        <v>Выполнено</v>
      </c>
      <c r="L536" s="4"/>
    </row>
    <row r="537" ht="17" customHeight="1">
      <c r="A537" s="16" t="str">
        <f>'Расчёт'!$A$519</f>
        <v>OF4</v>
      </c>
      <c r="B537" s="4"/>
      <c r="C537" s="12" t="n">
        <f>'Расчёт'!$C$528+'Расчёт'!$E$528*'Расчёт'!$G$528^3/12+'Расчёт'!$I$519*('Расчёт'!$K$519+'Расчёт'!$G$528/2)^2-('Расчёт'!$I$519+'Расчёт'!$I$528)*'Расчёт'!$K$528^2</f>
        <v>9207.553440150801</v>
      </c>
      <c r="D537" s="11"/>
      <c r="E537" s="12" t="n">
        <f>'Расчёт'!$C$537/('Расчёт'!$E$519+'Расчёт'!$G$528/2-'Расчёт'!$K$528)</f>
        <v>440.892787190064</v>
      </c>
      <c r="F537" s="11"/>
      <c r="G537" s="12" t="n">
        <f>'Расчёт'!$C$537/('Расчёт'!$K$528+'Расчёт'!$G$528/2)</f>
        <v>1457.7870594204196</v>
      </c>
      <c r="H537" s="11"/>
      <c r="I537" s="12" t="n">
        <f>MIN('Расчёт'!$E$537,'Расчёт'!$G$537)</f>
        <v>440.892787190064</v>
      </c>
      <c r="J537" s="11"/>
      <c r="K537" s="14" t="str">
        <f>IF(AND('Расчёт'!$I$537&gt;='Расчёт'!$E$501,'Расчёт'!$G$519*10&gt;='Расчёт'!$G$501),"Выполнено","Не выполнено")</f>
        <v>Выполнено</v>
      </c>
      <c r="L537" s="4"/>
    </row>
    <row r="538" ht="17" customHeight="1">
      <c r="A538" s="16" t="str">
        <f>'Расчёт'!$A$520</f>
        <v>IF1</v>
      </c>
      <c r="B538" s="4"/>
      <c r="C538" s="12" t="n">
        <f>'Расчёт'!$C$529+'Расчёт'!$E$529*'Расчёт'!$G$529^3/12+'Расчёт'!$I$520*('Расчёт'!$K$520+'Расчёт'!$G$529/2)^2-('Расчёт'!$I$520+'Расчёт'!$I$529)*'Расчёт'!$K$529^2</f>
        <v>20476.298297050558</v>
      </c>
      <c r="D538" s="11"/>
      <c r="E538" s="12" t="n">
        <f>'Расчёт'!$C$538/('Расчёт'!$E$520+'Расчёт'!$G$529/2-'Расчёт'!$K$529)</f>
        <v>838.2926315804604</v>
      </c>
      <c r="F538" s="11"/>
      <c r="G538" s="12" t="n">
        <f>'Расчёт'!$C$538/('Расчёт'!$K$529+'Расчёт'!$G$529/2)</f>
        <v>2256.6382718963555</v>
      </c>
      <c r="H538" s="11"/>
      <c r="I538" s="12" t="n">
        <f>MIN('Расчёт'!$E$538,'Расчёт'!$G$538)</f>
        <v>838.2926315804604</v>
      </c>
      <c r="J538" s="11"/>
      <c r="K538" s="14" t="str">
        <f>IF(AND('Расчёт'!$I$538&gt;='Расчёт'!$E$502,'Расчёт'!$G$520*10&gt;='Расчёт'!$G$502),"Выполнено","Не выполнено")</f>
        <v>Выполнено</v>
      </c>
      <c r="L538" s="4"/>
    </row>
    <row r="539" ht="17" customHeight="1">
      <c r="A539" s="16" t="str">
        <f>'Расчёт'!$A$521</f>
        <v>IF2</v>
      </c>
      <c r="B539" s="4"/>
      <c r="C539" s="12" t="n">
        <f>'Расчёт'!$C$530+'Расчёт'!$E$530*'Расчёт'!$G$530^3/12+'Расчёт'!$I$521*('Расчёт'!$K$521+'Расчёт'!$G$530/2)^2-('Расчёт'!$I$521+'Расчёт'!$I$530)*'Расчёт'!$K$530^2</f>
        <v>15582.356384610763</v>
      </c>
      <c r="D539" s="11"/>
      <c r="E539" s="12" t="n">
        <f>'Расчёт'!$C$539/('Расчёт'!$E$521+'Расчёт'!$G$530/2-'Расчёт'!$K$530)</f>
        <v>681.8045438358243</v>
      </c>
      <c r="F539" s="11"/>
      <c r="G539" s="12" t="n">
        <f>'Расчёт'!$C$539/('Расчёт'!$K$530+'Расчёт'!$G$530/2)</f>
        <v>1845.0658576438318</v>
      </c>
      <c r="H539" s="11"/>
      <c r="I539" s="12" t="n">
        <f>MIN('Расчёт'!$E$539,'Расчёт'!$G$539)</f>
        <v>681.8045438358243</v>
      </c>
      <c r="J539" s="11"/>
      <c r="K539" s="14" t="str">
        <f>IF(AND('Расчёт'!$I$539&gt;='Расчёт'!$E$503,'Расчёт'!$G$521*10&gt;='Расчёт'!$G$503),"Выполнено","Не выполнено")</f>
        <v>Выполнено</v>
      </c>
      <c r="L539" s="4"/>
    </row>
    <row r="540" ht="17" customHeight="1">
      <c r="A540" s="16" t="str">
        <f>'Расчёт'!$A$522</f>
        <v>IF3</v>
      </c>
      <c r="B540" s="4"/>
      <c r="C540" s="12" t="n">
        <f>'Расчёт'!$C$531+'Расчёт'!$E$531*'Расчёт'!$G$531^3/12+'Расчёт'!$I$522*('Расчёт'!$K$522+'Расчёт'!$G$531/2)^2-('Расчёт'!$I$522+'Расчёт'!$I$531)*'Расчёт'!$K$531^2</f>
        <v>12134.240021820846</v>
      </c>
      <c r="D540" s="11"/>
      <c r="E540" s="12" t="n">
        <f>'Расчёт'!$C$540/('Расчёт'!$E$522+'Расчёт'!$G$531/2-'Расчёт'!$K$531)</f>
        <v>550.6428841347055</v>
      </c>
      <c r="F540" s="11"/>
      <c r="G540" s="12" t="n">
        <f>'Расчёт'!$C$540/('Расчёт'!$K$531+'Расчёт'!$G$531/2)</f>
        <v>1670.576756993701</v>
      </c>
      <c r="H540" s="11"/>
      <c r="I540" s="12" t="n">
        <f>MIN('Расчёт'!$E$540,'Расчёт'!$G$540)</f>
        <v>550.6428841347055</v>
      </c>
      <c r="J540" s="11"/>
      <c r="K540" s="14" t="str">
        <f>IF(AND('Расчёт'!$I$540&gt;='Расчёт'!$E$504,'Расчёт'!$G$522*10&gt;='Расчёт'!$G$504),"Выполнено","Не выполнено")</f>
        <v>Выполнено</v>
      </c>
      <c r="L540" s="4"/>
    </row>
    <row r="541" ht="17" customHeight="1">
      <c r="A541" s="16" t="str">
        <f>'Расчёт'!$A$523</f>
        <v>IF4</v>
      </c>
      <c r="B541" s="4"/>
      <c r="C541" s="12" t="n">
        <f>'Расчёт'!$C$532+'Расчёт'!$E$532*'Расчёт'!$G$532^3/12+'Расчёт'!$I$523*('Расчёт'!$K$523+'Расчёт'!$G$532/2)^2-('Расчёт'!$I$523+'Расчёт'!$I$532)*'Расчёт'!$K$532^2</f>
        <v>7429.549686384977</v>
      </c>
      <c r="D541" s="11"/>
      <c r="E541" s="12" t="n">
        <f>'Расчёт'!$C$541/('Расчёт'!$E$523+'Расчёт'!$G$532/2-'Расчёт'!$K$532)</f>
        <v>378.6921928573479</v>
      </c>
      <c r="F541" s="11"/>
      <c r="G541" s="12" t="n">
        <f>'Расчёт'!$C$541/('Расчёт'!$K$532+'Расчёт'!$G$532/2)</f>
        <v>1331.2141081463042</v>
      </c>
      <c r="H541" s="11"/>
      <c r="I541" s="12" t="n">
        <f>MIN('Расчёт'!$E$541,'Расчёт'!$G$541)</f>
        <v>378.6921928573479</v>
      </c>
      <c r="J541" s="11"/>
      <c r="K541" s="14" t="str">
        <f>IF(AND('Расчёт'!$I$541&gt;='Расчёт'!$E$505,'Расчёт'!$G$523*10&gt;='Расчёт'!$G$505),"Выполнено","Не выполнено")</f>
        <v>Выполнено</v>
      </c>
      <c r="L541" s="4"/>
    </row>
    <row r="542" ht="25" customHeight="1">
      <c r="A542" s="7" t="str">
        <v>Продольные балки верхней палубы</v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 ht="28" customHeight="1">
      <c r="A543" s="10" t="str">
        <v>Марка</v>
      </c>
      <c r="B543" s="10" t="str">
        <v>Элемент</v>
      </c>
      <c r="C543" s="10"/>
      <c r="D543" s="10"/>
      <c r="E543" s="10" t="str">
        <v>a, м</v>
      </c>
      <c r="F543" s="10"/>
      <c r="G543" s="10" t="str">
        <v>l, м</v>
      </c>
      <c r="H543" s="10"/>
      <c r="I543" s="10" t="str">
        <v>p, кПа</v>
      </c>
      <c r="J543" s="10"/>
      <c r="K543" s="10" t="str">
        <v>m</v>
      </c>
      <c r="L543" s="10"/>
    </row>
    <row r="544" ht="29" customHeight="1">
      <c r="A544" s="4" t="str">
        <v>D-L</v>
      </c>
      <c r="B544" s="4" t="str">
        <v>Продольная балка палубы над грузовым танком</v>
      </c>
      <c r="C544" s="4"/>
      <c r="D544" s="4"/>
      <c r="E544" s="12" t="n">
        <f>'Расчёт'!$F$34</f>
        <v>0.8</v>
      </c>
      <c r="F544" s="11"/>
      <c r="G544" s="12" t="n">
        <f>'Расчёт'!$F$32</f>
        <v>2.25</v>
      </c>
      <c r="H544" s="11"/>
      <c r="I544" s="12" t="n">
        <f>'Расчёт'!$D$166</f>
        <v>47.345862857142855</v>
      </c>
      <c r="J544" s="11"/>
      <c r="K544" s="12" t="n">
        <v>12</v>
      </c>
      <c r="L544" s="11"/>
    </row>
    <row r="545" ht="29" customHeight="1">
      <c r="A545" s="4" t="str">
        <v>D-W</v>
      </c>
      <c r="B545" s="4" t="str">
        <v>Продольная балка палубы над двойным бортом</v>
      </c>
      <c r="C545" s="4"/>
      <c r="D545" s="4"/>
      <c r="E545" s="12" t="n">
        <v>0.7</v>
      </c>
      <c r="F545" s="11"/>
      <c r="G545" s="12" t="n">
        <f>'Расчёт'!$F$32</f>
        <v>2.25</v>
      </c>
      <c r="H545" s="11"/>
      <c r="I545" s="12" t="n">
        <f>'Расчёт'!$D$166</f>
        <v>47.345862857142855</v>
      </c>
      <c r="J545" s="11"/>
      <c r="K545" s="12" t="n">
        <v>12</v>
      </c>
      <c r="L545" s="11"/>
    </row>
    <row r="546" ht="28" customHeight="1">
      <c r="A546" s="10" t="str">
        <v>Марка</v>
      </c>
      <c r="B546" s="10"/>
      <c r="C546" s="10" t="str">
        <v>kσ</v>
      </c>
      <c r="D546" s="10"/>
      <c r="E546" s="10" t="str">
        <v>u, мм/год</v>
      </c>
      <c r="F546" s="10"/>
      <c r="G546" s="10" t="str">
        <v>Δs, мм</v>
      </c>
      <c r="H546" s="10"/>
      <c r="I546" s="10" t="str">
        <v>W′, см³</v>
      </c>
      <c r="J546" s="10"/>
      <c r="K546" s="10" t="str">
        <v>αк</v>
      </c>
      <c r="L546" s="10"/>
    </row>
    <row r="547" ht="17" customHeight="1">
      <c r="A547" s="16" t="str">
        <f>'Расчёт'!$A$544</f>
        <v>D-L</v>
      </c>
      <c r="B547" s="4"/>
      <c r="C547" s="12" t="n">
        <v>0.45</v>
      </c>
      <c r="D547" s="11"/>
      <c r="E547" s="12" t="n">
        <v>0.2</v>
      </c>
      <c r="F547" s="11"/>
      <c r="G547" s="12" t="n">
        <f>'Расчёт'!$E$547*('Расчёт'!$F$43-'Расчёт'!$F$44)</f>
        <v>2.6</v>
      </c>
      <c r="H547" s="11"/>
      <c r="I547" s="12" t="n">
        <f>1000*'Расчёт'!$I$544*'Расчёт'!$E$544*'Расчёт'!$G$544^2/'Расчёт'!$K$544/'Расчёт'!$C$547/'Расчёт'!$F$47</f>
        <v>151.10381762917933</v>
      </c>
      <c r="J547" s="11"/>
      <c r="K547" s="12" t="n">
        <f>IF('Расчёт'!$I$547&lt;200,MIN(0.07+6/'Расчёт'!$I$547,0.25),(0.01+1/'Расчёт'!$I$547)/0.15)</f>
        <v>0.10970779887722276</v>
      </c>
      <c r="L547" s="11"/>
    </row>
    <row r="548" ht="17" customHeight="1">
      <c r="A548" s="16" t="str">
        <f>'Расчёт'!$A$545</f>
        <v>D-W</v>
      </c>
      <c r="B548" s="4"/>
      <c r="C548" s="12" t="n">
        <v>0.45</v>
      </c>
      <c r="D548" s="11"/>
      <c r="E548" s="12" t="n">
        <v>0.2</v>
      </c>
      <c r="F548" s="11"/>
      <c r="G548" s="12" t="n">
        <f>'Расчёт'!$E$548*('Расчёт'!$F$43-'Расчёт'!$F$44)</f>
        <v>2.6</v>
      </c>
      <c r="H548" s="11"/>
      <c r="I548" s="12" t="n">
        <f>1000*'Расчёт'!$I$545*'Расчёт'!$E$545*'Расчёт'!$G$545^2/'Расчёт'!$K$545/'Расчёт'!$C$548/'Расчёт'!$F$47</f>
        <v>132.21584042553192</v>
      </c>
      <c r="J548" s="11"/>
      <c r="K548" s="12" t="n">
        <f>IF('Расчёт'!$I$548&lt;200,MIN(0.07+6/'Расчёт'!$I$548,0.25),(0.01+1/'Расчёт'!$I$548)/0.15)</f>
        <v>0.11538034157396887</v>
      </c>
      <c r="L548" s="11"/>
    </row>
    <row r="549" ht="28" customHeight="1">
      <c r="A549" s="10" t="str">
        <v>Марка</v>
      </c>
      <c r="B549" s="10"/>
      <c r="C549" s="10" t="str">
        <v>ωк</v>
      </c>
      <c r="D549" s="10"/>
      <c r="E549" s="10" t="str">
        <v>Wreq, см³</v>
      </c>
      <c r="F549" s="10"/>
      <c r="G549" s="10" t="str">
        <v>smin, мм</v>
      </c>
      <c r="H549" s="10"/>
      <c r="I549" s="10" t="str">
        <v>sп, мм</v>
      </c>
      <c r="J549" s="10"/>
      <c r="K549" s="10" t="str">
        <v>bп, м</v>
      </c>
      <c r="L549" s="10"/>
    </row>
    <row r="550" ht="17" customHeight="1">
      <c r="A550" s="16" t="str">
        <f>'Расчёт'!$A$544</f>
        <v>D-L</v>
      </c>
      <c r="B550" s="4"/>
      <c r="C550" s="12" t="n">
        <f>1+'Расчёт'!$K$547*'Расчёт'!$G$547</f>
        <v>1.2852402770807791</v>
      </c>
      <c r="D550" s="11"/>
      <c r="E550" s="12" t="n">
        <f>'Расчёт'!$I$547*'Расчёт'!$C$550</f>
        <v>194.20471243768998</v>
      </c>
      <c r="F550" s="11"/>
      <c r="G550" s="12" t="n">
        <f>6.7+0.02*'Расчёт'!$F$20</f>
        <v>9.7</v>
      </c>
      <c r="H550" s="11"/>
      <c r="I550" s="12" t="n">
        <f>'Расчёт'!$C$406</f>
        <v>12</v>
      </c>
      <c r="J550" s="11"/>
      <c r="K550" s="12" t="n">
        <f>MIN('Расчёт'!$G$544/6,'Расчёт'!$E$544)</f>
        <v>0.375</v>
      </c>
      <c r="L550" s="11"/>
    </row>
    <row r="551" ht="17" customHeight="1">
      <c r="A551" s="16" t="str">
        <f>'Расчёт'!$A$545</f>
        <v>D-W</v>
      </c>
      <c r="B551" s="4"/>
      <c r="C551" s="12" t="n">
        <f>1+'Расчёт'!$K$548*'Расчёт'!$G$548</f>
        <v>1.2999888880923192</v>
      </c>
      <c r="D551" s="11"/>
      <c r="E551" s="12" t="n">
        <f>'Расчёт'!$I$548*'Расчёт'!$C$551</f>
        <v>171.87912338297875</v>
      </c>
      <c r="F551" s="11"/>
      <c r="G551" s="12" t="n">
        <f>6.7+0.02*'Расчёт'!$F$20</f>
        <v>9.7</v>
      </c>
      <c r="H551" s="11"/>
      <c r="I551" s="12" t="n">
        <f>'Расчёт'!$C$406</f>
        <v>12</v>
      </c>
      <c r="J551" s="11"/>
      <c r="K551" s="12" t="n">
        <f>MIN('Расчёт'!$G$545/6,'Расчёт'!$E$545)</f>
        <v>0.375</v>
      </c>
      <c r="L551" s="11"/>
    </row>
    <row r="552" ht="28" customHeight="1">
      <c r="A552" s="10" t="str">
        <v>Марка</v>
      </c>
      <c r="B552" s="10"/>
      <c r="C552" s="10" t="str">
        <v>Профиль</v>
      </c>
      <c r="D552" s="10"/>
      <c r="E552" s="10" t="str">
        <v>Wфакт, см3</v>
      </c>
      <c r="F552" s="10"/>
      <c r="G552" s="10" t="str">
        <v>Wфакт/Wreq</v>
      </c>
      <c r="H552" s="10"/>
      <c r="I552" s="3"/>
      <c r="J552" s="3"/>
      <c r="K552" s="3"/>
      <c r="L552" s="3"/>
    </row>
    <row r="553" ht="17" customHeight="1">
      <c r="A553" s="16" t="str">
        <f>'Расчёт'!$A$544</f>
        <v>D-L</v>
      </c>
      <c r="B553" s="4"/>
      <c r="C553" s="4" t="str">
        <v>HP 200x10</v>
      </c>
      <c r="D553" s="4"/>
      <c r="E553" s="12" t="n">
        <f>'Расчёт'!$I$562</f>
        <v>222.49836030889665</v>
      </c>
      <c r="F553" s="11"/>
      <c r="G553" s="12" t="n">
        <f>'Расчёт'!$E$553/'Расчёт'!$E$550</f>
        <v>1.1456898111073623</v>
      </c>
      <c r="H553" s="11"/>
      <c r="I553" s="3"/>
      <c r="J553" s="3"/>
      <c r="K553" s="3"/>
      <c r="L553" s="3"/>
    </row>
    <row r="554" ht="17" customHeight="1">
      <c r="A554" s="16" t="str">
        <f>'Расчёт'!$A$545</f>
        <v>D-W</v>
      </c>
      <c r="B554" s="4"/>
      <c r="C554" s="4" t="str">
        <v>HP 180x10</v>
      </c>
      <c r="D554" s="4"/>
      <c r="E554" s="12" t="n">
        <f>'Расчёт'!$I$563</f>
        <v>175.1569506726457</v>
      </c>
      <c r="F554" s="11"/>
      <c r="G554" s="12" t="n">
        <f>'Расчёт'!$E$554/'Расчёт'!$E$551</f>
        <v>1.0190705376263953</v>
      </c>
      <c r="H554" s="11"/>
      <c r="I554" s="3"/>
      <c r="J554" s="3"/>
      <c r="K554" s="3"/>
      <c r="L554" s="3"/>
    </row>
    <row r="555" ht="28" customHeight="1">
      <c r="A555" s="10" t="str">
        <v>Марка</v>
      </c>
      <c r="B555" s="10"/>
      <c r="C555" s="10" t="str">
        <v>Профиль</v>
      </c>
      <c r="D555" s="10"/>
      <c r="E555" s="10" t="str">
        <v>h, см</v>
      </c>
      <c r="F555" s="10"/>
      <c r="G555" s="10" t="str">
        <v>s, см</v>
      </c>
      <c r="H555" s="10"/>
      <c r="I555" s="10" t="str">
        <v>Aпроф, см²</v>
      </c>
      <c r="J555" s="10"/>
      <c r="K555" s="10" t="str">
        <v>y₀, см</v>
      </c>
      <c r="L555" s="10"/>
    </row>
    <row r="556" ht="17" customHeight="1">
      <c r="A556" s="4" t="str">
        <v>D-L</v>
      </c>
      <c r="B556" s="4"/>
      <c r="C556" s="16" t="str">
        <f>'Расчёт'!$C$553</f>
        <v>HP 200x10</v>
      </c>
      <c r="D556" s="4"/>
      <c r="E556" s="12" t="n">
        <f>'Сортамент HP'!$D$4/10</f>
        <v>20</v>
      </c>
      <c r="F556" s="11"/>
      <c r="G556" s="12" t="n">
        <f>'Сортамент HP'!$E$4/10</f>
        <v>1</v>
      </c>
      <c r="H556" s="11"/>
      <c r="I556" s="12" t="n">
        <f>'Сортамент HP'!$H$4/1</f>
        <v>25.6</v>
      </c>
      <c r="J556" s="11"/>
      <c r="K556" s="12" t="n">
        <f>'Сортамент HP'!$J$4/1</f>
        <v>11.9</v>
      </c>
      <c r="L556" s="11"/>
    </row>
    <row r="557" ht="17" customHeight="1">
      <c r="A557" s="4" t="str">
        <v>D-W</v>
      </c>
      <c r="B557" s="4"/>
      <c r="C557" s="16" t="str">
        <f>'Расчёт'!$C$554</f>
        <v>HP 180x10</v>
      </c>
      <c r="D557" s="4"/>
      <c r="E557" s="12" t="n">
        <f>'Сортамент HP'!$D$3/10</f>
        <v>18</v>
      </c>
      <c r="F557" s="11"/>
      <c r="G557" s="12" t="n">
        <f>'Сортамент HP'!$E$3/10</f>
        <v>1</v>
      </c>
      <c r="H557" s="11"/>
      <c r="I557" s="12" t="n">
        <f>'Сортамент HP'!$H$3/1</f>
        <v>22.5</v>
      </c>
      <c r="J557" s="11"/>
      <c r="K557" s="12" t="n">
        <f>'Сортамент HP'!$J$3/1</f>
        <v>10.6</v>
      </c>
      <c r="L557" s="11"/>
    </row>
    <row r="558" ht="28" customHeight="1">
      <c r="A558" s="10" t="str">
        <v>Марка</v>
      </c>
      <c r="B558" s="10"/>
      <c r="C558" s="10" t="str">
        <v>Iпроф, см⁴</v>
      </c>
      <c r="D558" s="10"/>
      <c r="E558" s="10" t="str">
        <v>bп, см</v>
      </c>
      <c r="F558" s="10"/>
      <c r="G558" s="10" t="str">
        <v>sп, см</v>
      </c>
      <c r="H558" s="10"/>
      <c r="I558" s="10" t="str">
        <v>Aп, см²</v>
      </c>
      <c r="J558" s="10"/>
      <c r="K558" s="10" t="str">
        <v>e, см</v>
      </c>
      <c r="L558" s="10"/>
    </row>
    <row r="559" ht="17" customHeight="1">
      <c r="A559" s="16" t="str">
        <f>'Расчёт'!$A$556</f>
        <v>D-L</v>
      </c>
      <c r="B559" s="4"/>
      <c r="C559" s="12" t="n">
        <f>'Сортамент HP'!$K$4/1</f>
        <v>1020</v>
      </c>
      <c r="D559" s="11"/>
      <c r="E559" s="12" t="n">
        <f>'Расчёт'!$K$550*100</f>
        <v>37.5</v>
      </c>
      <c r="F559" s="11"/>
      <c r="G559" s="12" t="n">
        <f>'Расчёт'!$I$550/10</f>
        <v>1.2</v>
      </c>
      <c r="H559" s="11"/>
      <c r="I559" s="12" t="n">
        <f>'Расчёт'!$E$559*'Расчёт'!$G$559</f>
        <v>45</v>
      </c>
      <c r="J559" s="11"/>
      <c r="K559" s="12" t="n">
        <f>'Расчёт'!$I$556*('Расчёт'!$K$556+'Расчёт'!$G$559/2)/('Расчёт'!$I$556+'Расчёт'!$I$559)</f>
        <v>4.53257790368272</v>
      </c>
      <c r="L559" s="11"/>
    </row>
    <row r="560" ht="17" customHeight="1">
      <c r="A560" s="16" t="str">
        <f>'Расчёт'!$A$557</f>
        <v>D-W</v>
      </c>
      <c r="B560" s="4"/>
      <c r="C560" s="12" t="n">
        <f>'Сортамент HP'!$K$3/1</f>
        <v>717</v>
      </c>
      <c r="D560" s="11"/>
      <c r="E560" s="12" t="n">
        <f>'Расчёт'!$K$551*100</f>
        <v>37.5</v>
      </c>
      <c r="F560" s="11"/>
      <c r="G560" s="12" t="n">
        <f>'Расчёт'!$I$551/10</f>
        <v>1.2</v>
      </c>
      <c r="H560" s="11"/>
      <c r="I560" s="12" t="n">
        <f>'Расчёт'!$E$560*'Расчёт'!$G$560</f>
        <v>45</v>
      </c>
      <c r="J560" s="11"/>
      <c r="K560" s="12" t="n">
        <f>'Расчёт'!$I$557*('Расчёт'!$K$557+'Расчёт'!$G$560/2)/('Расчёт'!$I$557+'Расчёт'!$I$560)</f>
        <v>3.733333333333333</v>
      </c>
      <c r="L560" s="11"/>
    </row>
    <row r="561" ht="28" customHeight="1">
      <c r="A561" s="10" t="str">
        <v>Марка</v>
      </c>
      <c r="B561" s="10"/>
      <c r="C561" s="10" t="str">
        <v>IΣ, см⁴</v>
      </c>
      <c r="D561" s="10"/>
      <c r="E561" s="10" t="str">
        <v>Wверх, см³</v>
      </c>
      <c r="F561" s="10"/>
      <c r="G561" s="10" t="str">
        <v>Wниз, см³</v>
      </c>
      <c r="H561" s="10"/>
      <c r="I561" s="10" t="str">
        <v>Wmin, см³</v>
      </c>
      <c r="J561" s="10"/>
      <c r="K561" s="10" t="str">
        <v>Проверка</v>
      </c>
      <c r="L561" s="10"/>
    </row>
    <row r="562" ht="17" customHeight="1">
      <c r="A562" s="16" t="str">
        <f>'Расчёт'!$A$556</f>
        <v>D-L</v>
      </c>
      <c r="B562" s="4"/>
      <c r="C562" s="12" t="n">
        <f>'Расчёт'!$C$559+'Расчёт'!$E$559*'Расчёт'!$G$559^3/12+'Расчёт'!$I$556*('Расчёт'!$K$556+'Расчёт'!$G$559/2)^2-('Расчёт'!$I$556+'Расчёт'!$I$559)*'Расчёт'!$K$559^2</f>
        <v>3574.9750708215297</v>
      </c>
      <c r="D562" s="11"/>
      <c r="E562" s="12" t="n">
        <f>'Расчёт'!$C$562/('Расчёт'!$E$556+'Расчёт'!$G$559/2-'Расчёт'!$K$559)</f>
        <v>222.49836030889665</v>
      </c>
      <c r="F562" s="11"/>
      <c r="G562" s="12" t="n">
        <f>'Расчёт'!$C$562/('Расчёт'!$K$559+'Расчёт'!$G$559/2)</f>
        <v>696.5262170217463</v>
      </c>
      <c r="H562" s="11"/>
      <c r="I562" s="12" t="n">
        <f>MIN('Расчёт'!$E$562,'Расчёт'!$G$562)</f>
        <v>222.49836030889665</v>
      </c>
      <c r="J562" s="11"/>
      <c r="K562" s="16" t="str">
        <f>IF(AND('Расчёт'!$I$562&gt;='Расчёт'!$E$550,'Расчёт'!$G$556*10&gt;='Расчёт'!$G$550),"Выполнено","Не выполнено")</f>
        <v>Выполнено</v>
      </c>
      <c r="L562" s="4"/>
    </row>
    <row r="563" ht="17" customHeight="1">
      <c r="A563" s="16" t="str">
        <f>'Расчёт'!$A$557</f>
        <v>D-W</v>
      </c>
      <c r="B563" s="4"/>
      <c r="C563" s="12" t="n">
        <f>'Расчёт'!$C$560+'Расчёт'!$E$560*'Расчёт'!$G$560^3/12+'Расчёт'!$I$557*('Расчёт'!$K$557+'Расчёт'!$G$560/2)^2-('Расчёт'!$I$557+'Расчёт'!$I$560)*'Расчёт'!$K$560^2</f>
        <v>2604</v>
      </c>
      <c r="D563" s="11"/>
      <c r="E563" s="12" t="n">
        <f>'Расчёт'!$C$563/('Расчёт'!$E$557+'Расчёт'!$G$560/2-'Расчёт'!$K$560)</f>
        <v>175.1569506726457</v>
      </c>
      <c r="F563" s="11"/>
      <c r="G563" s="12" t="n">
        <f>'Расчёт'!$C$563/('Расчёт'!$K$560+'Расчёт'!$G$560/2)</f>
        <v>600.923076923077</v>
      </c>
      <c r="H563" s="11"/>
      <c r="I563" s="12" t="n">
        <f>MIN('Расчёт'!$E$563,'Расчёт'!$G$563)</f>
        <v>175.1569506726457</v>
      </c>
      <c r="J563" s="11"/>
      <c r="K563" s="16" t="str">
        <f>IF(AND('Расчёт'!$I$563&gt;='Расчёт'!$E$551,'Расчёт'!$G$557*10&gt;='Расчёт'!$G$551),"Выполнено","Не выполнено")</f>
        <v>Выполнено</v>
      </c>
      <c r="L563" s="4"/>
    </row>
    <row r="564" ht="25" customHeight="1">
      <c r="A564" s="7" t="str">
        <v>Вертикальные стойки переборки в ДП</v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 ht="28" customHeight="1">
      <c r="A565" s="10" t="str">
        <v>Марка</v>
      </c>
      <c r="B565" s="10"/>
      <c r="C565" s="10" t="str">
        <v>Пролёт, м</v>
      </c>
      <c r="D565" s="10"/>
      <c r="E565" s="10" t="str">
        <v>p, кПа</v>
      </c>
      <c r="F565" s="10"/>
      <c r="G565" s="10" t="str">
        <v>W треб., см³</v>
      </c>
      <c r="H565" s="10"/>
      <c r="I565" s="10" t="str">
        <v>Профиль HP</v>
      </c>
      <c r="J565" s="10"/>
      <c r="K565" s="10" t="str">
        <v>W факт/W треб.</v>
      </c>
      <c r="L565" s="10"/>
    </row>
    <row r="566" ht="17" customHeight="1">
      <c r="A566" s="14" t="str">
        <v>CL-F1</v>
      </c>
      <c r="B566" s="4"/>
      <c r="C566" s="12" t="n">
        <f>'Расчёт'!$F$35-'Расчёт'!$F$26</f>
        <v>3.4000000000000004</v>
      </c>
      <c r="D566" s="11"/>
      <c r="E566" s="12" t="n">
        <f>MAX('Расчёт'!$F$40*('Расчёт'!$F$50+'Расчёт'!$F$86)*('Расчёт'!$F$96-('Расчёт'!$F$35+'Расчёт'!$F$26)/2),'Расчёт'!$F$40*'Расчёт'!$F$50*(('Расчёт'!$F$96-('Расчёт'!$F$35+'Расчёт'!$F$26)/2)+('Расчёт'!$F$94)*'Расчёт'!$F$87),'Расчёт'!$F$40*'Расчёт'!$F$50*(('Расчёт'!$F$96-('Расчёт'!$F$35+'Расчёт'!$F$26)/2)+'Расчёт'!$F$98*'Расчёт'!$F$88),0.75*'Расчёт'!$F$40*'Расчёт'!$F$50*(('Расчёт'!$F$96-('Расчёт'!$F$35+'Расчёт'!$F$26)/2)+'Расчёт'!$F$99),'Расчёт'!$F$40*'Расчёт'!$F$50*('Расчёт'!$F$96-('Расчёт'!$F$35+'Расчёт'!$F$26)/2)+'Расчёт'!$F$100)</f>
        <v>165.73924928571427</v>
      </c>
      <c r="F566" s="11"/>
      <c r="G566" s="12" t="n">
        <f>(1000*'Расчёт'!$E$566*'Расчёт'!$F$435*'Расчёт'!$C$566^2/12/0.75/'Расчёт'!$F$47)*(1+IF((1000*'Расчёт'!$E$566*'Расчёт'!$F$435*'Расчёт'!$C$566^2/12/0.75/'Расчёт'!$F$47)&lt;200,MIN(0.07+6/(1000*'Расчёт'!$E$566*'Расчёт'!$F$435*'Расчёт'!$C$566^2/12/0.75/'Расчёт'!$F$47),0.25),(0.01+1/(1000*'Расчёт'!$E$566*'Расчёт'!$F$435*'Расчёт'!$C$566^2/12/0.75/'Расчёт'!$F$47))/0.15)*'Расчёт'!$F$438)</f>
        <v>882.0608543957447</v>
      </c>
      <c r="H566" s="11"/>
      <c r="I566" s="14" t="str">
        <v>HP 340x12</v>
      </c>
      <c r="J566" s="4"/>
      <c r="K566" s="12" t="n">
        <f>'Расчёт'!$K$571/'Расчёт'!$G$566</f>
        <v>1.0824959259955063</v>
      </c>
      <c r="L566" s="11"/>
    </row>
    <row r="567" ht="17" customHeight="1">
      <c r="A567" s="14" t="str">
        <v>CL-F2</v>
      </c>
      <c r="B567" s="4"/>
      <c r="C567" s="12" t="n">
        <f>'Расчёт'!$F$36-'Расчёт'!$F$35</f>
        <v>3.3999999999999995</v>
      </c>
      <c r="D567" s="11"/>
      <c r="E567" s="12" t="n">
        <f>MAX('Расчёт'!$F$40*('Расчёт'!$F$50+'Расчёт'!$F$86)*('Расчёт'!$F$96-('Расчёт'!$F$36+'Расчёт'!$F$35)/2),'Расчёт'!$F$40*'Расчёт'!$F$50*(('Расчёт'!$F$96-('Расчёт'!$F$36+'Расчёт'!$F$35)/2)+('Расчёт'!$F$94)*'Расчёт'!$F$87),'Расчёт'!$F$40*'Расчёт'!$F$50*(('Расчёт'!$F$96-('Расчёт'!$F$36+'Расчёт'!$F$35)/2)+'Расчёт'!$F$98*'Расчёт'!$F$88),0.75*'Расчёт'!$F$40*'Расчёт'!$F$50*(('Расчёт'!$F$96-('Расчёт'!$F$36+'Расчёт'!$F$35)/2)+'Расчёт'!$F$99),'Расчёт'!$F$40*'Расчёт'!$F$50*('Расчёт'!$F$96-('Расчёт'!$F$36+'Расчёт'!$F$35)/2)+'Расчёт'!$F$100)</f>
        <v>131.55139928571427</v>
      </c>
      <c r="F567" s="11"/>
      <c r="G567" s="12" t="n">
        <f>(1000*'Расчёт'!$E$567*'Расчёт'!$F$435*'Расчёт'!$C$567^2/12/0.75/'Расчёт'!$F$47)*(1+IF((1000*'Расчёт'!$E$567*'Расчёт'!$F$435*'Расчёт'!$C$567^2/12/0.75/'Расчёт'!$F$47)&lt;200,MIN(0.07+6/(1000*'Расчёт'!$E$567*'Расчёт'!$F$435*'Расчёт'!$C$567^2/12/0.75/'Расчёт'!$F$47),0.25),(0.01+1/(1000*'Расчёт'!$E$567*'Расчёт'!$F$435*'Расчёт'!$C$567^2/12/0.75/'Расчёт'!$F$47))/0.15)*'Расчёт'!$F$438)</f>
        <v>705.4769721404252</v>
      </c>
      <c r="H567" s="11"/>
      <c r="I567" s="14" t="str">
        <v>HP 300x12</v>
      </c>
      <c r="J567" s="4"/>
      <c r="K567" s="12" t="n">
        <f>'Расчёт'!$K$572/'Расчёт'!$G$567</f>
        <v>1.0032428129271749</v>
      </c>
      <c r="L567" s="11"/>
    </row>
    <row r="568" ht="17" customHeight="1">
      <c r="A568" s="14" t="str">
        <v>CL-F3</v>
      </c>
      <c r="B568" s="4"/>
      <c r="C568" s="12" t="n">
        <f>'Расчёт'!$F$37-'Расчёт'!$F$36</f>
        <v>3.4000000000000004</v>
      </c>
      <c r="D568" s="11"/>
      <c r="E568" s="12" t="n">
        <f>MAX('Расчёт'!$F$40*('Расчёт'!$F$50+'Расчёт'!$F$86)*('Расчёт'!$F$96-('Расчёт'!$F$37+'Расчёт'!$F$36)/2),'Расчёт'!$F$40*'Расчёт'!$F$50*(('Расчёт'!$F$96-('Расчёт'!$F$37+'Расчёт'!$F$36)/2)+('Расчёт'!$F$94)*'Расчёт'!$F$87),'Расчёт'!$F$40*'Расчёт'!$F$50*(('Расчёт'!$F$96-('Расчёт'!$F$37+'Расчёт'!$F$36)/2)+'Расчёт'!$F$98*'Расчёт'!$F$88),0.75*'Расчёт'!$F$40*'Расчёт'!$F$50*(('Расчёт'!$F$96-('Расчёт'!$F$37+'Расчёт'!$F$36)/2)+'Расчёт'!$F$99),'Расчёт'!$F$40*'Расчёт'!$F$50*('Расчёт'!$F$96-('Расчёт'!$F$37+'Расчёт'!$F$36)/2)+'Расчёт'!$F$100)</f>
        <v>97.36354928571426</v>
      </c>
      <c r="F568" s="11"/>
      <c r="G568" s="12" t="n">
        <f>(1000*'Расчёт'!$E$568*'Расчёт'!$F$435*'Расчёт'!$C$568^2/12/0.75/'Расчёт'!$F$47)*(1+IF((1000*'Расчёт'!$E$568*'Расчёт'!$F$435*'Расчёт'!$C$568^2/12/0.75/'Расчёт'!$F$47)&lt;200,MIN(0.07+6/(1000*'Расчёт'!$E$568*'Расчёт'!$F$435*'Расчёт'!$C$568^2/12/0.75/'Расчёт'!$F$47),0.25),(0.01+1/(1000*'Расчёт'!$E$568*'Расчёт'!$F$435*'Расчёт'!$C$568^2/12/0.75/'Расчёт'!$F$47))/0.15)*'Расчёт'!$F$438)</f>
        <v>528.8930898851062</v>
      </c>
      <c r="H568" s="11"/>
      <c r="I568" s="14" t="str">
        <v>HP 280x11</v>
      </c>
      <c r="J568" s="4"/>
      <c r="K568" s="12" t="n">
        <f>'Расчёт'!$K$573/'Расчёт'!$G$568</f>
        <v>1.0794073394897452</v>
      </c>
      <c r="L568" s="11"/>
    </row>
    <row r="569" ht="17" customHeight="1">
      <c r="A569" s="14" t="str">
        <v>CL-F4</v>
      </c>
      <c r="B569" s="4"/>
      <c r="C569" s="12" t="n">
        <f>'Расчёт'!$F$96-'Расчёт'!$F$37</f>
        <v>4.039999999999999</v>
      </c>
      <c r="D569" s="11"/>
      <c r="E569" s="12" t="n">
        <f>MAX('Расчёт'!$F$40*('Расчёт'!$F$50+'Расчёт'!$F$86)*('Расчёт'!$F$96-('Расчёт'!$F$96+'Расчёт'!$F$37)/2),'Расчёт'!$F$40*'Расчёт'!$F$50*(('Расчёт'!$F$96-('Расчёт'!$F$96+'Расчёт'!$F$37)/2)+('Расчёт'!$F$94)*'Расчёт'!$F$87),'Расчёт'!$F$40*'Расчёт'!$F$50*(('Расчёт'!$F$96-('Расчёт'!$F$96+'Расчёт'!$F$37)/2)+'Расчёт'!$F$98*'Расчёт'!$F$88),0.75*'Расчёт'!$F$40*'Расчёт'!$F$50*(('Расчёт'!$F$96-('Расчёт'!$F$96+'Расчёт'!$F$37)/2)+'Расчёт'!$F$99),'Расчёт'!$F$40*'Расчёт'!$F$50*('Расчёт'!$F$96-('Расчёт'!$F$96+'Расчёт'!$F$37)/2)+'Расчёт'!$F$100)</f>
        <v>59.95801928571428</v>
      </c>
      <c r="F569" s="11"/>
      <c r="G569" s="12" t="n">
        <f>(1000*'Расчёт'!$E$569*'Расчёт'!$F$435*'Расчёт'!$C$569^2/12/0.75/'Расчёт'!$F$47)*(1+IF((1000*'Расчёт'!$E$569*'Расчёт'!$F$435*'Расчёт'!$C$569^2/12/0.75/'Расчёт'!$F$47)&lt;200,MIN(0.07+6/(1000*'Расчёт'!$E$569*'Расчёт'!$F$435*'Расчёт'!$C$569^2/12/0.75/'Расчёт'!$F$47),0.25),(0.01+1/(1000*'Расчёт'!$E$569*'Расчёт'!$F$435*'Расчёт'!$C$569^2/12/0.75/'Расчёт'!$F$47))/0.15)*'Расчёт'!$F$438)</f>
        <v>463.2516374265529</v>
      </c>
      <c r="H569" s="11"/>
      <c r="I569" s="14" t="str">
        <v>HP 260x11</v>
      </c>
      <c r="J569" s="4"/>
      <c r="K569" s="12" t="n">
        <f>'Расчёт'!$K$574/'Расчёт'!$G$569</f>
        <v>1.0429683602811846</v>
      </c>
      <c r="L569" s="11"/>
    </row>
    <row r="570" ht="28" customHeight="1">
      <c r="A570" s="10" t="str">
        <v>Марка</v>
      </c>
      <c r="B570" s="10"/>
      <c r="C570" s="10" t="str">
        <v>Ширина пояска</v>
      </c>
      <c r="D570" s="10"/>
      <c r="E570" s="10" t="str">
        <v>Площадь пояска</v>
      </c>
      <c r="F570" s="10"/>
      <c r="G570" s="10" t="str">
        <v>Смещение оси</v>
      </c>
      <c r="H570" s="10"/>
      <c r="I570" s="10" t="str">
        <v>I сечения</v>
      </c>
      <c r="J570" s="10"/>
      <c r="K570" s="10" t="str">
        <v>W min</v>
      </c>
      <c r="L570" s="10"/>
    </row>
    <row r="571" ht="17" customHeight="1">
      <c r="A571" s="14" t="str">
        <v>CL-F1</v>
      </c>
      <c r="B571" s="4"/>
      <c r="C571" s="12" t="n">
        <f>MIN('Расчёт'!$C$566/6,'Расчёт'!$F$435)*100</f>
        <v>56.66666666666668</v>
      </c>
      <c r="D571" s="11"/>
      <c r="E571" s="12" t="n">
        <f>'Расчёт'!$C$571*'Расчёт'!$F$441/10</f>
        <v>102.00000000000003</v>
      </c>
      <c r="F571" s="11"/>
      <c r="G571" s="12" t="n">
        <f>'Сортамент HP'!$H$21*('Сортамент HP'!$J$21+'Расчёт'!$F$441/20)/('Сортамент HP'!$H$21+'Расчёт'!$E$571)</f>
        <v>8.191044776119401</v>
      </c>
      <c r="H571" s="11"/>
      <c r="I571" s="12" t="n">
        <f>'Сортамент HP'!$K$21+'Расчёт'!$C$571*('Расчёт'!$F$441/10)^3/12+'Сортамент HP'!$H$21*('Сортамент HP'!$J$21+'Расчёт'!$F$441/20)^2-('Сортамент HP'!$H$21+'Расчёт'!$E$571)*'Расчёт'!$G$571^2</f>
        <v>25502.439104477606</v>
      </c>
      <c r="J571" s="11"/>
      <c r="K571" s="12" t="n">
        <f>MIN('Расчёт'!$I$571/('Сортамент HP'!$D$21/10+'Расчёт'!$F$441/20-'Расчёт'!$G$571),'Расчёт'!$I$571/('Расчёт'!$G$571+'Расчёт'!$F$441/20))</f>
        <v>954.8272813635091</v>
      </c>
      <c r="L571" s="11"/>
    </row>
    <row r="572" ht="17" customHeight="1">
      <c r="A572" s="14" t="str">
        <v>CL-F2</v>
      </c>
      <c r="B572" s="4"/>
      <c r="C572" s="12" t="n">
        <f>MIN('Расчёт'!$C$567/6,'Расчёт'!$F$435)*100</f>
        <v>56.66666666666666</v>
      </c>
      <c r="D572" s="11"/>
      <c r="E572" s="12" t="n">
        <f>'Расчёт'!$C$572*'Расчёт'!$F$441/10</f>
        <v>101.99999999999997</v>
      </c>
      <c r="F572" s="11"/>
      <c r="G572" s="12" t="n">
        <f>'Сортамент HP'!$H$17*('Сортамент HP'!$J$17+'Расчёт'!$F$441/20)/('Сортамент HP'!$H$17+'Расчёт'!$E$572)</f>
        <v>6.421357943309164</v>
      </c>
      <c r="H572" s="11"/>
      <c r="I572" s="12" t="n">
        <f>'Сортамент HP'!$K$17+'Расчёт'!$C$572*('Расчёт'!$F$441/10)^3/12+'Сортамент HP'!$H$17*('Сортамент HP'!$J$17+'Расчёт'!$F$441/20)^2-('Сортамент HP'!$H$17+'Расчёт'!$E$572)*'Расчёт'!$G$572^2</f>
        <v>17325.118800263674</v>
      </c>
      <c r="J572" s="11"/>
      <c r="K572" s="12" t="n">
        <f>MIN('Расчёт'!$I$572/('Сортамент HP'!$D$17/10+'Расчёт'!$F$441/20-'Расчёт'!$G$572),'Расчёт'!$I$572/('Расчёт'!$G$572+'Расчёт'!$F$441/20))</f>
        <v>707.7647019855065</v>
      </c>
      <c r="L572" s="11"/>
    </row>
    <row r="573" ht="17" customHeight="1">
      <c r="A573" s="14" t="str">
        <v>CL-F3</v>
      </c>
      <c r="B573" s="4"/>
      <c r="C573" s="12" t="n">
        <f>MIN('Расчёт'!$C$568/6,'Расчёт'!$F$435)*100</f>
        <v>56.66666666666668</v>
      </c>
      <c r="D573" s="11"/>
      <c r="E573" s="12" t="n">
        <f>'Расчёт'!$C$573*'Расчёт'!$F$441/10</f>
        <v>102.00000000000003</v>
      </c>
      <c r="F573" s="11"/>
      <c r="G573" s="12" t="n">
        <f>'Сортамент HP'!$H$14*('Сортамент HP'!$J$14+'Расчёт'!$F$441/20)/('Сортамент HP'!$H$14+'Расчёт'!$E$573)</f>
        <v>5.3912863070539405</v>
      </c>
      <c r="H573" s="11"/>
      <c r="I573" s="12" t="n">
        <f>'Сортамент HP'!$K$14+'Расчёт'!$C$573*('Расчёт'!$F$441/10)^3/12+'Сортамент HP'!$H$14*('Сортамент HP'!$J$14+'Расчёт'!$F$441/20)^2-('Сортамент HP'!$H$14+'Расчёт'!$E$573)*'Расчёт'!$G$573^2</f>
        <v>13420.915020746885</v>
      </c>
      <c r="J573" s="11"/>
      <c r="K573" s="12" t="n">
        <f>MIN('Расчёт'!$I$573/('Сортамент HP'!$D$14/10+'Расчёт'!$F$441/20-'Расчёт'!$G$573),'Расчёт'!$I$573/('Расчёт'!$G$573+'Расчёт'!$F$441/20))</f>
        <v>570.8910830273932</v>
      </c>
      <c r="L573" s="11"/>
    </row>
    <row r="574" ht="17" customHeight="1">
      <c r="A574" s="14" t="str">
        <v>CL-F4</v>
      </c>
      <c r="B574" s="4"/>
      <c r="C574" s="12" t="n">
        <f>MIN('Расчёт'!$C$569/6,'Расчёт'!$F$435)*100</f>
        <v>67.33333333333333</v>
      </c>
      <c r="D574" s="11"/>
      <c r="E574" s="12" t="n">
        <f>'Расчёт'!$C$574*'Расчёт'!$F$441/10</f>
        <v>121.2</v>
      </c>
      <c r="F574" s="11"/>
      <c r="G574" s="12" t="n">
        <f>'Сортамент HP'!$H$12*('Сортамент HP'!$J$12+'Расчёт'!$F$441/20)/('Сортамент HP'!$H$12+'Расчёт'!$E$574)</f>
        <v>4.090243902439024</v>
      </c>
      <c r="H574" s="11"/>
      <c r="I574" s="12" t="n">
        <f>'Сортамент HP'!$K$12+'Расчёт'!$C$574*('Расчёт'!$F$441/10)^3/12+'Сортамент HP'!$H$12*('Сортамент HP'!$J$12+'Расчёт'!$F$441/20)^2-('Сортамент HP'!$H$12+'Расчёт'!$E$574)*'Расчёт'!$G$574^2</f>
        <v>11020.688780487806</v>
      </c>
      <c r="J574" s="11"/>
      <c r="K574" s="12" t="n">
        <f>MIN('Расчёт'!$I$574/('Сортамент HP'!$D$12/10+'Расчёт'!$F$441/20-'Расчёт'!$G$574),'Расчёт'!$I$574/('Расчёт'!$G$574+'Расчёт'!$F$441/20))</f>
        <v>483.1568006843457</v>
      </c>
      <c r="L574" s="11"/>
    </row>
    <row r="575" ht="25" customHeight="1">
      <c r="A575" s="7" t="str">
        <v>7. Эквивалентный брус и общая продольная прочность</v>
      </c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 ht="29" customHeight="1">
      <c r="A576" s="4" t="str">
        <v>IS — внутренний борт; CL — переборка в ДП (n = 0,5).
A, S, I₀ полного сечения = 2 × суммы по половине сечения.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28" customHeight="1">
      <c r="A577" s="10" t="str">
        <v>Марка</v>
      </c>
      <c r="B577" s="10" t="str">
        <v>Продольный элемент</v>
      </c>
      <c r="C577" s="10"/>
      <c r="D577" s="10"/>
      <c r="E577" s="10" t="str">
        <v>n</v>
      </c>
      <c r="F577" s="10"/>
      <c r="G577" s="10" t="str">
        <v>Длина, мм / HP</v>
      </c>
      <c r="H577" s="10"/>
      <c r="I577" s="10" t="str">
        <v>s, мм</v>
      </c>
      <c r="J577" s="10"/>
      <c r="K577" s="10" t="str">
        <v>Высота z, см</v>
      </c>
      <c r="L577" s="10"/>
    </row>
    <row r="578" ht="29" customHeight="1">
      <c r="A578" s="4" t="str">
        <v>KL/2</v>
      </c>
      <c r="B578" s="4" t="str">
        <v>Половина горизонтального киля</v>
      </c>
      <c r="C578" s="4"/>
      <c r="D578" s="4"/>
      <c r="E578" s="19" t="n">
        <v>1</v>
      </c>
      <c r="F578" s="11"/>
      <c r="G578" s="17" t="n">
        <f>'Расчёт'!$F$61*500</f>
        <v>775</v>
      </c>
      <c r="H578" s="11"/>
      <c r="I578" s="17" t="n">
        <f>'Расчёт'!$C$388</f>
        <v>19</v>
      </c>
      <c r="J578" s="11"/>
      <c r="K578" s="17" t="n">
        <f>0</f>
        <v>0</v>
      </c>
      <c r="L578" s="11"/>
    </row>
    <row r="579" ht="17" customHeight="1">
      <c r="A579" s="4" t="str">
        <v>A</v>
      </c>
      <c r="B579" s="4" t="str">
        <v>Плоское днище — A</v>
      </c>
      <c r="C579" s="4"/>
      <c r="D579" s="4"/>
      <c r="E579" s="19" t="n">
        <v>1</v>
      </c>
      <c r="F579" s="11"/>
      <c r="G579" s="17" t="n">
        <f>2000</f>
        <v>2000</v>
      </c>
      <c r="H579" s="11"/>
      <c r="I579" s="17" t="n">
        <f>'Расчёт'!$C$389</f>
        <v>17</v>
      </c>
      <c r="J579" s="11"/>
      <c r="K579" s="17" t="n">
        <f>0</f>
        <v>0</v>
      </c>
      <c r="L579" s="11"/>
    </row>
    <row r="580" ht="17" customHeight="1">
      <c r="A580" s="4" t="str">
        <v>B</v>
      </c>
      <c r="B580" s="4" t="str">
        <v>Плоское днище — B</v>
      </c>
      <c r="C580" s="4"/>
      <c r="D580" s="4"/>
      <c r="E580" s="19" t="n">
        <v>1</v>
      </c>
      <c r="F580" s="11"/>
      <c r="G580" s="17" t="n">
        <f>2000</f>
        <v>2000</v>
      </c>
      <c r="H580" s="11"/>
      <c r="I580" s="17" t="n">
        <f>'Расчёт'!$C$390</f>
        <v>17</v>
      </c>
      <c r="J580" s="11"/>
      <c r="K580" s="17" t="n">
        <f>0</f>
        <v>0</v>
      </c>
      <c r="L580" s="11"/>
    </row>
    <row r="581" ht="17" customHeight="1">
      <c r="A581" s="4" t="str">
        <v>C</v>
      </c>
      <c r="B581" s="4" t="str">
        <v>Плоское днище — C</v>
      </c>
      <c r="C581" s="4"/>
      <c r="D581" s="4"/>
      <c r="E581" s="19" t="n">
        <v>1</v>
      </c>
      <c r="F581" s="11"/>
      <c r="G581" s="17" t="n">
        <f>2000</f>
        <v>2000</v>
      </c>
      <c r="H581" s="11"/>
      <c r="I581" s="17" t="n">
        <f>'Расчёт'!$C$391</f>
        <v>17</v>
      </c>
      <c r="J581" s="11"/>
      <c r="K581" s="17" t="n">
        <f>0</f>
        <v>0</v>
      </c>
      <c r="L581" s="11"/>
    </row>
    <row r="582" ht="17" customHeight="1">
      <c r="A582" s="4" t="str">
        <v>D</v>
      </c>
      <c r="B582" s="4" t="str">
        <v>Плоское днище — D</v>
      </c>
      <c r="C582" s="4"/>
      <c r="D582" s="4"/>
      <c r="E582" s="19" t="n">
        <v>1</v>
      </c>
      <c r="F582" s="11"/>
      <c r="G582" s="17" t="n">
        <f>2000</f>
        <v>2000</v>
      </c>
      <c r="H582" s="11"/>
      <c r="I582" s="17" t="n">
        <f>'Расчёт'!$C$392</f>
        <v>17</v>
      </c>
      <c r="J582" s="11"/>
      <c r="K582" s="17" t="n">
        <f>0</f>
        <v>0</v>
      </c>
      <c r="L582" s="11"/>
    </row>
    <row r="583" ht="17" customHeight="1">
      <c r="A583" s="4" t="str">
        <v>E</v>
      </c>
      <c r="B583" s="4" t="str">
        <v>Плоское днище — E</v>
      </c>
      <c r="C583" s="4"/>
      <c r="D583" s="4"/>
      <c r="E583" s="19" t="n">
        <v>1</v>
      </c>
      <c r="F583" s="11"/>
      <c r="G583" s="17" t="n">
        <f>2000</f>
        <v>2000</v>
      </c>
      <c r="H583" s="11"/>
      <c r="I583" s="17" t="n">
        <f>'Расчёт'!$C$393</f>
        <v>17</v>
      </c>
      <c r="J583" s="11"/>
      <c r="K583" s="17" t="n">
        <f>0</f>
        <v>0</v>
      </c>
      <c r="L583" s="11"/>
    </row>
    <row r="584" ht="17" customHeight="1">
      <c r="A584" s="4" t="str">
        <v>F₁</v>
      </c>
      <c r="B584" s="4" t="str">
        <v>Пояс F — плоская часть</v>
      </c>
      <c r="C584" s="4"/>
      <c r="D584" s="4"/>
      <c r="E584" s="19" t="n">
        <v>1</v>
      </c>
      <c r="F584" s="11"/>
      <c r="G584" s="17" t="n">
        <f>('Расчёт'!$F$21/2-'Расчёт'!$F$28)*1000-SUM('Расчёт'!$G$578,'Расчёт'!$G$579,'Расчёт'!$G$580,'Расчёт'!$G$581,'Расчёт'!$G$582,'Расчёт'!$G$583)</f>
        <v>1175</v>
      </c>
      <c r="H584" s="11"/>
      <c r="I584" s="17" t="n">
        <f>'Расчёт'!$C$394</f>
        <v>17</v>
      </c>
      <c r="J584" s="11"/>
      <c r="K584" s="17" t="n">
        <f>0</f>
        <v>0</v>
      </c>
      <c r="L584" s="11"/>
    </row>
    <row r="585" ht="17" customHeight="1">
      <c r="A585" s="4" t="str">
        <v>F₂</v>
      </c>
      <c r="B585" s="4" t="str">
        <v>Пояс F — скуловая дуга</v>
      </c>
      <c r="C585" s="4"/>
      <c r="D585" s="4"/>
      <c r="E585" s="19" t="n">
        <v>1</v>
      </c>
      <c r="F585" s="11"/>
      <c r="G585" s="17" t="n">
        <f>2000-'Расчёт'!$G$584</f>
        <v>825</v>
      </c>
      <c r="H585" s="11"/>
      <c r="I585" s="17" t="n">
        <f>'Расчёт'!$C$394</f>
        <v>17</v>
      </c>
      <c r="J585" s="11"/>
      <c r="K585" s="17" t="n">
        <f>('Расчёт'!$F$28*100)*(1-SIN(('Расчёт'!$G$585/('Расчёт'!$F$28*1000)))/('Расчёт'!$G$585/('Расчёт'!$F$28*1000)))</f>
        <v>7.21557815344689</v>
      </c>
      <c r="L585" s="11"/>
    </row>
    <row r="586" ht="17" customHeight="1">
      <c r="A586" s="4" t="str">
        <v>G₁</v>
      </c>
      <c r="B586" s="4" t="str">
        <v>Пояс G — скуловая дуга</v>
      </c>
      <c r="C586" s="4"/>
      <c r="D586" s="4"/>
      <c r="E586" s="19" t="n">
        <v>1</v>
      </c>
      <c r="F586" s="11"/>
      <c r="G586" s="17" t="n">
        <f>'Расчёт'!$F$28*1000*PI()/2-'Расчёт'!$G$585</f>
        <v>1609.7343065320897</v>
      </c>
      <c r="H586" s="11"/>
      <c r="I586" s="17" t="n">
        <f>'Расчёт'!$C$395</f>
        <v>17</v>
      </c>
      <c r="J586" s="11"/>
      <c r="K586" s="17" t="n">
        <f>('Расчёт'!$F$28*100)*(1-((1-SIN(('Расчёт'!$G$585/('Расчёт'!$F$28*1000))))/(PI()/2-('Расчёт'!$G$585/('Расчёт'!$F$28*1000)))))</f>
        <v>81.49230901246568</v>
      </c>
      <c r="L586" s="11"/>
    </row>
    <row r="587" ht="17" customHeight="1">
      <c r="A587" s="4" t="str">
        <v>G₂</v>
      </c>
      <c r="B587" s="4" t="str">
        <v>Пояс G — вертикальная часть</v>
      </c>
      <c r="C587" s="4"/>
      <c r="D587" s="4"/>
      <c r="E587" s="19" t="n">
        <v>1</v>
      </c>
      <c r="F587" s="11"/>
      <c r="G587" s="17" t="n">
        <f>2000-'Расчёт'!$G$586</f>
        <v>390.2656934679103</v>
      </c>
      <c r="H587" s="11"/>
      <c r="I587" s="17" t="n">
        <f>'Расчёт'!$C$395</f>
        <v>17</v>
      </c>
      <c r="J587" s="11"/>
      <c r="K587" s="17" t="n">
        <f>('Расчёт'!$F$28*100)+'Расчёт'!$G$587/20</f>
        <v>174.5132846733955</v>
      </c>
      <c r="L587" s="11"/>
    </row>
    <row r="588" ht="17" customHeight="1">
      <c r="A588" s="4" t="str">
        <v>H</v>
      </c>
      <c r="B588" s="4" t="str">
        <v>Борт — H</v>
      </c>
      <c r="C588" s="4"/>
      <c r="D588" s="4"/>
      <c r="E588" s="19" t="n">
        <v>1</v>
      </c>
      <c r="F588" s="11"/>
      <c r="G588" s="17" t="n">
        <f>2000</f>
        <v>2000</v>
      </c>
      <c r="H588" s="11"/>
      <c r="I588" s="17" t="n">
        <f>'Расчёт'!$C$396</f>
        <v>16</v>
      </c>
      <c r="J588" s="11"/>
      <c r="K588" s="17" t="n">
        <f>'Расчёт'!$K$587+('Расчёт'!$G$587+'Расчёт'!$G$588)/20</f>
        <v>294.026569346791</v>
      </c>
      <c r="L588" s="11"/>
    </row>
    <row r="589" ht="17" customHeight="1">
      <c r="A589" s="4" t="str">
        <v>I</v>
      </c>
      <c r="B589" s="4" t="str">
        <v>Борт — I</v>
      </c>
      <c r="C589" s="4"/>
      <c r="D589" s="4"/>
      <c r="E589" s="19" t="n">
        <v>1</v>
      </c>
      <c r="F589" s="11"/>
      <c r="G589" s="17" t="n">
        <f>2000</f>
        <v>2000</v>
      </c>
      <c r="H589" s="11"/>
      <c r="I589" s="17" t="n">
        <f>'Расчёт'!$C$397</f>
        <v>16</v>
      </c>
      <c r="J589" s="11"/>
      <c r="K589" s="17" t="n">
        <f>'Расчёт'!$K$588+('Расчёт'!$G$588+'Расчёт'!$G$589)/20</f>
        <v>494.026569346791</v>
      </c>
      <c r="L589" s="11"/>
    </row>
    <row r="590" ht="17" customHeight="1">
      <c r="A590" s="4" t="str">
        <v>J</v>
      </c>
      <c r="B590" s="4" t="str">
        <v>Борт — J</v>
      </c>
      <c r="C590" s="4"/>
      <c r="D590" s="4"/>
      <c r="E590" s="19" t="n">
        <v>1</v>
      </c>
      <c r="F590" s="11"/>
      <c r="G590" s="17" t="n">
        <f>2000</f>
        <v>2000</v>
      </c>
      <c r="H590" s="11"/>
      <c r="I590" s="17" t="n">
        <f>'Расчёт'!$C$398</f>
        <v>15</v>
      </c>
      <c r="J590" s="11"/>
      <c r="K590" s="17" t="n">
        <f>'Расчёт'!$K$589+('Расчёт'!$G$589+'Расчёт'!$G$590)/20</f>
        <v>694.026569346791</v>
      </c>
      <c r="L590" s="11"/>
    </row>
    <row r="591" ht="17" customHeight="1">
      <c r="A591" s="4" t="str">
        <v>K</v>
      </c>
      <c r="B591" s="4" t="str">
        <v>Борт — K</v>
      </c>
      <c r="C591" s="4"/>
      <c r="D591" s="4"/>
      <c r="E591" s="19" t="n">
        <v>1</v>
      </c>
      <c r="F591" s="11"/>
      <c r="G591" s="17" t="n">
        <f>2000</f>
        <v>2000</v>
      </c>
      <c r="H591" s="11"/>
      <c r="I591" s="17" t="n">
        <f>'Расчёт'!$C$399</f>
        <v>14</v>
      </c>
      <c r="J591" s="11"/>
      <c r="K591" s="17" t="n">
        <f>'Расчёт'!$K$590+('Расчёт'!$G$590+'Расчёт'!$G$591)/20</f>
        <v>894.026569346791</v>
      </c>
      <c r="L591" s="11"/>
    </row>
    <row r="592" ht="17" customHeight="1">
      <c r="A592" s="4" t="str">
        <v>L</v>
      </c>
      <c r="B592" s="4" t="str">
        <v>Борт — L</v>
      </c>
      <c r="C592" s="4"/>
      <c r="D592" s="4"/>
      <c r="E592" s="19" t="n">
        <v>1</v>
      </c>
      <c r="F592" s="11"/>
      <c r="G592" s="17" t="n">
        <f>2000</f>
        <v>2000</v>
      </c>
      <c r="H592" s="11"/>
      <c r="I592" s="17" t="n">
        <f>'Расчёт'!$C$400</f>
        <v>13</v>
      </c>
      <c r="J592" s="11"/>
      <c r="K592" s="17" t="n">
        <f>'Расчёт'!$K$591+('Расчёт'!$G$591+'Расчёт'!$G$592)/20</f>
        <v>1094.026569346791</v>
      </c>
      <c r="L592" s="11"/>
    </row>
    <row r="593" ht="17" customHeight="1">
      <c r="A593" s="4" t="str">
        <v>M</v>
      </c>
      <c r="B593" s="4" t="str">
        <v>Борт — M</v>
      </c>
      <c r="C593" s="4"/>
      <c r="D593" s="4"/>
      <c r="E593" s="19" t="n">
        <v>1</v>
      </c>
      <c r="F593" s="11"/>
      <c r="G593" s="17" t="n">
        <f>('Расчёт'!$F$22*1000-'Расчёт'!$F$61*1000-('Расчёт'!$K$592*10+'Расчёт'!$G$592/2))/2</f>
        <v>1004.8671532660455</v>
      </c>
      <c r="H593" s="11"/>
      <c r="I593" s="17" t="n">
        <f>'Расчёт'!$C$401</f>
        <v>12</v>
      </c>
      <c r="J593" s="11"/>
      <c r="K593" s="17" t="n">
        <f>'Расчёт'!$K$592+('Расчёт'!$G$592+'Расчёт'!$G$593)/20</f>
        <v>1244.2699270100932</v>
      </c>
      <c r="L593" s="11"/>
    </row>
    <row r="594" ht="17" customHeight="1">
      <c r="A594" s="4" t="str">
        <v>N</v>
      </c>
      <c r="B594" s="4" t="str">
        <v>Борт — N</v>
      </c>
      <c r="C594" s="4"/>
      <c r="D594" s="4"/>
      <c r="E594" s="19" t="n">
        <v>1</v>
      </c>
      <c r="F594" s="11"/>
      <c r="G594" s="17" t="n">
        <f>'Расчёт'!$G$593</f>
        <v>1004.8671532660455</v>
      </c>
      <c r="H594" s="11"/>
      <c r="I594" s="17" t="n">
        <f>'Расчёт'!$C$402</f>
        <v>12</v>
      </c>
      <c r="J594" s="11"/>
      <c r="K594" s="17" t="n">
        <f>'Расчёт'!$K$593+('Расчёт'!$G$593+'Расчёт'!$G$594)/20</f>
        <v>1344.7566423366977</v>
      </c>
      <c r="L594" s="11"/>
    </row>
    <row r="595" ht="17" customHeight="1">
      <c r="A595" s="4" t="str">
        <v>SH</v>
      </c>
      <c r="B595" s="4" t="str">
        <v>Ширстрек</v>
      </c>
      <c r="C595" s="4"/>
      <c r="D595" s="4"/>
      <c r="E595" s="19" t="n">
        <v>1</v>
      </c>
      <c r="F595" s="11"/>
      <c r="G595" s="17" t="n">
        <f>'Расчёт'!$F$61*1000</f>
        <v>1550</v>
      </c>
      <c r="H595" s="11"/>
      <c r="I595" s="17" t="n">
        <f>'Расчёт'!$C$403</f>
        <v>12</v>
      </c>
      <c r="J595" s="11"/>
      <c r="K595" s="17" t="n">
        <f>'Расчёт'!$K$594+('Расчёт'!$G$594+'Расчёт'!$G$595)/20</f>
        <v>1472.5</v>
      </c>
      <c r="L595" s="11"/>
    </row>
    <row r="596" ht="17" customHeight="1">
      <c r="A596" s="4" t="str">
        <v>IM</v>
      </c>
      <c r="B596" s="4" t="str">
        <v>Крайний лист второго дна</v>
      </c>
      <c r="C596" s="4"/>
      <c r="D596" s="4"/>
      <c r="E596" s="19" t="n">
        <v>1</v>
      </c>
      <c r="F596" s="11"/>
      <c r="G596" s="17" t="n">
        <f>'Расчёт'!$F$27*1000</f>
        <v>2000</v>
      </c>
      <c r="H596" s="11"/>
      <c r="I596" s="17" t="n">
        <f>'Расчёт'!$C$405</f>
        <v>17</v>
      </c>
      <c r="J596" s="11"/>
      <c r="K596" s="17" t="n">
        <f>'Расчёт'!$F$26*100</f>
        <v>180</v>
      </c>
      <c r="L596" s="11"/>
    </row>
    <row r="597" ht="29" customHeight="1">
      <c r="A597" s="4" t="str">
        <v>IB</v>
      </c>
      <c r="B597" s="4" t="str">
        <v>Настил второго дна в грузовом танке</v>
      </c>
      <c r="C597" s="4"/>
      <c r="D597" s="4"/>
      <c r="E597" s="19" t="n">
        <v>1</v>
      </c>
      <c r="F597" s="11"/>
      <c r="G597" s="17" t="n">
        <f>('Расчёт'!$F$21/2-'Расчёт'!$F$27)*1000</f>
        <v>11500</v>
      </c>
      <c r="H597" s="11"/>
      <c r="I597" s="17" t="n">
        <f>'Расчёт'!$C$404</f>
        <v>17</v>
      </c>
      <c r="J597" s="11"/>
      <c r="K597" s="17" t="n">
        <f>'Расчёт'!$F$26*100</f>
        <v>180</v>
      </c>
      <c r="L597" s="11"/>
    </row>
    <row r="598" ht="17" customHeight="1">
      <c r="A598" s="4" t="str">
        <v>DK</v>
      </c>
      <c r="B598" s="4" t="str">
        <v>Половина верхней палубы</v>
      </c>
      <c r="C598" s="4"/>
      <c r="D598" s="4"/>
      <c r="E598" s="19" t="n">
        <v>1</v>
      </c>
      <c r="F598" s="11"/>
      <c r="G598" s="17" t="n">
        <f>SQRT(('Расчёт'!$F$21/2)^2+'Расчёт'!$F$29^2)*1000</f>
        <v>13510.795683452548</v>
      </c>
      <c r="H598" s="11"/>
      <c r="I598" s="17" t="n">
        <f>'Расчёт'!$C$406</f>
        <v>12</v>
      </c>
      <c r="J598" s="11"/>
      <c r="K598" s="17" t="n">
        <f>('Расчёт'!$F$22+'Расчёт'!$F$29/2)*100</f>
        <v>1577</v>
      </c>
      <c r="L598" s="11"/>
    </row>
    <row r="599" ht="17" customHeight="1">
      <c r="A599" s="4" t="str">
        <v>ISG</v>
      </c>
      <c r="B599" s="4" t="str">
        <v>Внутренний борт — ISG</v>
      </c>
      <c r="C599" s="4"/>
      <c r="D599" s="4"/>
      <c r="E599" s="19" t="n">
        <v>1</v>
      </c>
      <c r="F599" s="11"/>
      <c r="G599" s="17" t="n">
        <f>2000</f>
        <v>2000</v>
      </c>
      <c r="H599" s="11"/>
      <c r="I599" s="17" t="n">
        <f>'Расчёт'!$C$407</f>
        <v>16</v>
      </c>
      <c r="J599" s="11"/>
      <c r="K599" s="17" t="n">
        <f>'Расчёт'!$F$26*100+'Расчёт'!$G$599/20</f>
        <v>280</v>
      </c>
      <c r="L599" s="11"/>
    </row>
    <row r="600" ht="17" customHeight="1">
      <c r="A600" s="4" t="str">
        <v>ISF</v>
      </c>
      <c r="B600" s="4" t="str">
        <v>Внутренний борт — ISF</v>
      </c>
      <c r="C600" s="4"/>
      <c r="D600" s="4"/>
      <c r="E600" s="19" t="n">
        <v>1</v>
      </c>
      <c r="F600" s="11"/>
      <c r="G600" s="17" t="n">
        <f>2000</f>
        <v>2000</v>
      </c>
      <c r="H600" s="11"/>
      <c r="I600" s="17" t="n">
        <f>'Расчёт'!$C$408</f>
        <v>15</v>
      </c>
      <c r="J600" s="11"/>
      <c r="K600" s="17" t="n">
        <f>'Расчёт'!$K$599+('Расчёт'!$G$599+'Расчёт'!$G$600)/20</f>
        <v>480</v>
      </c>
      <c r="L600" s="11"/>
    </row>
    <row r="601" ht="17" customHeight="1">
      <c r="A601" s="4" t="str">
        <v>ISE</v>
      </c>
      <c r="B601" s="4" t="str">
        <v>Внутренний борт — ISE</v>
      </c>
      <c r="C601" s="4"/>
      <c r="D601" s="4"/>
      <c r="E601" s="19" t="n">
        <v>1</v>
      </c>
      <c r="F601" s="11"/>
      <c r="G601" s="17" t="n">
        <f>2000</f>
        <v>2000</v>
      </c>
      <c r="H601" s="11"/>
      <c r="I601" s="17" t="n">
        <f>'Расчёт'!$C$409</f>
        <v>14</v>
      </c>
      <c r="J601" s="11"/>
      <c r="K601" s="17" t="n">
        <f>'Расчёт'!$K$600+('Расчёт'!$G$600+'Расчёт'!$G$601)/20</f>
        <v>680</v>
      </c>
      <c r="L601" s="11"/>
    </row>
    <row r="602" ht="17" customHeight="1">
      <c r="A602" s="4" t="str">
        <v>ISD</v>
      </c>
      <c r="B602" s="4" t="str">
        <v>Внутренний борт — ISD</v>
      </c>
      <c r="C602" s="4"/>
      <c r="D602" s="4"/>
      <c r="E602" s="19" t="n">
        <v>1</v>
      </c>
      <c r="F602" s="11"/>
      <c r="G602" s="17" t="n">
        <f>2000</f>
        <v>2000</v>
      </c>
      <c r="H602" s="11"/>
      <c r="I602" s="17" t="n">
        <f>'Расчёт'!$C$410</f>
        <v>13</v>
      </c>
      <c r="J602" s="11"/>
      <c r="K602" s="17" t="n">
        <f>'Расчёт'!$K$601+('Расчёт'!$G$601+'Расчёт'!$G$602)/20</f>
        <v>880</v>
      </c>
      <c r="L602" s="11"/>
    </row>
    <row r="603" ht="17" customHeight="1">
      <c r="A603" s="4" t="str">
        <v>ISC</v>
      </c>
      <c r="B603" s="4" t="str">
        <v>Внутренний борт — ISC</v>
      </c>
      <c r="C603" s="4"/>
      <c r="D603" s="4"/>
      <c r="E603" s="19" t="n">
        <v>1</v>
      </c>
      <c r="F603" s="11"/>
      <c r="G603" s="17" t="n">
        <f>2000</f>
        <v>2000</v>
      </c>
      <c r="H603" s="11"/>
      <c r="I603" s="17" t="n">
        <f>'Расчёт'!$C$411</f>
        <v>13</v>
      </c>
      <c r="J603" s="11"/>
      <c r="K603" s="17" t="n">
        <f>'Расчёт'!$K$602+('Расчёт'!$G$602+'Расчёт'!$G$603)/20</f>
        <v>1080</v>
      </c>
      <c r="L603" s="11"/>
    </row>
    <row r="604" ht="17" customHeight="1">
      <c r="A604" s="4" t="str">
        <v>ISB</v>
      </c>
      <c r="B604" s="4" t="str">
        <v>Внутренний борт — ISB</v>
      </c>
      <c r="C604" s="4"/>
      <c r="D604" s="4"/>
      <c r="E604" s="19" t="n">
        <v>1</v>
      </c>
      <c r="F604" s="11"/>
      <c r="G604" s="17" t="n">
        <f>2000</f>
        <v>2000</v>
      </c>
      <c r="H604" s="11"/>
      <c r="I604" s="17" t="n">
        <f>'Расчёт'!$C$412</f>
        <v>12</v>
      </c>
      <c r="J604" s="11"/>
      <c r="K604" s="17" t="n">
        <f>'Расчёт'!$K$603+('Расчёт'!$G$603+'Расчёт'!$G$604)/20</f>
        <v>1280</v>
      </c>
      <c r="L604" s="11"/>
    </row>
    <row r="605" ht="17" customHeight="1">
      <c r="A605" s="4" t="str">
        <v>ISA</v>
      </c>
      <c r="B605" s="4" t="str">
        <v>Внутренний борт — ISA</v>
      </c>
      <c r="C605" s="4"/>
      <c r="D605" s="4"/>
      <c r="E605" s="19" t="n">
        <v>1</v>
      </c>
      <c r="F605" s="11"/>
      <c r="G605" s="17" t="n">
        <f>('Расчёт'!$F$22+'Расчёт'!$F$29*'Расчёт'!$F$27/('Расчёт'!$F$21/2)-'Расчёт'!$F$26)*1000-12000</f>
        <v>1780</v>
      </c>
      <c r="H605" s="11"/>
      <c r="I605" s="17" t="n">
        <f>'Расчёт'!$C$413</f>
        <v>12</v>
      </c>
      <c r="J605" s="11"/>
      <c r="K605" s="17" t="n">
        <f>'Расчёт'!$K$604+('Расчёт'!$G$604+'Расчёт'!$G$605)/20</f>
        <v>1469</v>
      </c>
      <c r="L605" s="11"/>
    </row>
    <row r="606" ht="17" customHeight="1">
      <c r="A606" s="4" t="str">
        <v>VK</v>
      </c>
      <c r="B606" s="4" t="str">
        <v>Вертикальный киль</v>
      </c>
      <c r="C606" s="4"/>
      <c r="D606" s="4"/>
      <c r="E606" s="19" t="n">
        <v>0.5</v>
      </c>
      <c r="F606" s="11"/>
      <c r="G606" s="17" t="n">
        <f>'Расчёт'!$F$26*1000</f>
        <v>1800</v>
      </c>
      <c r="H606" s="11"/>
      <c r="I606" s="17" t="n">
        <f>'Расчёт'!$I$475</f>
        <v>17</v>
      </c>
      <c r="J606" s="11"/>
      <c r="K606" s="17" t="n">
        <f>'Расчёт'!$F$26*50</f>
        <v>90</v>
      </c>
      <c r="L606" s="11"/>
    </row>
    <row r="607" ht="29" customHeight="1">
      <c r="A607" s="4" t="str">
        <v>ST</v>
      </c>
      <c r="B607" s="4" t="str">
        <v>Стрингер под внутренним бортом</v>
      </c>
      <c r="C607" s="4"/>
      <c r="D607" s="4"/>
      <c r="E607" s="19" t="n">
        <v>1</v>
      </c>
      <c r="F607" s="11"/>
      <c r="G607" s="17" t="n">
        <f>'Расчёт'!$F$26*1000</f>
        <v>1800</v>
      </c>
      <c r="H607" s="11"/>
      <c r="I607" s="17" t="n">
        <f>'Расчёт'!$I$476</f>
        <v>17</v>
      </c>
      <c r="J607" s="11"/>
      <c r="K607" s="17" t="n">
        <f>'Расчёт'!$F$26*50</f>
        <v>90</v>
      </c>
      <c r="L607" s="11"/>
    </row>
    <row r="608" ht="17" customHeight="1">
      <c r="A608" s="4" t="str">
        <v>B-L</v>
      </c>
      <c r="B608" s="4" t="str">
        <v>Продольные балки днища</v>
      </c>
      <c r="C608" s="4"/>
      <c r="D608" s="4"/>
      <c r="E608" s="19" t="n">
        <v>14</v>
      </c>
      <c r="F608" s="11"/>
      <c r="G608" s="4" t="str">
        <f>'Расчёт'!$C$457</f>
        <v>HP 300x11</v>
      </c>
      <c r="H608" s="4"/>
      <c r="I608" s="17" t="n">
        <f>'Сортамент HP'!$E$16</f>
        <v>11</v>
      </c>
      <c r="J608" s="11"/>
      <c r="K608" s="17" t="n">
        <f>'Сортамент HP'!$J$16</f>
        <v>18.9</v>
      </c>
      <c r="L608" s="11"/>
    </row>
    <row r="609" ht="29" customHeight="1">
      <c r="A609" s="4" t="str">
        <v>IB-L</v>
      </c>
      <c r="B609" s="4" t="str">
        <v>Продольные балки второго дна</v>
      </c>
      <c r="C609" s="4"/>
      <c r="D609" s="4"/>
      <c r="E609" s="19" t="n">
        <v>14</v>
      </c>
      <c r="F609" s="11"/>
      <c r="G609" s="4" t="str">
        <f>'Расчёт'!$C$458</f>
        <v>HP 280x11</v>
      </c>
      <c r="H609" s="4"/>
      <c r="I609" s="17" t="n">
        <f>'Сортамент HP'!$E$14</f>
        <v>11</v>
      </c>
      <c r="J609" s="11"/>
      <c r="K609" s="17" t="n">
        <f>'Расчёт'!$F$26*100-'Сортамент HP'!$J$14</f>
        <v>162.6</v>
      </c>
      <c r="L609" s="11"/>
    </row>
    <row r="610" ht="29" customHeight="1">
      <c r="A610" s="4" t="str">
        <v>DW1</v>
      </c>
      <c r="B610" s="4" t="str">
        <v>Палуба над двойным бортом — пара 1</v>
      </c>
      <c r="C610" s="4"/>
      <c r="D610" s="4"/>
      <c r="E610" s="19" t="n">
        <v>1</v>
      </c>
      <c r="F610" s="11"/>
      <c r="G610" s="4" t="str">
        <f>'Расчёт'!$C$554</f>
        <v>HP 180x10</v>
      </c>
      <c r="H610" s="4"/>
      <c r="I610" s="17" t="n">
        <f>'Сортамент HP'!$E$3</f>
        <v>10</v>
      </c>
      <c r="J610" s="11"/>
      <c r="K610" s="17" t="n">
        <f>('Расчёт'!$F$22+'Расчёт'!$F$29*(('Расчёт'!$F$27-'Расчёт'!$E$545)/2)/('Расчёт'!$F$21/2))*100-'Сортамент HP'!$J$3</f>
        <v>1542</v>
      </c>
      <c r="L610" s="11"/>
    </row>
    <row r="611" ht="29" customHeight="1">
      <c r="A611" s="4" t="str">
        <v>DW2</v>
      </c>
      <c r="B611" s="4" t="str">
        <v>Палуба над двойным бортом — пара 2</v>
      </c>
      <c r="C611" s="4"/>
      <c r="D611" s="4"/>
      <c r="E611" s="19" t="n">
        <v>1</v>
      </c>
      <c r="F611" s="11"/>
      <c r="G611" s="4" t="str">
        <f>'Расчёт'!$C$554</f>
        <v>HP 180x10</v>
      </c>
      <c r="H611" s="4"/>
      <c r="I611" s="17" t="n">
        <f>'Сортамент HP'!$E$3</f>
        <v>10</v>
      </c>
      <c r="J611" s="11"/>
      <c r="K611" s="17" t="n">
        <f>('Расчёт'!$F$22+'Расчёт'!$F$29*(('Расчёт'!$F$27+'Расчёт'!$E$545)/2)/('Расчёт'!$F$21/2))*100-'Сортамент HP'!$J$3</f>
        <v>1544.8000000000002</v>
      </c>
      <c r="L611" s="11"/>
    </row>
    <row r="612" ht="29" customHeight="1">
      <c r="A612" s="4" t="str">
        <v>DL1</v>
      </c>
      <c r="B612" s="4" t="str">
        <v>Палуба над грузовым танком — пара 1</v>
      </c>
      <c r="C612" s="4"/>
      <c r="D612" s="4"/>
      <c r="E612" s="19" t="n">
        <v>1</v>
      </c>
      <c r="F612" s="11"/>
      <c r="G612" s="4" t="str">
        <f>'Расчёт'!$C$553</f>
        <v>HP 200x10</v>
      </c>
      <c r="H612" s="4"/>
      <c r="I612" s="17" t="n">
        <f>'Сортамент HP'!$E$4</f>
        <v>10</v>
      </c>
      <c r="J612" s="11"/>
      <c r="K612" s="17" t="n">
        <f>('Расчёт'!$F$22+'Расчёт'!$F$29*('Расчёт'!$F$27+'Расчёт'!$J$67/1000)/('Расчёт'!$F$21/2))*100-'Сортамент HP'!$J$4</f>
        <v>1549.3</v>
      </c>
      <c r="L612" s="11"/>
    </row>
    <row r="613" ht="29" customHeight="1">
      <c r="A613" s="4" t="str">
        <v>DL2</v>
      </c>
      <c r="B613" s="4" t="str">
        <v>Палуба над грузовым танком — пара 2</v>
      </c>
      <c r="C613" s="4"/>
      <c r="D613" s="4"/>
      <c r="E613" s="19" t="n">
        <v>1</v>
      </c>
      <c r="F613" s="11"/>
      <c r="G613" s="4" t="str">
        <f>'Расчёт'!$C$553</f>
        <v>HP 200x10</v>
      </c>
      <c r="H613" s="4"/>
      <c r="I613" s="17" t="n">
        <f>'Сортамент HP'!$E$4</f>
        <v>10</v>
      </c>
      <c r="J613" s="11"/>
      <c r="K613" s="17" t="n">
        <f>('Расчёт'!$F$22+'Расчёт'!$F$29*('Расчёт'!$F$27+'Расчёт'!$J$68/1000)/('Расчёт'!$F$21/2))*100-'Сортамент HP'!$J$4</f>
        <v>1552.5</v>
      </c>
      <c r="L613" s="11"/>
    </row>
    <row r="614" ht="29" customHeight="1">
      <c r="A614" s="4" t="str">
        <v>DL3</v>
      </c>
      <c r="B614" s="4" t="str">
        <v>Палуба над грузовым танком — пара 3</v>
      </c>
      <c r="C614" s="4"/>
      <c r="D614" s="4"/>
      <c r="E614" s="19" t="n">
        <v>1</v>
      </c>
      <c r="F614" s="11"/>
      <c r="G614" s="4" t="str">
        <f>'Расчёт'!$C$553</f>
        <v>HP 200x10</v>
      </c>
      <c r="H614" s="4"/>
      <c r="I614" s="17" t="n">
        <f>'Сортамент HP'!$E$4</f>
        <v>10</v>
      </c>
      <c r="J614" s="11"/>
      <c r="K614" s="17" t="n">
        <f>('Расчёт'!$F$22+'Расчёт'!$F$29*('Расчёт'!$F$27+'Расчёт'!$J$69/1000)/('Расчёт'!$F$21/2))*100-'Сортамент HP'!$J$4</f>
        <v>1555.4999999999998</v>
      </c>
      <c r="L614" s="11"/>
    </row>
    <row r="615" ht="29" customHeight="1">
      <c r="A615" s="4" t="str">
        <v>DL4</v>
      </c>
      <c r="B615" s="4" t="str">
        <v>Палуба над грузовым танком — пара 4</v>
      </c>
      <c r="C615" s="4"/>
      <c r="D615" s="4"/>
      <c r="E615" s="19" t="n">
        <v>1</v>
      </c>
      <c r="F615" s="11"/>
      <c r="G615" s="4" t="str">
        <f>'Расчёт'!$C$553</f>
        <v>HP 200x10</v>
      </c>
      <c r="H615" s="4"/>
      <c r="I615" s="17" t="n">
        <f>'Сортамент HP'!$E$4</f>
        <v>10</v>
      </c>
      <c r="J615" s="11"/>
      <c r="K615" s="17" t="n">
        <f>('Расчёт'!$F$22+'Расчёт'!$F$29*('Расчёт'!$F$27+'Расчёт'!$J$70/1000)/('Расчёт'!$F$21/2))*100-'Сортамент HP'!$J$4</f>
        <v>1558.5</v>
      </c>
      <c r="L615" s="11"/>
    </row>
    <row r="616" ht="29" customHeight="1">
      <c r="A616" s="4" t="str">
        <v>DL5</v>
      </c>
      <c r="B616" s="4" t="str">
        <v>Палуба над грузовым танком — пара 5</v>
      </c>
      <c r="C616" s="4"/>
      <c r="D616" s="4"/>
      <c r="E616" s="19" t="n">
        <v>1</v>
      </c>
      <c r="F616" s="11"/>
      <c r="G616" s="4" t="str">
        <f>'Расчёт'!$C$553</f>
        <v>HP 200x10</v>
      </c>
      <c r="H616" s="4"/>
      <c r="I616" s="17" t="n">
        <f>'Сортамент HP'!$E$4</f>
        <v>10</v>
      </c>
      <c r="J616" s="11"/>
      <c r="K616" s="17" t="n">
        <f>('Расчёт'!$F$22+'Расчёт'!$F$29*('Расчёт'!$F$27+'Расчёт'!$J$71/1000)/('Расчёт'!$F$21/2))*100-'Сортамент HP'!$J$4</f>
        <v>1561.5</v>
      </c>
      <c r="L616" s="11"/>
    </row>
    <row r="617" ht="29" customHeight="1">
      <c r="A617" s="4" t="str">
        <v>DL6</v>
      </c>
      <c r="B617" s="4" t="str">
        <v>Палуба над грузовым танком — пара 6</v>
      </c>
      <c r="C617" s="4"/>
      <c r="D617" s="4"/>
      <c r="E617" s="19" t="n">
        <v>1</v>
      </c>
      <c r="F617" s="11"/>
      <c r="G617" s="4" t="str">
        <f>'Расчёт'!$C$553</f>
        <v>HP 200x10</v>
      </c>
      <c r="H617" s="4"/>
      <c r="I617" s="17" t="n">
        <f>'Сортамент HP'!$E$4</f>
        <v>10</v>
      </c>
      <c r="J617" s="11"/>
      <c r="K617" s="17" t="n">
        <f>('Расчёт'!$F$22+'Расчёт'!$F$29*('Расчёт'!$F$27+'Расчёт'!$J$72/1000)/('Расчёт'!$F$21/2))*100-'Сортамент HP'!$J$4</f>
        <v>1564.4999999999998</v>
      </c>
      <c r="L617" s="11"/>
    </row>
    <row r="618" ht="29" customHeight="1">
      <c r="A618" s="4" t="str">
        <v>DL7</v>
      </c>
      <c r="B618" s="4" t="str">
        <v>Палуба над грузовым танком — пара 7</v>
      </c>
      <c r="C618" s="4"/>
      <c r="D618" s="4"/>
      <c r="E618" s="19" t="n">
        <v>1</v>
      </c>
      <c r="F618" s="11"/>
      <c r="G618" s="4" t="str">
        <f>'Расчёт'!$C$553</f>
        <v>HP 200x10</v>
      </c>
      <c r="H618" s="4"/>
      <c r="I618" s="17" t="n">
        <f>'Сортамент HP'!$E$4</f>
        <v>10</v>
      </c>
      <c r="J618" s="11"/>
      <c r="K618" s="17" t="n">
        <f>('Расчёт'!$F$22+'Расчёт'!$F$29*('Расчёт'!$F$27+'Расчёт'!$J$73/1000)/('Расчёт'!$F$21/2))*100-'Сортамент HP'!$J$4</f>
        <v>1567.5</v>
      </c>
      <c r="L618" s="11"/>
    </row>
    <row r="619" ht="29" customHeight="1">
      <c r="A619" s="4" t="str">
        <v>DL8</v>
      </c>
      <c r="B619" s="4" t="str">
        <v>Палуба над грузовым танком — пара 8</v>
      </c>
      <c r="C619" s="4"/>
      <c r="D619" s="4"/>
      <c r="E619" s="19" t="n">
        <v>1</v>
      </c>
      <c r="F619" s="11"/>
      <c r="G619" s="4" t="str">
        <f>'Расчёт'!$C$553</f>
        <v>HP 200x10</v>
      </c>
      <c r="H619" s="4"/>
      <c r="I619" s="17" t="n">
        <f>'Сортамент HP'!$E$4</f>
        <v>10</v>
      </c>
      <c r="J619" s="11"/>
      <c r="K619" s="17" t="n">
        <f>('Расчёт'!$F$22+'Расчёт'!$F$29*('Расчёт'!$F$27+'Расчёт'!$J$74/1000)/('Расчёт'!$F$21/2))*100-'Сортамент HP'!$J$4</f>
        <v>1570.7</v>
      </c>
      <c r="L619" s="11"/>
    </row>
    <row r="620" ht="29" customHeight="1">
      <c r="A620" s="4" t="str">
        <v>DL9</v>
      </c>
      <c r="B620" s="4" t="str">
        <v>Палуба над грузовым танком — пара 9</v>
      </c>
      <c r="C620" s="4"/>
      <c r="D620" s="4"/>
      <c r="E620" s="19" t="n">
        <v>1</v>
      </c>
      <c r="F620" s="11"/>
      <c r="G620" s="4" t="str">
        <f>'Расчёт'!$C$553</f>
        <v>HP 200x10</v>
      </c>
      <c r="H620" s="4"/>
      <c r="I620" s="17" t="n">
        <f>'Сортамент HP'!$E$4</f>
        <v>10</v>
      </c>
      <c r="J620" s="11"/>
      <c r="K620" s="17" t="n">
        <f>('Расчёт'!$F$22+'Расчёт'!$F$29*('Расчёт'!$F$27+'Расчёт'!$J$75/1000)/('Расчёт'!$F$21/2))*100-'Сортамент HP'!$J$4</f>
        <v>1573.6999999999998</v>
      </c>
      <c r="L620" s="11"/>
    </row>
    <row r="621" ht="29" customHeight="1">
      <c r="A621" s="4" t="str">
        <v>DL10</v>
      </c>
      <c r="B621" s="4" t="str">
        <v>Палуба над грузовым танком — пара 10</v>
      </c>
      <c r="C621" s="4"/>
      <c r="D621" s="4"/>
      <c r="E621" s="19" t="n">
        <v>1</v>
      </c>
      <c r="F621" s="11"/>
      <c r="G621" s="4" t="str">
        <f>'Расчёт'!$C$553</f>
        <v>HP 200x10</v>
      </c>
      <c r="H621" s="4"/>
      <c r="I621" s="17" t="n">
        <f>'Сортамент HP'!$E$4</f>
        <v>10</v>
      </c>
      <c r="J621" s="11"/>
      <c r="K621" s="17" t="n">
        <f>('Расчёт'!$F$22+'Расчёт'!$F$29*('Расчёт'!$F$27+'Расчёт'!$J$76/1000)/('Расчёт'!$F$21/2))*100-'Сортамент HP'!$J$4</f>
        <v>1576.6999999999998</v>
      </c>
      <c r="L621" s="11"/>
    </row>
    <row r="622" ht="29" customHeight="1">
      <c r="A622" s="4" t="str">
        <v>DL11</v>
      </c>
      <c r="B622" s="4" t="str">
        <v>Палуба над грузовым танком — пара 11</v>
      </c>
      <c r="C622" s="4"/>
      <c r="D622" s="4"/>
      <c r="E622" s="19" t="n">
        <v>1</v>
      </c>
      <c r="F622" s="11"/>
      <c r="G622" s="4" t="str">
        <f>'Расчёт'!$C$553</f>
        <v>HP 200x10</v>
      </c>
      <c r="H622" s="4"/>
      <c r="I622" s="17" t="n">
        <f>'Сортамент HP'!$E$4</f>
        <v>10</v>
      </c>
      <c r="J622" s="11"/>
      <c r="K622" s="17" t="n">
        <f>('Расчёт'!$F$22+'Расчёт'!$F$29*('Расчёт'!$F$27+'Расчёт'!$J$77/1000)/('Расчёт'!$F$21/2))*100-'Сортамент HP'!$J$4</f>
        <v>1579.7</v>
      </c>
      <c r="L622" s="11"/>
    </row>
    <row r="623" ht="29" customHeight="1">
      <c r="A623" s="4" t="str">
        <v>DL12</v>
      </c>
      <c r="B623" s="4" t="str">
        <v>Палуба над грузовым танком — пара 12</v>
      </c>
      <c r="C623" s="4"/>
      <c r="D623" s="4"/>
      <c r="E623" s="19" t="n">
        <v>1</v>
      </c>
      <c r="F623" s="11"/>
      <c r="G623" s="4" t="str">
        <f>'Расчёт'!$C$553</f>
        <v>HP 200x10</v>
      </c>
      <c r="H623" s="4"/>
      <c r="I623" s="17" t="n">
        <f>'Сортамент HP'!$E$4</f>
        <v>10</v>
      </c>
      <c r="J623" s="11"/>
      <c r="K623" s="17" t="n">
        <f>('Расчёт'!$F$22+'Расчёт'!$F$29*('Расчёт'!$F$27+'Расчёт'!$J$78/1000)/('Расчёт'!$F$21/2))*100-'Сортамент HP'!$J$4</f>
        <v>1582.6999999999998</v>
      </c>
      <c r="L623" s="11"/>
    </row>
    <row r="624" ht="29" customHeight="1">
      <c r="A624" s="4" t="str">
        <v>DL13</v>
      </c>
      <c r="B624" s="4" t="str">
        <v>Палуба над грузовым танком — пара 13</v>
      </c>
      <c r="C624" s="4"/>
      <c r="D624" s="4"/>
      <c r="E624" s="19" t="n">
        <v>1</v>
      </c>
      <c r="F624" s="11"/>
      <c r="G624" s="4" t="str">
        <f>'Расчёт'!$C$553</f>
        <v>HP 200x10</v>
      </c>
      <c r="H624" s="4"/>
      <c r="I624" s="17" t="n">
        <f>'Сортамент HP'!$E$4</f>
        <v>10</v>
      </c>
      <c r="J624" s="11"/>
      <c r="K624" s="17" t="n">
        <f>('Расчёт'!$F$22+'Расчёт'!$F$29*('Расчёт'!$F$27+'Расчёт'!$J$79/1000)/('Расчёт'!$F$21/2))*100-'Сортамент HP'!$J$4</f>
        <v>1585.7</v>
      </c>
      <c r="L624" s="11"/>
    </row>
    <row r="625" ht="29" customHeight="1">
      <c r="A625" s="4" t="str">
        <v>DL14</v>
      </c>
      <c r="B625" s="4" t="str">
        <v>Палуба над грузовым танком — пара 14</v>
      </c>
      <c r="C625" s="4"/>
      <c r="D625" s="4"/>
      <c r="E625" s="19" t="n">
        <v>1</v>
      </c>
      <c r="F625" s="11"/>
      <c r="G625" s="4" t="str">
        <f>'Расчёт'!$C$553</f>
        <v>HP 200x10</v>
      </c>
      <c r="H625" s="4"/>
      <c r="I625" s="17" t="n">
        <f>'Сортамент HP'!$E$4</f>
        <v>10</v>
      </c>
      <c r="J625" s="11"/>
      <c r="K625" s="17" t="n">
        <f>('Расчёт'!$F$22+'Расчёт'!$F$29*('Расчёт'!$F$27+'Расчёт'!$J$80/1000)/('Расчёт'!$F$21/2))*100-'Сортамент HP'!$J$4</f>
        <v>1588.8999999999999</v>
      </c>
      <c r="L625" s="11"/>
    </row>
    <row r="626" ht="29" customHeight="1">
      <c r="A626" s="4" t="str">
        <v>Σ</v>
      </c>
      <c r="B626" s="4" t="str">
        <v>Сумма определённых элементов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25" customHeight="1">
      <c r="A627" s="7" t="str">
        <v>Площади и моменты элементов половины сечения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 ht="28" customHeight="1">
      <c r="A628" s="10" t="str">
        <v>Марка</v>
      </c>
      <c r="B628" s="10" t="str">
        <v>A₁, см²</v>
      </c>
      <c r="C628" s="10"/>
      <c r="D628" s="10" t="str">
        <v>i₁, см⁴</v>
      </c>
      <c r="E628" s="10"/>
      <c r="F628" s="10" t="str">
        <v>nA, см²</v>
      </c>
      <c r="G628" s="10" t="str">
        <v>nAz, см³</v>
      </c>
      <c r="H628" s="10"/>
      <c r="I628" s="10" t="str">
        <v>nAz², см⁴</v>
      </c>
      <c r="J628" s="10"/>
      <c r="K628" s="10" t="str">
        <v>ni₁, см⁴</v>
      </c>
      <c r="L628" s="10"/>
    </row>
    <row r="629" ht="17" customHeight="1">
      <c r="A629" s="16" t="str">
        <f>'Расчёт'!$A$578</f>
        <v>KL/2</v>
      </c>
      <c r="B629" s="17" t="n">
        <f>'Расчёт'!$G$578*'Расчёт'!$I$578/100</f>
        <v>147.25</v>
      </c>
      <c r="C629" s="11"/>
      <c r="D629" s="17" t="n">
        <f>'Расчёт'!$G$578*'Расчёт'!$I$578^3/120000</f>
        <v>44.29770833333333</v>
      </c>
      <c r="E629" s="11"/>
      <c r="F629" s="17" t="n">
        <f>'Расчёт'!$E$578*'Расчёт'!$B$629</f>
        <v>147.25</v>
      </c>
      <c r="G629" s="17" t="n">
        <f>'Расчёт'!$F$629*'Расчёт'!$K$578</f>
        <v>0</v>
      </c>
      <c r="H629" s="11"/>
      <c r="I629" s="17" t="n">
        <f>'Расчёт'!$G$629*'Расчёт'!$K$578</f>
        <v>0</v>
      </c>
      <c r="J629" s="11"/>
      <c r="K629" s="17" t="n">
        <f>'Расчёт'!$E$578*'Расчёт'!$D$629</f>
        <v>44.29770833333333</v>
      </c>
      <c r="L629" s="11"/>
    </row>
    <row r="630" ht="17" customHeight="1">
      <c r="A630" s="16" t="str">
        <f>'Расчёт'!$A$579</f>
        <v>A</v>
      </c>
      <c r="B630" s="17" t="n">
        <f>'Расчёт'!$G$579*'Расчёт'!$I$579/100</f>
        <v>340</v>
      </c>
      <c r="C630" s="11"/>
      <c r="D630" s="17" t="n">
        <f>'Расчёт'!$G$579*'Расчёт'!$I$579^3/120000</f>
        <v>81.88333333333334</v>
      </c>
      <c r="E630" s="11"/>
      <c r="F630" s="17" t="n">
        <f>'Расчёт'!$E$579*'Расчёт'!$B$630</f>
        <v>340</v>
      </c>
      <c r="G630" s="17" t="n">
        <f>'Расчёт'!$F$630*'Расчёт'!$K$579</f>
        <v>0</v>
      </c>
      <c r="H630" s="11"/>
      <c r="I630" s="17" t="n">
        <f>'Расчёт'!$G$630*'Расчёт'!$K$579</f>
        <v>0</v>
      </c>
      <c r="J630" s="11"/>
      <c r="K630" s="17" t="n">
        <f>'Расчёт'!$E$579*'Расчёт'!$D$630</f>
        <v>81.88333333333334</v>
      </c>
      <c r="L630" s="11"/>
    </row>
    <row r="631" ht="17" customHeight="1">
      <c r="A631" s="16" t="str">
        <f>'Расчёт'!$A$580</f>
        <v>B</v>
      </c>
      <c r="B631" s="17" t="n">
        <f>'Расчёт'!$G$580*'Расчёт'!$I$580/100</f>
        <v>340</v>
      </c>
      <c r="C631" s="11"/>
      <c r="D631" s="17" t="n">
        <f>'Расчёт'!$G$580*'Расчёт'!$I$580^3/120000</f>
        <v>81.88333333333334</v>
      </c>
      <c r="E631" s="11"/>
      <c r="F631" s="17" t="n">
        <f>'Расчёт'!$E$580*'Расчёт'!$B$631</f>
        <v>340</v>
      </c>
      <c r="G631" s="17" t="n">
        <f>'Расчёт'!$F$631*'Расчёт'!$K$580</f>
        <v>0</v>
      </c>
      <c r="H631" s="11"/>
      <c r="I631" s="17" t="n">
        <f>'Расчёт'!$G$631*'Расчёт'!$K$580</f>
        <v>0</v>
      </c>
      <c r="J631" s="11"/>
      <c r="K631" s="17" t="n">
        <f>'Расчёт'!$E$580*'Расчёт'!$D$631</f>
        <v>81.88333333333334</v>
      </c>
      <c r="L631" s="11"/>
    </row>
    <row r="632" ht="17" customHeight="1">
      <c r="A632" s="16" t="str">
        <f>'Расчёт'!$A$581</f>
        <v>C</v>
      </c>
      <c r="B632" s="17" t="n">
        <f>'Расчёт'!$G$581*'Расчёт'!$I$581/100</f>
        <v>340</v>
      </c>
      <c r="C632" s="11"/>
      <c r="D632" s="17" t="n">
        <f>'Расчёт'!$G$581*'Расчёт'!$I$581^3/120000</f>
        <v>81.88333333333334</v>
      </c>
      <c r="E632" s="11"/>
      <c r="F632" s="17" t="n">
        <f>'Расчёт'!$E$581*'Расчёт'!$B$632</f>
        <v>340</v>
      </c>
      <c r="G632" s="17" t="n">
        <f>'Расчёт'!$F$632*'Расчёт'!$K$581</f>
        <v>0</v>
      </c>
      <c r="H632" s="11"/>
      <c r="I632" s="17" t="n">
        <f>'Расчёт'!$G$632*'Расчёт'!$K$581</f>
        <v>0</v>
      </c>
      <c r="J632" s="11"/>
      <c r="K632" s="17" t="n">
        <f>'Расчёт'!$E$581*'Расчёт'!$D$632</f>
        <v>81.88333333333334</v>
      </c>
      <c r="L632" s="11"/>
    </row>
    <row r="633" ht="17" customHeight="1">
      <c r="A633" s="16" t="str">
        <f>'Расчёт'!$A$582</f>
        <v>D</v>
      </c>
      <c r="B633" s="17" t="n">
        <f>'Расчёт'!$G$582*'Расчёт'!$I$582/100</f>
        <v>340</v>
      </c>
      <c r="C633" s="11"/>
      <c r="D633" s="17" t="n">
        <f>'Расчёт'!$G$582*'Расчёт'!$I$582^3/120000</f>
        <v>81.88333333333334</v>
      </c>
      <c r="E633" s="11"/>
      <c r="F633" s="17" t="n">
        <f>'Расчёт'!$E$582*'Расчёт'!$B$633</f>
        <v>340</v>
      </c>
      <c r="G633" s="17" t="n">
        <f>'Расчёт'!$F$633*'Расчёт'!$K$582</f>
        <v>0</v>
      </c>
      <c r="H633" s="11"/>
      <c r="I633" s="17" t="n">
        <f>'Расчёт'!$G$633*'Расчёт'!$K$582</f>
        <v>0</v>
      </c>
      <c r="J633" s="11"/>
      <c r="K633" s="17" t="n">
        <f>'Расчёт'!$E$582*'Расчёт'!$D$633</f>
        <v>81.88333333333334</v>
      </c>
      <c r="L633" s="11"/>
    </row>
    <row r="634" ht="17" customHeight="1">
      <c r="A634" s="16" t="str">
        <f>'Расчёт'!$A$583</f>
        <v>E</v>
      </c>
      <c r="B634" s="17" t="n">
        <f>'Расчёт'!$G$583*'Расчёт'!$I$583/100</f>
        <v>340</v>
      </c>
      <c r="C634" s="11"/>
      <c r="D634" s="17" t="n">
        <f>'Расчёт'!$G$583*'Расчёт'!$I$583^3/120000</f>
        <v>81.88333333333334</v>
      </c>
      <c r="E634" s="11"/>
      <c r="F634" s="17" t="n">
        <f>'Расчёт'!$E$583*'Расчёт'!$B$634</f>
        <v>340</v>
      </c>
      <c r="G634" s="17" t="n">
        <f>'Расчёт'!$F$634*'Расчёт'!$K$583</f>
        <v>0</v>
      </c>
      <c r="H634" s="11"/>
      <c r="I634" s="17" t="n">
        <f>'Расчёт'!$G$634*'Расчёт'!$K$583</f>
        <v>0</v>
      </c>
      <c r="J634" s="11"/>
      <c r="K634" s="17" t="n">
        <f>'Расчёт'!$E$583*'Расчёт'!$D$634</f>
        <v>81.88333333333334</v>
      </c>
      <c r="L634" s="11"/>
    </row>
    <row r="635" ht="17" customHeight="1">
      <c r="A635" s="16" t="str">
        <f>'Расчёт'!$A$584</f>
        <v>F₁</v>
      </c>
      <c r="B635" s="17" t="n">
        <f>'Расчёт'!$G$584*'Расчёт'!$I$584/100</f>
        <v>199.75</v>
      </c>
      <c r="C635" s="11"/>
      <c r="D635" s="17" t="n">
        <f>'Расчёт'!$G$584*'Расчёт'!$I$584^3/120000</f>
        <v>48.106458333333336</v>
      </c>
      <c r="E635" s="11"/>
      <c r="F635" s="17" t="n">
        <f>'Расчёт'!$E$584*'Расчёт'!$B$635</f>
        <v>199.75</v>
      </c>
      <c r="G635" s="17" t="n">
        <f>'Расчёт'!$F$635*'Расчёт'!$K$584</f>
        <v>0</v>
      </c>
      <c r="H635" s="11"/>
      <c r="I635" s="17" t="n">
        <f>'Расчёт'!$G$635*'Расчёт'!$K$584</f>
        <v>0</v>
      </c>
      <c r="J635" s="11"/>
      <c r="K635" s="17" t="n">
        <f>'Расчёт'!$E$584*'Расчёт'!$D$635</f>
        <v>48.106458333333336</v>
      </c>
      <c r="L635" s="11"/>
    </row>
    <row r="636" ht="17" customHeight="1">
      <c r="A636" s="16" t="str">
        <f>'Расчёт'!$A$585</f>
        <v>F₂</v>
      </c>
      <c r="B636" s="17" t="n">
        <f>'Расчёт'!$G$585*'Расчёт'!$I$585/100</f>
        <v>140.25</v>
      </c>
      <c r="C636" s="11"/>
      <c r="D636" s="17" t="n">
        <f>'Расчёт'!$B$636*(('Расчёт'!$F$28*100)^2*(0.5+SIN(2*('Расчёт'!$G$585/('Расчёт'!$F$28*1000)))/(4*('Расчёт'!$G$585/('Расчёт'!$F$28*1000)))-(SIN(('Расчёт'!$G$585/('Расчёт'!$F$28*1000)))/('Расчёт'!$G$585/('Расчёт'!$F$28*1000)))^2)+('Расчёт'!$I$585/10)^2*(0.5+SIN(2*('Расчёт'!$G$585/('Расчёт'!$F$28*1000)))/(4*('Расчёт'!$G$585/('Расчёт'!$F$28*1000))))/12)</f>
        <v>5801.651190972212</v>
      </c>
      <c r="E636" s="11"/>
      <c r="F636" s="17" t="n">
        <f>'Расчёт'!$E$585*'Расчёт'!$B$636</f>
        <v>140.25</v>
      </c>
      <c r="G636" s="17" t="n">
        <f>'Расчёт'!$F$636*'Расчёт'!$K$585</f>
        <v>1011.9848360209263</v>
      </c>
      <c r="H636" s="11"/>
      <c r="I636" s="17" t="n">
        <f>'Расчёт'!$G$636*'Расчёт'!$K$585</f>
        <v>7302.055674412129</v>
      </c>
      <c r="J636" s="11"/>
      <c r="K636" s="17" t="n">
        <f>'Расчёт'!$E$585*'Расчёт'!$D$636</f>
        <v>5801.651190972212</v>
      </c>
      <c r="L636" s="11"/>
    </row>
    <row r="637" ht="17" customHeight="1">
      <c r="A637" s="16" t="str">
        <f>'Расчёт'!$A$586</f>
        <v>G₁</v>
      </c>
      <c r="B637" s="17" t="n">
        <f>'Расчёт'!$G$586*'Расчёт'!$I$586/100</f>
        <v>273.65483211045523</v>
      </c>
      <c r="C637" s="11"/>
      <c r="D637" s="17" t="n">
        <f>'Расчёт'!$B$637*(('Расчёт'!$F$28*100)^2*((0.5-SIN(2*('Расчёт'!$G$585/('Расчёт'!$F$28*1000)))/(4*(PI()/2-('Расчёт'!$G$585/('Расчёт'!$F$28*1000)))))-((1-SIN(('Расчёт'!$G$585/('Расчёт'!$F$28*1000))))/(PI()/2-('Расчёт'!$G$585/('Расчёт'!$F$28*1000))))^2)+('Расчёт'!$I$586/10)^2*(0.5-SIN(2*('Расчёт'!$G$585/('Расчёт'!$F$28*1000)))/(4*(PI()/2-('Расчёт'!$G$585/('Расчёт'!$F$28*1000)))))/12)</f>
        <v>424525.75875474146</v>
      </c>
      <c r="E637" s="11"/>
      <c r="F637" s="17" t="n">
        <f>'Расчёт'!$E$586*'Расчёт'!$B$637</f>
        <v>273.65483211045523</v>
      </c>
      <c r="G637" s="17" t="n">
        <f>'Расчёт'!$F$637*'Расчёт'!$K$586</f>
        <v>22300.764141099633</v>
      </c>
      <c r="H637" s="11"/>
      <c r="I637" s="17" t="n">
        <f>'Расчёт'!$G$637*'Расчёт'!$K$586</f>
        <v>1817340.7626006051</v>
      </c>
      <c r="J637" s="11"/>
      <c r="K637" s="17" t="n">
        <f>'Расчёт'!$E$586*'Расчёт'!$D$637</f>
        <v>424525.75875474146</v>
      </c>
      <c r="L637" s="11"/>
    </row>
    <row r="638" ht="17" customHeight="1">
      <c r="A638" s="16" t="str">
        <f>'Расчёт'!$A$587</f>
        <v>G₂</v>
      </c>
      <c r="B638" s="17" t="n">
        <f>'Расчёт'!$G$587*'Расчёт'!$I$587/100</f>
        <v>66.34516788954475</v>
      </c>
      <c r="C638" s="11"/>
      <c r="D638" s="17" t="n">
        <f>'Расчёт'!$I$587*'Расчёт'!$G$587^3/120000</f>
        <v>8420.711793449387</v>
      </c>
      <c r="E638" s="11"/>
      <c r="F638" s="17" t="n">
        <f>'Расчёт'!$E$587*'Расчёт'!$B$638</f>
        <v>66.34516788954475</v>
      </c>
      <c r="G638" s="17" t="n">
        <f>'Расчёт'!$F$638*'Расчёт'!$K$587</f>
        <v>11578.113170612341</v>
      </c>
      <c r="H638" s="11"/>
      <c r="I638" s="17" t="n">
        <f>'Расчёт'!$G$638*'Расчёт'!$K$587</f>
        <v>2020534.5597238613</v>
      </c>
      <c r="J638" s="11"/>
      <c r="K638" s="17" t="n">
        <f>'Расчёт'!$E$587*'Расчёт'!$D$638</f>
        <v>8420.711793449387</v>
      </c>
      <c r="L638" s="11"/>
    </row>
    <row r="639" ht="17" customHeight="1">
      <c r="A639" s="16" t="str">
        <f>'Расчёт'!$A$588</f>
        <v>H</v>
      </c>
      <c r="B639" s="17" t="n">
        <f>'Расчёт'!$G$588*'Расчёт'!$I$588/100</f>
        <v>320</v>
      </c>
      <c r="C639" s="11"/>
      <c r="D639" s="17" t="n">
        <f>'Расчёт'!$I$588*'Расчёт'!$G$588^3/120000</f>
        <v>1066666.6666666667</v>
      </c>
      <c r="E639" s="11"/>
      <c r="F639" s="17" t="n">
        <f>'Расчёт'!$E$588*'Расчёт'!$B$639</f>
        <v>320</v>
      </c>
      <c r="G639" s="17" t="n">
        <f>'Расчёт'!$F$639*'Расчёт'!$K$588</f>
        <v>94088.50219097311</v>
      </c>
      <c r="H639" s="11"/>
      <c r="I639" s="18" t="n">
        <f>'Расчёт'!$G$639*'Расчёт'!$K$588</f>
        <v>27664519.514189854</v>
      </c>
      <c r="J639" s="11"/>
      <c r="K639" s="17" t="n">
        <f>'Расчёт'!$E$588*'Расчёт'!$D$639</f>
        <v>1066666.6666666667</v>
      </c>
      <c r="L639" s="11"/>
    </row>
    <row r="640" ht="17" customHeight="1">
      <c r="A640" s="16" t="str">
        <f>'Расчёт'!$A$589</f>
        <v>I</v>
      </c>
      <c r="B640" s="17" t="n">
        <f>'Расчёт'!$G$589*'Расчёт'!$I$589/100</f>
        <v>320</v>
      </c>
      <c r="C640" s="11"/>
      <c r="D640" s="17" t="n">
        <f>'Расчёт'!$I$589*'Расчёт'!$G$589^3/120000</f>
        <v>1066666.6666666667</v>
      </c>
      <c r="E640" s="11"/>
      <c r="F640" s="17" t="n">
        <f>'Расчёт'!$E$589*'Расчёт'!$B$640</f>
        <v>320</v>
      </c>
      <c r="G640" s="17" t="n">
        <f>'Расчёт'!$F$640*'Расчёт'!$K$589</f>
        <v>158088.50219097311</v>
      </c>
      <c r="H640" s="11"/>
      <c r="I640" s="18" t="n">
        <f>'Расчёт'!$G$640*'Расчёт'!$K$589</f>
        <v>78099920.3905791</v>
      </c>
      <c r="J640" s="11"/>
      <c r="K640" s="17" t="n">
        <f>'Расчёт'!$E$589*'Расчёт'!$D$640</f>
        <v>1066666.6666666667</v>
      </c>
      <c r="L640" s="11"/>
    </row>
    <row r="641" ht="17" customHeight="1">
      <c r="A641" s="16" t="str">
        <f>'Расчёт'!$A$590</f>
        <v>J</v>
      </c>
      <c r="B641" s="17" t="n">
        <f>'Расчёт'!$G$590*'Расчёт'!$I$590/100</f>
        <v>300</v>
      </c>
      <c r="C641" s="11"/>
      <c r="D641" s="17" t="n">
        <f>'Расчёт'!$I$590*'Расчёт'!$G$590^3/120000</f>
        <v>1000000</v>
      </c>
      <c r="E641" s="11"/>
      <c r="F641" s="17" t="n">
        <f>'Расчёт'!$E$590*'Расчёт'!$B$641</f>
        <v>300</v>
      </c>
      <c r="G641" s="17" t="n">
        <f>'Расчёт'!$F$641*'Расчёт'!$K$590</f>
        <v>208207.9708040373</v>
      </c>
      <c r="H641" s="11"/>
      <c r="I641" s="18" t="n">
        <f>'Расчёт'!$G$641*'Расчёт'!$K$590</f>
        <v>144501863.68778282</v>
      </c>
      <c r="J641" s="11"/>
      <c r="K641" s="17" t="n">
        <f>'Расчёт'!$E$590*'Расчёт'!$D$641</f>
        <v>1000000</v>
      </c>
      <c r="L641" s="11"/>
    </row>
    <row r="642" ht="17" customHeight="1">
      <c r="A642" s="16" t="str">
        <f>'Расчёт'!$A$591</f>
        <v>K</v>
      </c>
      <c r="B642" s="17" t="n">
        <f>'Расчёт'!$G$591*'Расчёт'!$I$591/100</f>
        <v>280</v>
      </c>
      <c r="C642" s="11"/>
      <c r="D642" s="17" t="n">
        <f>'Расчёт'!$I$591*'Расчёт'!$G$591^3/120000</f>
        <v>933333.3333333334</v>
      </c>
      <c r="E642" s="11"/>
      <c r="F642" s="17" t="n">
        <f>'Расчёт'!$E$591*'Расчёт'!$B$642</f>
        <v>280</v>
      </c>
      <c r="G642" s="17" t="n">
        <f>'Расчёт'!$F$642*'Расчёт'!$K$591</f>
        <v>250327.43941710147</v>
      </c>
      <c r="H642" s="11"/>
      <c r="I642" s="18" t="n">
        <f>'Расчёт'!$G$642*'Расчёт'!$K$591</f>
        <v>223799381.8754379</v>
      </c>
      <c r="J642" s="11"/>
      <c r="K642" s="17" t="n">
        <f>'Расчёт'!$E$591*'Расчёт'!$D$642</f>
        <v>933333.3333333334</v>
      </c>
      <c r="L642" s="11"/>
    </row>
    <row r="643" ht="17" customHeight="1">
      <c r="A643" s="16" t="str">
        <f>'Расчёт'!$A$592</f>
        <v>L</v>
      </c>
      <c r="B643" s="17" t="n">
        <f>'Расчёт'!$G$592*'Расчёт'!$I$592/100</f>
        <v>260</v>
      </c>
      <c r="C643" s="11"/>
      <c r="D643" s="17" t="n">
        <f>'Расчёт'!$I$592*'Расчёт'!$G$592^3/120000</f>
        <v>866666.6666666666</v>
      </c>
      <c r="E643" s="11"/>
      <c r="F643" s="17" t="n">
        <f>'Расчёт'!$E$592*'Расчёт'!$B$643</f>
        <v>260</v>
      </c>
      <c r="G643" s="17" t="n">
        <f>'Расчёт'!$F$643*'Расчёт'!$K$592</f>
        <v>284446.90803016565</v>
      </c>
      <c r="H643" s="11"/>
      <c r="I643" s="18" t="n">
        <f>'Расчёт'!$G$643*'Расчёт'!$K$592</f>
        <v>311192474.95354426</v>
      </c>
      <c r="J643" s="11"/>
      <c r="K643" s="17" t="n">
        <f>'Расчёт'!$E$592*'Расчёт'!$D$643</f>
        <v>866666.6666666666</v>
      </c>
      <c r="L643" s="11"/>
    </row>
    <row r="644" ht="17" customHeight="1">
      <c r="A644" s="16" t="str">
        <f>'Расчёт'!$A$593</f>
        <v>M</v>
      </c>
      <c r="B644" s="17" t="n">
        <f>'Расчёт'!$G$593*'Расчёт'!$I$593/100</f>
        <v>120.58405839192547</v>
      </c>
      <c r="C644" s="11"/>
      <c r="D644" s="17" t="n">
        <f>'Расчёт'!$I$593*'Расчёт'!$G$593^3/120000</f>
        <v>101467.26426397565</v>
      </c>
      <c r="E644" s="11"/>
      <c r="F644" s="17" t="n">
        <f>'Расчёт'!$E$593*'Расчёт'!$B$644</f>
        <v>120.58405839192547</v>
      </c>
      <c r="G644" s="17" t="n">
        <f>'Расчёт'!$F$644*'Расчёт'!$K$593</f>
        <v>150039.1175339019</v>
      </c>
      <c r="H644" s="11"/>
      <c r="I644" s="18" t="n">
        <f>'Расчёт'!$G$644*'Расчёт'!$K$593</f>
        <v>186689161.82256693</v>
      </c>
      <c r="J644" s="11"/>
      <c r="K644" s="17" t="n">
        <f>'Расчёт'!$E$593*'Расчёт'!$D$644</f>
        <v>101467.26426397565</v>
      </c>
      <c r="L644" s="11"/>
    </row>
    <row r="645" ht="17" customHeight="1">
      <c r="A645" s="16" t="str">
        <f>'Расчёт'!$A$594</f>
        <v>N</v>
      </c>
      <c r="B645" s="17" t="n">
        <f>'Расчёт'!$G$594*'Расчёт'!$I$594/100</f>
        <v>120.58405839192547</v>
      </c>
      <c r="C645" s="11"/>
      <c r="D645" s="17" t="n">
        <f>'Расчёт'!$I$594*'Расчёт'!$G$594^3/120000</f>
        <v>101467.26426397565</v>
      </c>
      <c r="E645" s="11"/>
      <c r="F645" s="17" t="n">
        <f>'Расчёт'!$E$594*'Расчёт'!$B$645</f>
        <v>120.58405839192547</v>
      </c>
      <c r="G645" s="17" t="n">
        <f>'Расчёт'!$F$645*'Расчёт'!$K$594</f>
        <v>162156.213482458</v>
      </c>
      <c r="H645" s="11"/>
      <c r="I645" s="18" t="n">
        <f>'Расчёт'!$G$645*'Расчёт'!$K$594</f>
        <v>218060645.17670298</v>
      </c>
      <c r="J645" s="11"/>
      <c r="K645" s="17" t="n">
        <f>'Расчёт'!$E$594*'Расчёт'!$D$645</f>
        <v>101467.26426397565</v>
      </c>
      <c r="L645" s="11"/>
    </row>
    <row r="646" ht="17" customHeight="1">
      <c r="A646" s="16" t="str">
        <f>'Расчёт'!$A$595</f>
        <v>SH</v>
      </c>
      <c r="B646" s="17" t="n">
        <f>'Расчёт'!$G$595*'Расчёт'!$I$595/100</f>
        <v>186</v>
      </c>
      <c r="C646" s="11"/>
      <c r="D646" s="17" t="n">
        <f>'Расчёт'!$I$595*'Расчёт'!$G$595^3/120000</f>
        <v>372387.5</v>
      </c>
      <c r="E646" s="11"/>
      <c r="F646" s="17" t="n">
        <f>'Расчёт'!$E$595*'Расчёт'!$B$646</f>
        <v>186</v>
      </c>
      <c r="G646" s="17" t="n">
        <f>'Расчёт'!$F$646*'Расчёт'!$K$595</f>
        <v>273885</v>
      </c>
      <c r="H646" s="11"/>
      <c r="I646" s="18" t="n">
        <f>'Расчёт'!$G$646*'Расчёт'!$K$595</f>
        <v>403295662.5</v>
      </c>
      <c r="J646" s="11"/>
      <c r="K646" s="17" t="n">
        <f>'Расчёт'!$E$595*'Расчёт'!$D$646</f>
        <v>372387.5</v>
      </c>
      <c r="L646" s="11"/>
    </row>
    <row r="647" ht="17" customHeight="1">
      <c r="A647" s="16" t="str">
        <f>'Расчёт'!$A$596</f>
        <v>IM</v>
      </c>
      <c r="B647" s="17" t="n">
        <f>'Расчёт'!$G$596*'Расчёт'!$I$596/100</f>
        <v>340</v>
      </c>
      <c r="C647" s="11"/>
      <c r="D647" s="17" t="n">
        <f>'Расчёт'!$G$596*'Расчёт'!$I$596^3/120000</f>
        <v>81.88333333333334</v>
      </c>
      <c r="E647" s="11"/>
      <c r="F647" s="17" t="n">
        <f>'Расчёт'!$E$596*'Расчёт'!$B$647</f>
        <v>340</v>
      </c>
      <c r="G647" s="17" t="n">
        <f>'Расчёт'!$F$647*'Расчёт'!$K$596</f>
        <v>61200</v>
      </c>
      <c r="H647" s="11"/>
      <c r="I647" s="18" t="n">
        <f>'Расчёт'!$G$647*'Расчёт'!$K$596</f>
        <v>11016000</v>
      </c>
      <c r="J647" s="11"/>
      <c r="K647" s="17" t="n">
        <f>'Расчёт'!$E$596*'Расчёт'!$D$647</f>
        <v>81.88333333333334</v>
      </c>
      <c r="L647" s="11"/>
    </row>
    <row r="648" ht="17" customHeight="1">
      <c r="A648" s="16" t="str">
        <f>'Расчёт'!$A$597</f>
        <v>IB</v>
      </c>
      <c r="B648" s="17" t="n">
        <f>'Расчёт'!$G$597*'Расчёт'!$I$597/100</f>
        <v>1955</v>
      </c>
      <c r="C648" s="11"/>
      <c r="D648" s="17" t="n">
        <f>'Расчёт'!$G$597*'Расчёт'!$I$597^3/120000</f>
        <v>470.82916666666665</v>
      </c>
      <c r="E648" s="11"/>
      <c r="F648" s="17" t="n">
        <f>'Расчёт'!$E$597*'Расчёт'!$B$648</f>
        <v>1955</v>
      </c>
      <c r="G648" s="17" t="n">
        <f>'Расчёт'!$F$648*'Расчёт'!$K$597</f>
        <v>351900</v>
      </c>
      <c r="H648" s="11"/>
      <c r="I648" s="18" t="n">
        <f>'Расчёт'!$G$648*'Расчёт'!$K$597</f>
        <v>63342000</v>
      </c>
      <c r="J648" s="11"/>
      <c r="K648" s="17" t="n">
        <f>'Расчёт'!$E$597*'Расчёт'!$D$648</f>
        <v>470.82916666666665</v>
      </c>
      <c r="L648" s="11"/>
    </row>
    <row r="649" ht="17" customHeight="1">
      <c r="A649" s="16" t="str">
        <f>'Расчёт'!$A$598</f>
        <v>DK</v>
      </c>
      <c r="B649" s="17" t="n">
        <f>'Расчёт'!$G$598*'Расчёт'!$I$598/100</f>
        <v>1621.295482014306</v>
      </c>
      <c r="C649" s="11"/>
      <c r="D649" s="17" t="n">
        <f>'Расчёт'!$B$649*(('Расчёт'!$F$29*100)^2+('Расчёт'!$I$598/10)^2*(('Расчёт'!$F$21/2)^2/(('Расчёт'!$F$21/2)^2+'Расчёт'!$F$29^2)))/12</f>
        <v>394169.04679585184</v>
      </c>
      <c r="E649" s="11"/>
      <c r="F649" s="17" t="n">
        <f>'Расчёт'!$E$598*'Расчёт'!$B$649</f>
        <v>1621.295482014306</v>
      </c>
      <c r="G649" s="17" t="n">
        <f>'Расчёт'!$F$649*'Расчёт'!$K$598</f>
        <v>2556782.9751365604</v>
      </c>
      <c r="H649" s="11"/>
      <c r="I649" s="18" t="n">
        <f>'Расчёт'!$G$649*'Расчёт'!$K$598</f>
        <v>4032046751.7903557</v>
      </c>
      <c r="J649" s="11"/>
      <c r="K649" s="17" t="n">
        <f>'Расчёт'!$E$598*'Расчёт'!$D$649</f>
        <v>394169.04679585184</v>
      </c>
      <c r="L649" s="11"/>
    </row>
    <row r="650" ht="17" customHeight="1">
      <c r="A650" s="16" t="str">
        <f>'Расчёт'!$A$599</f>
        <v>ISG</v>
      </c>
      <c r="B650" s="17" t="n">
        <f>'Расчёт'!$G$599*'Расчёт'!$I$599/100</f>
        <v>320</v>
      </c>
      <c r="C650" s="11"/>
      <c r="D650" s="17" t="n">
        <f>'Расчёт'!$I$599*'Расчёт'!$G$599^3/120000</f>
        <v>1066666.6666666667</v>
      </c>
      <c r="E650" s="11"/>
      <c r="F650" s="17" t="n">
        <f>'Расчёт'!$E$599*'Расчёт'!$B$650</f>
        <v>320</v>
      </c>
      <c r="G650" s="17" t="n">
        <f>'Расчёт'!$F$650*'Расчёт'!$K$599</f>
        <v>89600</v>
      </c>
      <c r="H650" s="11"/>
      <c r="I650" s="18" t="n">
        <f>'Расчёт'!$G$650*'Расчёт'!$K$599</f>
        <v>25088000</v>
      </c>
      <c r="J650" s="11"/>
      <c r="K650" s="17" t="n">
        <f>'Расчёт'!$E$599*'Расчёт'!$D$650</f>
        <v>1066666.6666666667</v>
      </c>
      <c r="L650" s="11"/>
    </row>
    <row r="651" ht="17" customHeight="1">
      <c r="A651" s="16" t="str">
        <f>'Расчёт'!$A$600</f>
        <v>ISF</v>
      </c>
      <c r="B651" s="17" t="n">
        <f>'Расчёт'!$G$600*'Расчёт'!$I$600/100</f>
        <v>300</v>
      </c>
      <c r="C651" s="11"/>
      <c r="D651" s="17" t="n">
        <f>'Расчёт'!$I$600*'Расчёт'!$G$600^3/120000</f>
        <v>1000000</v>
      </c>
      <c r="E651" s="11"/>
      <c r="F651" s="17" t="n">
        <f>'Расчёт'!$E$600*'Расчёт'!$B$651</f>
        <v>300</v>
      </c>
      <c r="G651" s="17" t="n">
        <f>'Расчёт'!$F$651*'Расчёт'!$K$600</f>
        <v>144000</v>
      </c>
      <c r="H651" s="11"/>
      <c r="I651" s="18" t="n">
        <f>'Расчёт'!$G$651*'Расчёт'!$K$600</f>
        <v>69120000</v>
      </c>
      <c r="J651" s="11"/>
      <c r="K651" s="17" t="n">
        <f>'Расчёт'!$E$600*'Расчёт'!$D$651</f>
        <v>1000000</v>
      </c>
      <c r="L651" s="11"/>
    </row>
    <row r="652" ht="17" customHeight="1">
      <c r="A652" s="16" t="str">
        <f>'Расчёт'!$A$601</f>
        <v>ISE</v>
      </c>
      <c r="B652" s="17" t="n">
        <f>'Расчёт'!$G$601*'Расчёт'!$I$601/100</f>
        <v>280</v>
      </c>
      <c r="C652" s="11"/>
      <c r="D652" s="17" t="n">
        <f>'Расчёт'!$I$601*'Расчёт'!$G$601^3/120000</f>
        <v>933333.3333333334</v>
      </c>
      <c r="E652" s="11"/>
      <c r="F652" s="17" t="n">
        <f>'Расчёт'!$E$601*'Расчёт'!$B$652</f>
        <v>280</v>
      </c>
      <c r="G652" s="17" t="n">
        <f>'Расчёт'!$F$652*'Расчёт'!$K$601</f>
        <v>190400</v>
      </c>
      <c r="H652" s="11"/>
      <c r="I652" s="18" t="n">
        <f>'Расчёт'!$G$652*'Расчёт'!$K$601</f>
        <v>129472000</v>
      </c>
      <c r="J652" s="11"/>
      <c r="K652" s="17" t="n">
        <f>'Расчёт'!$E$601*'Расчёт'!$D$652</f>
        <v>933333.3333333334</v>
      </c>
      <c r="L652" s="11"/>
    </row>
    <row r="653" ht="17" customHeight="1">
      <c r="A653" s="16" t="str">
        <f>'Расчёт'!$A$602</f>
        <v>ISD</v>
      </c>
      <c r="B653" s="17" t="n">
        <f>'Расчёт'!$G$602*'Расчёт'!$I$602/100</f>
        <v>260</v>
      </c>
      <c r="C653" s="11"/>
      <c r="D653" s="17" t="n">
        <f>'Расчёт'!$I$602*'Расчёт'!$G$602^3/120000</f>
        <v>866666.6666666666</v>
      </c>
      <c r="E653" s="11"/>
      <c r="F653" s="17" t="n">
        <f>'Расчёт'!$E$602*'Расчёт'!$B$653</f>
        <v>260</v>
      </c>
      <c r="G653" s="17" t="n">
        <f>'Расчёт'!$F$653*'Расчёт'!$K$602</f>
        <v>228800</v>
      </c>
      <c r="H653" s="11"/>
      <c r="I653" s="18" t="n">
        <f>'Расчёт'!$G$653*'Расчёт'!$K$602</f>
        <v>201344000</v>
      </c>
      <c r="J653" s="11"/>
      <c r="K653" s="17" t="n">
        <f>'Расчёт'!$E$602*'Расчёт'!$D$653</f>
        <v>866666.6666666666</v>
      </c>
      <c r="L653" s="11"/>
    </row>
    <row r="654" ht="17" customHeight="1">
      <c r="A654" s="16" t="str">
        <f>'Расчёт'!$A$603</f>
        <v>ISC</v>
      </c>
      <c r="B654" s="17" t="n">
        <f>'Расчёт'!$G$603*'Расчёт'!$I$603/100</f>
        <v>260</v>
      </c>
      <c r="C654" s="11"/>
      <c r="D654" s="17" t="n">
        <f>'Расчёт'!$I$603*'Расчёт'!$G$603^3/120000</f>
        <v>866666.6666666666</v>
      </c>
      <c r="E654" s="11"/>
      <c r="F654" s="17" t="n">
        <f>'Расчёт'!$E$603*'Расчёт'!$B$654</f>
        <v>260</v>
      </c>
      <c r="G654" s="17" t="n">
        <f>'Расчёт'!$F$654*'Расчёт'!$K$603</f>
        <v>280800</v>
      </c>
      <c r="H654" s="11"/>
      <c r="I654" s="18" t="n">
        <f>'Расчёт'!$G$654*'Расчёт'!$K$603</f>
        <v>303264000</v>
      </c>
      <c r="J654" s="11"/>
      <c r="K654" s="17" t="n">
        <f>'Расчёт'!$E$603*'Расчёт'!$D$654</f>
        <v>866666.6666666666</v>
      </c>
      <c r="L654" s="11"/>
    </row>
    <row r="655" ht="17" customHeight="1">
      <c r="A655" s="16" t="str">
        <f>'Расчёт'!$A$604</f>
        <v>ISB</v>
      </c>
      <c r="B655" s="17" t="n">
        <f>'Расчёт'!$G$604*'Расчёт'!$I$604/100</f>
        <v>240</v>
      </c>
      <c r="C655" s="11"/>
      <c r="D655" s="17" t="n">
        <f>'Расчёт'!$I$604*'Расчёт'!$G$604^3/120000</f>
        <v>800000</v>
      </c>
      <c r="E655" s="11"/>
      <c r="F655" s="17" t="n">
        <f>'Расчёт'!$E$604*'Расчёт'!$B$655</f>
        <v>240</v>
      </c>
      <c r="G655" s="17" t="n">
        <f>'Расчёт'!$F$655*'Расчёт'!$K$604</f>
        <v>307200</v>
      </c>
      <c r="H655" s="11"/>
      <c r="I655" s="18" t="n">
        <f>'Расчёт'!$G$655*'Расчёт'!$K$604</f>
        <v>393216000</v>
      </c>
      <c r="J655" s="11"/>
      <c r="K655" s="17" t="n">
        <f>'Расчёт'!$E$604*'Расчёт'!$D$655</f>
        <v>800000</v>
      </c>
      <c r="L655" s="11"/>
    </row>
    <row r="656" ht="17" customHeight="1">
      <c r="A656" s="16" t="str">
        <f>'Расчёт'!$A$605</f>
        <v>ISA</v>
      </c>
      <c r="B656" s="17" t="n">
        <f>'Расчёт'!$G$605*'Расчёт'!$I$605/100</f>
        <v>213.6</v>
      </c>
      <c r="C656" s="11"/>
      <c r="D656" s="17" t="n">
        <f>'Расчёт'!$I$605*'Расчёт'!$G$605^3/120000</f>
        <v>563975.2</v>
      </c>
      <c r="E656" s="11"/>
      <c r="F656" s="17" t="n">
        <f>'Расчёт'!$E$605*'Расчёт'!$B$656</f>
        <v>213.6</v>
      </c>
      <c r="G656" s="17" t="n">
        <f>'Расчёт'!$F$656*'Расчёт'!$K$605</f>
        <v>313778.39999999997</v>
      </c>
      <c r="H656" s="11"/>
      <c r="I656" s="18" t="n">
        <f>'Расчёт'!$G$656*'Расчёт'!$K$605</f>
        <v>460940469.59999996</v>
      </c>
      <c r="J656" s="11"/>
      <c r="K656" s="17" t="n">
        <f>'Расчёт'!$E$605*'Расчёт'!$D$656</f>
        <v>563975.2</v>
      </c>
      <c r="L656" s="11"/>
    </row>
    <row r="657" ht="17" customHeight="1">
      <c r="A657" s="16" t="str">
        <f>'Расчёт'!$A$606</f>
        <v>VK</v>
      </c>
      <c r="B657" s="17" t="n">
        <f>'Расчёт'!$G$606*'Расчёт'!$I$606/100</f>
        <v>306</v>
      </c>
      <c r="C657" s="11"/>
      <c r="D657" s="17" t="n">
        <f>'Расчёт'!$I$606*'Расчёт'!$G$606^3/120000</f>
        <v>826200</v>
      </c>
      <c r="E657" s="11"/>
      <c r="F657" s="17" t="n">
        <f>'Расчёт'!$E$606*'Расчёт'!$B$657</f>
        <v>153</v>
      </c>
      <c r="G657" s="17" t="n">
        <f>'Расчёт'!$F$657*'Расчёт'!$K$606</f>
        <v>13770</v>
      </c>
      <c r="H657" s="11"/>
      <c r="I657" s="17" t="n">
        <f>'Расчёт'!$G$657*'Расчёт'!$K$606</f>
        <v>1239300</v>
      </c>
      <c r="J657" s="11"/>
      <c r="K657" s="17" t="n">
        <f>'Расчёт'!$E$606*'Расчёт'!$D$657</f>
        <v>413100</v>
      </c>
      <c r="L657" s="11"/>
    </row>
    <row r="658" ht="17" customHeight="1">
      <c r="A658" s="16" t="str">
        <f>'Расчёт'!$A$607</f>
        <v>ST</v>
      </c>
      <c r="B658" s="17" t="n">
        <f>'Расчёт'!$G$607*'Расчёт'!$I$607/100</f>
        <v>306</v>
      </c>
      <c r="C658" s="11"/>
      <c r="D658" s="17" t="n">
        <f>'Расчёт'!$I$607*'Расчёт'!$G$607^3/120000</f>
        <v>826200</v>
      </c>
      <c r="E658" s="11"/>
      <c r="F658" s="17" t="n">
        <f>'Расчёт'!$E$607*'Расчёт'!$B$658</f>
        <v>306</v>
      </c>
      <c r="G658" s="17" t="n">
        <f>'Расчёт'!$F$658*'Расчёт'!$K$607</f>
        <v>27540</v>
      </c>
      <c r="H658" s="11"/>
      <c r="I658" s="17" t="n">
        <f>'Расчёт'!$G$658*'Расчёт'!$K$607</f>
        <v>2478600</v>
      </c>
      <c r="J658" s="11"/>
      <c r="K658" s="17" t="n">
        <f>'Расчёт'!$E$607*'Расчёт'!$D$658</f>
        <v>826200</v>
      </c>
      <c r="L658" s="11"/>
    </row>
    <row r="659" ht="17" customHeight="1">
      <c r="A659" s="16" t="str">
        <f>'Расчёт'!$A$608</f>
        <v>B-L</v>
      </c>
      <c r="B659" s="17" t="n">
        <f>'Сортамент HP'!$H$16</f>
        <v>46.7</v>
      </c>
      <c r="C659" s="11"/>
      <c r="D659" s="17" t="n">
        <f>'Сортамент HP'!$K$16</f>
        <v>4190</v>
      </c>
      <c r="E659" s="11"/>
      <c r="F659" s="17" t="n">
        <f>'Расчёт'!$E$608*'Расчёт'!$B$659</f>
        <v>653.8000000000001</v>
      </c>
      <c r="G659" s="17" t="n">
        <f>'Расчёт'!$F$659*'Расчёт'!$K$608</f>
        <v>12356.82</v>
      </c>
      <c r="H659" s="11"/>
      <c r="I659" s="17" t="n">
        <f>'Расчёт'!$G$659*'Расчёт'!$K$608</f>
        <v>233543.898</v>
      </c>
      <c r="J659" s="11"/>
      <c r="K659" s="17" t="n">
        <f>'Расчёт'!$E$608*'Расчёт'!$D$659</f>
        <v>58660</v>
      </c>
      <c r="L659" s="11"/>
    </row>
    <row r="660" ht="17" customHeight="1">
      <c r="A660" s="16" t="str">
        <f>'Расчёт'!$A$609</f>
        <v>IB-L</v>
      </c>
      <c r="B660" s="17" t="n">
        <f>'Сортамент HP'!$H$14</f>
        <v>42.6</v>
      </c>
      <c r="C660" s="11"/>
      <c r="D660" s="17" t="n">
        <f>'Сортамент HP'!$K$14</f>
        <v>3330</v>
      </c>
      <c r="E660" s="11"/>
      <c r="F660" s="17" t="n">
        <f>'Расчёт'!$E$609*'Расчёт'!$B$660</f>
        <v>596.4</v>
      </c>
      <c r="G660" s="17" t="n">
        <f>'Расчёт'!$F$660*'Расчёт'!$K$609</f>
        <v>96974.64</v>
      </c>
      <c r="H660" s="11"/>
      <c r="I660" s="18" t="n">
        <f>'Расчёт'!$G$660*'Расчёт'!$K$609</f>
        <v>15768076.464</v>
      </c>
      <c r="J660" s="11"/>
      <c r="K660" s="17" t="n">
        <f>'Расчёт'!$E$609*'Расчёт'!$D$660</f>
        <v>46620</v>
      </c>
      <c r="L660" s="11"/>
    </row>
    <row r="661" ht="17" customHeight="1">
      <c r="A661" s="16" t="str">
        <f>'Расчёт'!$A$610</f>
        <v>DW1</v>
      </c>
      <c r="B661" s="17" t="n">
        <f>'Сортамент HP'!$H$3</f>
        <v>22.5</v>
      </c>
      <c r="C661" s="11"/>
      <c r="D661" s="17" t="n">
        <f>'Сортамент HP'!$K$3</f>
        <v>717</v>
      </c>
      <c r="E661" s="11"/>
      <c r="F661" s="17" t="n">
        <f>'Расчёт'!$E$610*'Расчёт'!$B$661</f>
        <v>22.5</v>
      </c>
      <c r="G661" s="17" t="n">
        <f>'Расчёт'!$F$661*'Расчёт'!$K$610</f>
        <v>34695</v>
      </c>
      <c r="H661" s="11"/>
      <c r="I661" s="18" t="n">
        <f>'Расчёт'!$G$661*'Расчёт'!$K$610</f>
        <v>53499690</v>
      </c>
      <c r="J661" s="11"/>
      <c r="K661" s="17" t="n">
        <f>'Расчёт'!$E$610*'Расчёт'!$D$661</f>
        <v>717</v>
      </c>
      <c r="L661" s="11"/>
    </row>
    <row r="662" ht="17" customHeight="1">
      <c r="A662" s="16" t="str">
        <f>'Расчёт'!$A$611</f>
        <v>DW2</v>
      </c>
      <c r="B662" s="17" t="n">
        <f>'Сортамент HP'!$H$3</f>
        <v>22.5</v>
      </c>
      <c r="C662" s="11"/>
      <c r="D662" s="17" t="n">
        <f>'Сортамент HP'!$K$3</f>
        <v>717</v>
      </c>
      <c r="E662" s="11"/>
      <c r="F662" s="17" t="n">
        <f>'Расчёт'!$E$611*'Расчёт'!$B$662</f>
        <v>22.5</v>
      </c>
      <c r="G662" s="17" t="n">
        <f>'Расчёт'!$F$662*'Расчёт'!$K$611</f>
        <v>34758.00000000001</v>
      </c>
      <c r="H662" s="11"/>
      <c r="I662" s="18" t="n">
        <f>'Расчёт'!$G$662*'Расчёт'!$K$611</f>
        <v>53694158.40000002</v>
      </c>
      <c r="J662" s="11"/>
      <c r="K662" s="17" t="n">
        <f>'Расчёт'!$E$611*'Расчёт'!$D$662</f>
        <v>717</v>
      </c>
      <c r="L662" s="11"/>
    </row>
    <row r="663" ht="17" customHeight="1">
      <c r="A663" s="16" t="str">
        <f>'Расчёт'!$A$612</f>
        <v>DL1</v>
      </c>
      <c r="B663" s="17" t="n">
        <f>'Сортамент HP'!$H$4</f>
        <v>25.6</v>
      </c>
      <c r="C663" s="11"/>
      <c r="D663" s="17" t="n">
        <f>'Сортамент HP'!$K$4</f>
        <v>1020</v>
      </c>
      <c r="E663" s="11"/>
      <c r="F663" s="17" t="n">
        <f>'Расчёт'!$E$612*'Расчёт'!$B$663</f>
        <v>25.6</v>
      </c>
      <c r="G663" s="17" t="n">
        <f>'Расчёт'!$F$663*'Расчёт'!$K$612</f>
        <v>39662.08</v>
      </c>
      <c r="H663" s="11"/>
      <c r="I663" s="18" t="n">
        <f>'Расчёт'!$G$663*'Расчёт'!$K$612</f>
        <v>61448460.544</v>
      </c>
      <c r="J663" s="11"/>
      <c r="K663" s="17" t="n">
        <f>'Расчёт'!$E$612*'Расчёт'!$D$663</f>
        <v>1020</v>
      </c>
      <c r="L663" s="11"/>
    </row>
    <row r="664" ht="17" customHeight="1">
      <c r="A664" s="16" t="str">
        <f>'Расчёт'!$A$613</f>
        <v>DL2</v>
      </c>
      <c r="B664" s="17" t="n">
        <f>'Сортамент HP'!$H$4</f>
        <v>25.6</v>
      </c>
      <c r="C664" s="11"/>
      <c r="D664" s="17" t="n">
        <f>'Сортамент HP'!$K$4</f>
        <v>1020</v>
      </c>
      <c r="E664" s="11"/>
      <c r="F664" s="17" t="n">
        <f>'Расчёт'!$E$613*'Расчёт'!$B$664</f>
        <v>25.6</v>
      </c>
      <c r="G664" s="17" t="n">
        <f>'Расчёт'!$F$664*'Расчёт'!$K$613</f>
        <v>39744</v>
      </c>
      <c r="H664" s="11"/>
      <c r="I664" s="18" t="n">
        <f>'Расчёт'!$G$664*'Расчёт'!$K$613</f>
        <v>61702560</v>
      </c>
      <c r="J664" s="11"/>
      <c r="K664" s="17" t="n">
        <f>'Расчёт'!$E$613*'Расчёт'!$D$664</f>
        <v>1020</v>
      </c>
      <c r="L664" s="11"/>
    </row>
    <row r="665" ht="17" customHeight="1">
      <c r="A665" s="16" t="str">
        <f>'Расчёт'!$A$614</f>
        <v>DL3</v>
      </c>
      <c r="B665" s="17" t="n">
        <f>'Сортамент HP'!$H$4</f>
        <v>25.6</v>
      </c>
      <c r="C665" s="11"/>
      <c r="D665" s="17" t="n">
        <f>'Сортамент HP'!$K$4</f>
        <v>1020</v>
      </c>
      <c r="E665" s="11"/>
      <c r="F665" s="17" t="n">
        <f>'Расчёт'!$E$614*'Расчёт'!$B$665</f>
        <v>25.6</v>
      </c>
      <c r="G665" s="17" t="n">
        <f>'Расчёт'!$F$665*'Расчёт'!$K$614</f>
        <v>39820.799999999996</v>
      </c>
      <c r="H665" s="11"/>
      <c r="I665" s="18" t="n">
        <f>'Расчёт'!$G$665*'Расчёт'!$K$614</f>
        <v>61941254.39999998</v>
      </c>
      <c r="J665" s="11"/>
      <c r="K665" s="17" t="n">
        <f>'Расчёт'!$E$614*'Расчёт'!$D$665</f>
        <v>1020</v>
      </c>
      <c r="L665" s="11"/>
    </row>
    <row r="666" ht="17" customHeight="1">
      <c r="A666" s="16" t="str">
        <f>'Расчёт'!$A$615</f>
        <v>DL4</v>
      </c>
      <c r="B666" s="17" t="n">
        <f>'Сортамент HP'!$H$4</f>
        <v>25.6</v>
      </c>
      <c r="C666" s="11"/>
      <c r="D666" s="17" t="n">
        <f>'Сортамент HP'!$K$4</f>
        <v>1020</v>
      </c>
      <c r="E666" s="11"/>
      <c r="F666" s="17" t="n">
        <f>'Расчёт'!$E$615*'Расчёт'!$B$666</f>
        <v>25.6</v>
      </c>
      <c r="G666" s="17" t="n">
        <f>'Расчёт'!$F$666*'Расчёт'!$K$615</f>
        <v>39897.600000000006</v>
      </c>
      <c r="H666" s="11"/>
      <c r="I666" s="18" t="n">
        <f>'Расчёт'!$G$666*'Расчёт'!$K$615</f>
        <v>62180409.60000001</v>
      </c>
      <c r="J666" s="11"/>
      <c r="K666" s="17" t="n">
        <f>'Расчёт'!$E$615*'Расчёт'!$D$666</f>
        <v>1020</v>
      </c>
      <c r="L666" s="11"/>
    </row>
    <row r="667" ht="17" customHeight="1">
      <c r="A667" s="16" t="str">
        <f>'Расчёт'!$A$616</f>
        <v>DL5</v>
      </c>
      <c r="B667" s="17" t="n">
        <f>'Сортамент HP'!$H$4</f>
        <v>25.6</v>
      </c>
      <c r="C667" s="11"/>
      <c r="D667" s="17" t="n">
        <f>'Сортамент HP'!$K$4</f>
        <v>1020</v>
      </c>
      <c r="E667" s="11"/>
      <c r="F667" s="17" t="n">
        <f>'Расчёт'!$E$616*'Расчёт'!$B$667</f>
        <v>25.6</v>
      </c>
      <c r="G667" s="17" t="n">
        <f>'Расчёт'!$F$667*'Расчёт'!$K$616</f>
        <v>39974.4</v>
      </c>
      <c r="H667" s="11"/>
      <c r="I667" s="18" t="n">
        <f>'Расчёт'!$G$667*'Расчёт'!$K$616</f>
        <v>62420025.6</v>
      </c>
      <c r="J667" s="11"/>
      <c r="K667" s="17" t="n">
        <f>'Расчёт'!$E$616*'Расчёт'!$D$667</f>
        <v>1020</v>
      </c>
      <c r="L667" s="11"/>
    </row>
    <row r="668" ht="17" customHeight="1">
      <c r="A668" s="16" t="str">
        <f>'Расчёт'!$A$617</f>
        <v>DL6</v>
      </c>
      <c r="B668" s="17" t="n">
        <f>'Сортамент HP'!$H$4</f>
        <v>25.6</v>
      </c>
      <c r="C668" s="11"/>
      <c r="D668" s="17" t="n">
        <f>'Сортамент HP'!$K$4</f>
        <v>1020</v>
      </c>
      <c r="E668" s="11"/>
      <c r="F668" s="17" t="n">
        <f>'Расчёт'!$E$617*'Расчёт'!$B$668</f>
        <v>25.6</v>
      </c>
      <c r="G668" s="17" t="n">
        <f>'Расчёт'!$F$668*'Расчёт'!$K$617</f>
        <v>40051.2</v>
      </c>
      <c r="H668" s="11"/>
      <c r="I668" s="18" t="n">
        <f>'Расчёт'!$G$668*'Расчёт'!$K$617</f>
        <v>62660102.39999998</v>
      </c>
      <c r="J668" s="11"/>
      <c r="K668" s="17" t="n">
        <f>'Расчёт'!$E$617*'Расчёт'!$D$668</f>
        <v>1020</v>
      </c>
      <c r="L668" s="11"/>
    </row>
    <row r="669" ht="17" customHeight="1">
      <c r="A669" s="16" t="str">
        <f>'Расчёт'!$A$618</f>
        <v>DL7</v>
      </c>
      <c r="B669" s="17" t="n">
        <f>'Сортамент HP'!$H$4</f>
        <v>25.6</v>
      </c>
      <c r="C669" s="11"/>
      <c r="D669" s="17" t="n">
        <f>'Сортамент HP'!$K$4</f>
        <v>1020</v>
      </c>
      <c r="E669" s="11"/>
      <c r="F669" s="17" t="n">
        <f>'Расчёт'!$E$618*'Расчёт'!$B$669</f>
        <v>25.6</v>
      </c>
      <c r="G669" s="17" t="n">
        <f>'Расчёт'!$F$669*'Расчёт'!$K$618</f>
        <v>40128</v>
      </c>
      <c r="H669" s="11"/>
      <c r="I669" s="18" t="n">
        <f>'Расчёт'!$G$669*'Расчёт'!$K$618</f>
        <v>62900640</v>
      </c>
      <c r="J669" s="11"/>
      <c r="K669" s="17" t="n">
        <f>'Расчёт'!$E$618*'Расчёт'!$D$669</f>
        <v>1020</v>
      </c>
      <c r="L669" s="11"/>
    </row>
    <row r="670" ht="17" customHeight="1">
      <c r="A670" s="16" t="str">
        <f>'Расчёт'!$A$619</f>
        <v>DL8</v>
      </c>
      <c r="B670" s="17" t="n">
        <f>'Сортамент HP'!$H$4</f>
        <v>25.6</v>
      </c>
      <c r="C670" s="11"/>
      <c r="D670" s="17" t="n">
        <f>'Сортамент HP'!$K$4</f>
        <v>1020</v>
      </c>
      <c r="E670" s="11"/>
      <c r="F670" s="17" t="n">
        <f>'Расчёт'!$E$619*'Расчёт'!$B$670</f>
        <v>25.6</v>
      </c>
      <c r="G670" s="17" t="n">
        <f>'Расчёт'!$F$670*'Расчёт'!$K$619</f>
        <v>40209.920000000006</v>
      </c>
      <c r="H670" s="11"/>
      <c r="I670" s="18" t="n">
        <f>'Расчёт'!$G$670*'Расчёт'!$K$619</f>
        <v>63157721.34400001</v>
      </c>
      <c r="J670" s="11"/>
      <c r="K670" s="17" t="n">
        <f>'Расчёт'!$E$619*'Расчёт'!$D$670</f>
        <v>1020</v>
      </c>
      <c r="L670" s="11"/>
    </row>
    <row r="671" ht="17" customHeight="1">
      <c r="A671" s="16" t="str">
        <f>'Расчёт'!$A$620</f>
        <v>DL9</v>
      </c>
      <c r="B671" s="17" t="n">
        <f>'Сортамент HP'!$H$4</f>
        <v>25.6</v>
      </c>
      <c r="C671" s="11"/>
      <c r="D671" s="17" t="n">
        <f>'Сортамент HP'!$K$4</f>
        <v>1020</v>
      </c>
      <c r="E671" s="11"/>
      <c r="F671" s="17" t="n">
        <f>'Расчёт'!$E$620*'Расчёт'!$B$671</f>
        <v>25.6</v>
      </c>
      <c r="G671" s="17" t="n">
        <f>'Расчёт'!$F$671*'Расчёт'!$K$620</f>
        <v>40286.72</v>
      </c>
      <c r="H671" s="11"/>
      <c r="I671" s="18" t="n">
        <f>'Расчёт'!$G$671*'Расчёт'!$K$620</f>
        <v>63399211.26399999</v>
      </c>
      <c r="J671" s="11"/>
      <c r="K671" s="17" t="n">
        <f>'Расчёт'!$E$620*'Расчёт'!$D$671</f>
        <v>1020</v>
      </c>
      <c r="L671" s="11"/>
    </row>
    <row r="672" ht="17" customHeight="1">
      <c r="A672" s="16" t="str">
        <f>'Расчёт'!$A$621</f>
        <v>DL10</v>
      </c>
      <c r="B672" s="17" t="n">
        <f>'Сортамент HP'!$H$4</f>
        <v>25.6</v>
      </c>
      <c r="C672" s="11"/>
      <c r="D672" s="17" t="n">
        <f>'Сортамент HP'!$K$4</f>
        <v>1020</v>
      </c>
      <c r="E672" s="11"/>
      <c r="F672" s="17" t="n">
        <f>'Расчёт'!$E$621*'Расчёт'!$B$672</f>
        <v>25.6</v>
      </c>
      <c r="G672" s="17" t="n">
        <f>'Расчёт'!$F$672*'Расчёт'!$K$621</f>
        <v>40363.52</v>
      </c>
      <c r="H672" s="11"/>
      <c r="I672" s="18" t="n">
        <f>'Расчёт'!$G$672*'Расчёт'!$K$621</f>
        <v>63641161.98399999</v>
      </c>
      <c r="J672" s="11"/>
      <c r="K672" s="17" t="n">
        <f>'Расчёт'!$E$621*'Расчёт'!$D$672</f>
        <v>1020</v>
      </c>
      <c r="L672" s="11"/>
    </row>
    <row r="673" ht="17" customHeight="1">
      <c r="A673" s="16" t="str">
        <f>'Расчёт'!$A$622</f>
        <v>DL11</v>
      </c>
      <c r="B673" s="17" t="n">
        <f>'Сортамент HP'!$H$4</f>
        <v>25.6</v>
      </c>
      <c r="C673" s="11"/>
      <c r="D673" s="17" t="n">
        <f>'Сортамент HP'!$K$4</f>
        <v>1020</v>
      </c>
      <c r="E673" s="11"/>
      <c r="F673" s="17" t="n">
        <f>'Расчёт'!$E$622*'Расчёт'!$B$673</f>
        <v>25.6</v>
      </c>
      <c r="G673" s="17" t="n">
        <f>'Расчёт'!$F$673*'Расчёт'!$K$622</f>
        <v>40440.32000000001</v>
      </c>
      <c r="H673" s="11"/>
      <c r="I673" s="18" t="n">
        <f>'Расчёт'!$G$673*'Расчёт'!$K$622</f>
        <v>63883573.504000016</v>
      </c>
      <c r="J673" s="11"/>
      <c r="K673" s="17" t="n">
        <f>'Расчёт'!$E$622*'Расчёт'!$D$673</f>
        <v>1020</v>
      </c>
      <c r="L673" s="11"/>
    </row>
    <row r="674" ht="17" customHeight="1">
      <c r="A674" s="16" t="str">
        <f>'Расчёт'!$A$623</f>
        <v>DL12</v>
      </c>
      <c r="B674" s="17" t="n">
        <f>'Сортамент HP'!$H$4</f>
        <v>25.6</v>
      </c>
      <c r="C674" s="11"/>
      <c r="D674" s="17" t="n">
        <f>'Сортамент HP'!$K$4</f>
        <v>1020</v>
      </c>
      <c r="E674" s="11"/>
      <c r="F674" s="17" t="n">
        <f>'Расчёт'!$E$623*'Расчёт'!$B$674</f>
        <v>25.6</v>
      </c>
      <c r="G674" s="17" t="n">
        <f>'Расчёт'!$F$674*'Расчёт'!$K$623</f>
        <v>40517.119999999995</v>
      </c>
      <c r="H674" s="11"/>
      <c r="I674" s="18" t="n">
        <f>'Расчёт'!$G$674*'Расчёт'!$K$623</f>
        <v>64126445.823999986</v>
      </c>
      <c r="J674" s="11"/>
      <c r="K674" s="17" t="n">
        <f>'Расчёт'!$E$623*'Расчёт'!$D$674</f>
        <v>1020</v>
      </c>
      <c r="L674" s="11"/>
    </row>
    <row r="675" ht="17" customHeight="1">
      <c r="A675" s="16" t="str">
        <f>'Расчёт'!$A$624</f>
        <v>DL13</v>
      </c>
      <c r="B675" s="17" t="n">
        <f>'Сортамент HP'!$H$4</f>
        <v>25.6</v>
      </c>
      <c r="C675" s="11"/>
      <c r="D675" s="17" t="n">
        <f>'Сортамент HP'!$K$4</f>
        <v>1020</v>
      </c>
      <c r="E675" s="11"/>
      <c r="F675" s="17" t="n">
        <f>'Расчёт'!$E$624*'Расчёт'!$B$675</f>
        <v>25.6</v>
      </c>
      <c r="G675" s="17" t="n">
        <f>'Расчёт'!$F$675*'Расчёт'!$K$624</f>
        <v>40593.920000000006</v>
      </c>
      <c r="H675" s="11"/>
      <c r="I675" s="18" t="n">
        <f>'Расчёт'!$G$675*'Расчёт'!$K$624</f>
        <v>64369778.94400001</v>
      </c>
      <c r="J675" s="11"/>
      <c r="K675" s="17" t="n">
        <f>'Расчёт'!$E$624*'Расчёт'!$D$675</f>
        <v>1020</v>
      </c>
      <c r="L675" s="11"/>
    </row>
    <row r="676" ht="17" customHeight="1">
      <c r="A676" s="16" t="str">
        <f>'Расчёт'!$A$625</f>
        <v>DL14</v>
      </c>
      <c r="B676" s="17" t="n">
        <f>'Сортамент HP'!$H$4</f>
        <v>25.6</v>
      </c>
      <c r="C676" s="11"/>
      <c r="D676" s="17" t="n">
        <f>'Сортамент HP'!$K$4</f>
        <v>1020</v>
      </c>
      <c r="E676" s="11"/>
      <c r="F676" s="17" t="n">
        <f>'Расчёт'!$E$625*'Расчёт'!$B$676</f>
        <v>25.6</v>
      </c>
      <c r="G676" s="17" t="n">
        <f>'Расчёт'!$F$676*'Расчёт'!$K$625</f>
        <v>40675.84</v>
      </c>
      <c r="H676" s="11"/>
      <c r="I676" s="18" t="n">
        <f>'Расчёт'!$G$676*'Расчёт'!$K$625</f>
        <v>64629842.17599999</v>
      </c>
      <c r="J676" s="11"/>
      <c r="K676" s="17" t="n">
        <f>'Расчёт'!$E$625*'Расчёт'!$D$676</f>
        <v>1020</v>
      </c>
      <c r="L676" s="11"/>
    </row>
    <row r="677" ht="17" customHeight="1">
      <c r="A677" s="16" t="str">
        <f>'Расчёт'!$A$626</f>
        <v>Σ</v>
      </c>
      <c r="B677" s="4"/>
      <c r="C677" s="4"/>
      <c r="D677" s="4"/>
      <c r="E677" s="4"/>
      <c r="F677" s="17" t="n">
        <f>SUM('Расчёт'!$F$629,'Расчёт'!$F$630,'Расчёт'!$F$631,'Расчёт'!$F$632,'Расчёт'!$F$633,'Расчёт'!$F$634,'Расчёт'!$F$635,'Расчёт'!$F$636,'Расчёт'!$F$637,'Расчёт'!$F$638,'Расчёт'!$F$639,'Расчёт'!$F$640,'Расчёт'!$F$641,'Расчёт'!$F$642,'Расчёт'!$F$643,'Расчёт'!$F$644,'Расчёт'!$F$645,'Расчёт'!$F$646,'Расчёт'!$F$647,'Расчёт'!$F$648,'Расчёт'!$F$649,'Расчёт'!$F$650,'Расчёт'!$F$651,'Расчёт'!$F$652,'Расчёт'!$F$653,'Расчёт'!$F$654,'Расчёт'!$F$655,'Расчёт'!$F$656,'Расчёт'!$F$657,'Расчёт'!$F$658,'Расчёт'!$F$659,'Расчёт'!$F$660,'Расчёт'!$F$661,'Расчёт'!$F$662,'Расчёт'!$F$663,'Расчёт'!$F$664,'Расчёт'!$F$665,'Расчёт'!$F$666,'Расчёт'!$F$667,'Расчёт'!$F$668,'Расчёт'!$F$669,'Расчёт'!$F$670,'Расчёт'!$F$671,'Расчёт'!$F$672,'Расчёт'!$F$673,'Расчёт'!$F$674,'Расчёт'!$F$675,'Расчёт'!$F$676)</f>
        <v>12336.91359879816</v>
      </c>
      <c r="G677" s="18" t="n">
        <f>SUM('Расчёт'!$G$629,'Расчёт'!$G$630,'Расчёт'!$G$631,'Расчёт'!$G$632,'Расчёт'!$G$633,'Расчёт'!$G$634,'Расчёт'!$G$635,'Расчёт'!$G$636,'Расчёт'!$G$637,'Расчёт'!$G$638,'Расчёт'!$G$639,'Расчёт'!$G$640,'Расчёт'!$G$641,'Расчёт'!$G$642,'Расчёт'!$G$643,'Расчёт'!$G$644,'Расчёт'!$G$645,'Расчёт'!$G$646,'Расчёт'!$G$647,'Расчёт'!$G$648,'Расчёт'!$G$649,'Расчёт'!$G$650,'Расчёт'!$G$651,'Расчёт'!$G$652,'Расчёт'!$G$653,'Расчёт'!$G$654,'Расчёт'!$G$655,'Расчёт'!$G$656,'Расчёт'!$G$657,'Расчёт'!$G$658,'Расчёт'!$G$659,'Расчёт'!$G$660,'Расчёт'!$G$661,'Расчёт'!$G$662,'Расчёт'!$G$663,'Расчёт'!$G$664,'Расчёт'!$G$665,'Расчёт'!$G$666,'Расчёт'!$G$667,'Расчёт'!$G$668,'Расчёт'!$G$669,'Расчёт'!$G$670,'Расчёт'!$G$671,'Расчёт'!$G$672,'Расчёт'!$G$673,'Расчёт'!$G$674,'Расчёт'!$G$675,'Расчёт'!$G$676)</f>
        <v>6923051.790933903</v>
      </c>
      <c r="H677" s="11"/>
      <c r="I677" s="18" t="n">
        <f>SUM('Расчёт'!$I$629,'Расчёт'!$I$630,'Расчёт'!$I$631,'Расчёт'!$I$632,'Расчёт'!$I$633,'Расчёт'!$I$634,'Расчёт'!$I$635,'Расчёт'!$I$636,'Расчёт'!$I$637,'Расчёт'!$I$638,'Расчёт'!$I$639,'Расчёт'!$I$640,'Расчёт'!$I$641,'Расчёт'!$I$642,'Расчёт'!$I$643,'Расчёт'!$I$644,'Расчёт'!$I$645,'Расчёт'!$I$646,'Расчёт'!$I$647,'Расчёт'!$I$648,'Расчёт'!$I$649,'Расчёт'!$I$650,'Расчёт'!$I$651,'Расчёт'!$I$652,'Расчёт'!$I$653,'Расчёт'!$I$654,'Расчёт'!$I$655,'Расчёт'!$I$656,'Расчёт'!$I$657,'Расчёт'!$I$658,'Расчёт'!$I$659,'Расчёт'!$I$660,'Расчёт'!$I$661,'Расчёт'!$I$662,'Расчёт'!$I$663,'Расчёт'!$I$664,'Расчёт'!$I$665,'Расчёт'!$I$666,'Расчёт'!$I$667,'Расчёт'!$I$668,'Расчёт'!$I$669,'Расчёт'!$I$670,'Расчёт'!$I$671,'Расчёт'!$I$672,'Расчёт'!$I$673,'Расчёт'!$I$674,'Расчёт'!$I$675,'Расчёт'!$I$676)</f>
        <v>8295372585.035157</v>
      </c>
      <c r="J677" s="11"/>
      <c r="K677" s="18" t="n">
        <f>SUM('Расчёт'!$K$629,'Расчёт'!$K$630,'Расчёт'!$K$631,'Расчёт'!$K$632,'Расчёт'!$K$633,'Расчёт'!$K$634,'Расчёт'!$K$635,'Расчёт'!$K$636,'Расчёт'!$K$637,'Расчёт'!$K$638,'Расчёт'!$K$639,'Расчёт'!$K$640,'Расчёт'!$K$641,'Расчёт'!$K$642,'Расчёт'!$K$643,'Расчёт'!$K$644,'Расчёт'!$K$645,'Расчёт'!$K$646,'Расчёт'!$K$647,'Расчёт'!$K$648,'Расчёт'!$K$649,'Расчёт'!$K$650,'Расчёт'!$K$651,'Расчёт'!$K$652,'Расчёт'!$K$653,'Расчёт'!$K$654,'Расчёт'!$K$655,'Расчёт'!$K$656,'Расчёт'!$K$657,'Расчёт'!$K$658,'Расчёт'!$K$659,'Расчёт'!$K$660,'Расчёт'!$K$661,'Расчёт'!$K$662,'Расчёт'!$K$663,'Расчёт'!$K$664,'Расчёт'!$K$665,'Расчёт'!$K$666,'Расчёт'!$K$667,'Расчёт'!$K$668,'Расчёт'!$K$669,'Расчёт'!$K$670,'Расчёт'!$K$671,'Расчёт'!$K$672,'Расчёт'!$K$673,'Расчёт'!$K$674,'Расчёт'!$K$675,'Расчёт'!$K$676)</f>
        <v>13800229.597062966</v>
      </c>
      <c r="L677" s="11"/>
    </row>
    <row r="678" ht="25" customHeight="1">
      <c r="A678" s="7" t="str">
        <v>Переборка в ДП и платформы: половина сечения</v>
      </c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 ht="28" customHeight="1">
      <c r="A679" s="10" t="str">
        <v>Элемент</v>
      </c>
      <c r="B679" s="10"/>
      <c r="C679" s="10" t="str">
        <v>Число</v>
      </c>
      <c r="D679" s="10"/>
      <c r="E679" s="10" t="str">
        <v>Ширина/высота, см</v>
      </c>
      <c r="F679" s="10"/>
      <c r="G679" s="10" t="str">
        <v>Толщина, см</v>
      </c>
      <c r="H679" s="10"/>
      <c r="I679" s="10" t="str">
        <v>z, см</v>
      </c>
      <c r="J679" s="10"/>
      <c r="K679" s="10" t="str">
        <v>Площадь, см²</v>
      </c>
      <c r="L679" s="10"/>
    </row>
    <row r="680" ht="17" customHeight="1">
      <c r="A680" s="14" t="str">
        <v>CL</v>
      </c>
      <c r="B680" s="4"/>
      <c r="C680" s="19" t="n">
        <v>0.5</v>
      </c>
      <c r="D680" s="11"/>
      <c r="E680" s="12" t="n">
        <f>'Расчёт'!$F$433*100</f>
        <v>1423.9999999999998</v>
      </c>
      <c r="F680" s="11"/>
      <c r="G680" s="12" t="n">
        <f>'Расчёт'!$F$441/10</f>
        <v>1.8</v>
      </c>
      <c r="H680" s="11"/>
      <c r="I680" s="12" t="n">
        <f>('Расчёт'!$F$96+'Расчёт'!$F$26)*50</f>
        <v>892</v>
      </c>
      <c r="J680" s="11"/>
      <c r="K680" s="12" t="n">
        <f>'Расчёт'!$C$680*'Расчёт'!$E$680*'Расчёт'!$G$680</f>
        <v>1281.6</v>
      </c>
      <c r="L680" s="11"/>
    </row>
    <row r="681" ht="17" customHeight="1">
      <c r="A681" s="14" t="str">
        <v>PL1</v>
      </c>
      <c r="B681" s="4"/>
      <c r="C681" s="19" t="n">
        <v>1</v>
      </c>
      <c r="D681" s="11"/>
      <c r="E681" s="12" t="n">
        <f>'Расчёт'!$F$444*100</f>
        <v>140</v>
      </c>
      <c r="F681" s="11"/>
      <c r="G681" s="12" t="n">
        <f>'Расчёт'!$F$442/10</f>
        <v>1.2</v>
      </c>
      <c r="H681" s="11"/>
      <c r="I681" s="12" t="n">
        <f>'Расчёт'!$F$35*100</f>
        <v>520</v>
      </c>
      <c r="J681" s="11"/>
      <c r="K681" s="12" t="n">
        <f>'Расчёт'!$C$681*'Расчёт'!$E$681*'Расчёт'!$G$681</f>
        <v>168</v>
      </c>
      <c r="L681" s="11"/>
    </row>
    <row r="682" ht="17" customHeight="1">
      <c r="A682" s="14" t="str">
        <v>PL2</v>
      </c>
      <c r="B682" s="4"/>
      <c r="C682" s="19" t="n">
        <v>1</v>
      </c>
      <c r="D682" s="11"/>
      <c r="E682" s="12" t="n">
        <f>'Расчёт'!$F$444*100</f>
        <v>140</v>
      </c>
      <c r="F682" s="11"/>
      <c r="G682" s="12" t="n">
        <f>'Расчёт'!$F$442/10</f>
        <v>1.2</v>
      </c>
      <c r="H682" s="11"/>
      <c r="I682" s="12" t="n">
        <f>'Расчёт'!$F$36*100</f>
        <v>860</v>
      </c>
      <c r="J682" s="11"/>
      <c r="K682" s="12" t="n">
        <f>'Расчёт'!$C$682*'Расчёт'!$E$682*'Расчёт'!$G$682</f>
        <v>168</v>
      </c>
      <c r="L682" s="11"/>
    </row>
    <row r="683" ht="17" customHeight="1">
      <c r="A683" s="14" t="str">
        <v>PL3</v>
      </c>
      <c r="B683" s="4"/>
      <c r="C683" s="19" t="n">
        <v>1</v>
      </c>
      <c r="D683" s="11"/>
      <c r="E683" s="12" t="n">
        <f>'Расчёт'!$F$444*100</f>
        <v>140</v>
      </c>
      <c r="F683" s="11"/>
      <c r="G683" s="12" t="n">
        <f>'Расчёт'!$F$442/10</f>
        <v>1.2</v>
      </c>
      <c r="H683" s="11"/>
      <c r="I683" s="12" t="n">
        <f>'Расчёт'!$F$37*100</f>
        <v>1200</v>
      </c>
      <c r="J683" s="11"/>
      <c r="K683" s="12" t="n">
        <f>'Расчёт'!$C$683*'Расчёт'!$E$683*'Расчёт'!$G$683</f>
        <v>168</v>
      </c>
      <c r="L683" s="11"/>
    </row>
    <row r="684" ht="28" customHeight="1">
      <c r="A684" s="10" t="str">
        <v>Элемент</v>
      </c>
      <c r="B684" s="10"/>
      <c r="C684" s="10" t="str">
        <v>S, см³</v>
      </c>
      <c r="D684" s="10"/>
      <c r="E684" s="10"/>
      <c r="F684" s="10" t="str">
        <v>Az², см⁴</v>
      </c>
      <c r="G684" s="10"/>
      <c r="H684" s="10"/>
      <c r="I684" s="10" t="str">
        <v>i, см⁴</v>
      </c>
      <c r="J684" s="10"/>
      <c r="K684" s="10"/>
      <c r="L684" s="10"/>
    </row>
    <row r="685" ht="17" customHeight="1">
      <c r="A685" s="14" t="str">
        <f>'Расчёт'!$A$680</f>
        <v>CL</v>
      </c>
      <c r="B685" s="4"/>
      <c r="C685" s="12" t="n">
        <f>'Расчёт'!$K$680*'Расчёт'!$I$680</f>
        <v>1143187.2</v>
      </c>
      <c r="D685" s="11"/>
      <c r="E685" s="11"/>
      <c r="F685" s="12" t="n">
        <f>'Расчёт'!$K$680*'Расчёт'!$I$680^2</f>
        <v>1019722982.4</v>
      </c>
      <c r="G685" s="11"/>
      <c r="H685" s="11"/>
      <c r="I685" s="12" t="n">
        <f>'Расчёт'!$C$680*'Расчёт'!$G$680*'Расчёт'!$E$680^3/12</f>
        <v>216566476.79999992</v>
      </c>
      <c r="J685" s="11"/>
      <c r="K685" s="11"/>
      <c r="L685" s="11"/>
    </row>
    <row r="686" ht="17" customHeight="1">
      <c r="A686" s="14" t="str">
        <f>'Расчёт'!$A$681</f>
        <v>PL1</v>
      </c>
      <c r="B686" s="4"/>
      <c r="C686" s="12" t="n">
        <f>'Расчёт'!$K$681*'Расчёт'!$I$681</f>
        <v>87360</v>
      </c>
      <c r="D686" s="11"/>
      <c r="E686" s="11"/>
      <c r="F686" s="12" t="n">
        <f>'Расчёт'!$K$681*'Расчёт'!$I$681^2</f>
        <v>45427200</v>
      </c>
      <c r="G686" s="11"/>
      <c r="H686" s="11"/>
      <c r="I686" s="12" t="n">
        <f>'Расчёт'!$C$681*'Расчёт'!$E$681*'Расчёт'!$G$681^3/12</f>
        <v>20.159999999999997</v>
      </c>
      <c r="J686" s="11"/>
      <c r="K686" s="11"/>
      <c r="L686" s="11"/>
    </row>
    <row r="687" ht="17" customHeight="1">
      <c r="A687" s="14" t="str">
        <f>'Расчёт'!$A$682</f>
        <v>PL2</v>
      </c>
      <c r="B687" s="4"/>
      <c r="C687" s="12" t="n">
        <f>'Расчёт'!$K$682*'Расчёт'!$I$682</f>
        <v>144480</v>
      </c>
      <c r="D687" s="11"/>
      <c r="E687" s="11"/>
      <c r="F687" s="12" t="n">
        <f>'Расчёт'!$K$682*'Расчёт'!$I$682^2</f>
        <v>124252800</v>
      </c>
      <c r="G687" s="11"/>
      <c r="H687" s="11"/>
      <c r="I687" s="12" t="n">
        <f>'Расчёт'!$C$682*'Расчёт'!$E$682*'Расчёт'!$G$682^3/12</f>
        <v>20.159999999999997</v>
      </c>
      <c r="J687" s="11"/>
      <c r="K687" s="11"/>
      <c r="L687" s="11"/>
    </row>
    <row r="688" ht="17" customHeight="1">
      <c r="A688" s="14" t="str">
        <f>'Расчёт'!$A$683</f>
        <v>PL3</v>
      </c>
      <c r="B688" s="4"/>
      <c r="C688" s="12" t="n">
        <f>'Расчёт'!$K$683*'Расчёт'!$I$683</f>
        <v>201600</v>
      </c>
      <c r="D688" s="11"/>
      <c r="E688" s="11"/>
      <c r="F688" s="12" t="n">
        <f>'Расчёт'!$K$683*'Расчёт'!$I$683^2</f>
        <v>241920000</v>
      </c>
      <c r="G688" s="11"/>
      <c r="H688" s="11"/>
      <c r="I688" s="12" t="n">
        <f>'Расчёт'!$C$683*'Расчёт'!$E$683*'Расчёт'!$G$683^3/12</f>
        <v>20.159999999999997</v>
      </c>
      <c r="J688" s="11"/>
      <c r="K688" s="11"/>
      <c r="L688" s="11"/>
    </row>
    <row r="689" ht="25" customHeight="1">
      <c r="A689" s="7" t="str">
        <v>Характеристики полного сечения</v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 ht="28" customHeight="1">
      <c r="A690" s="10" t="str">
        <v>Параметр</v>
      </c>
      <c r="B690" s="10"/>
      <c r="C690" s="10"/>
      <c r="D690" s="10"/>
      <c r="E690" s="10"/>
      <c r="F690" s="10" t="str">
        <v>Значение</v>
      </c>
      <c r="G690" s="10"/>
      <c r="H690" s="10"/>
      <c r="I690" s="10" t="str">
        <v>Ед.</v>
      </c>
      <c r="J690" s="10" t="str">
        <v>Формула</v>
      </c>
      <c r="K690" s="10"/>
      <c r="L690" s="10"/>
    </row>
    <row r="691" ht="17" customHeight="1">
      <c r="A691" s="4" t="str">
        <v>Суммарная площадь A</v>
      </c>
      <c r="B691" s="4"/>
      <c r="C691" s="4"/>
      <c r="D691" s="4"/>
      <c r="E691" s="4"/>
      <c r="F691" s="17" t="n">
        <f>2*('Расчёт'!$F$677+SUM('Расчёт'!$K$680,'Расчёт'!$K$681,'Расчёт'!$K$682,'Расчёт'!$K$683))</f>
        <v>28245.027197596322</v>
      </c>
      <c r="G691" s="11"/>
      <c r="H691" s="11"/>
      <c r="I691" s="4" t="str">
        <v>см²</v>
      </c>
      <c r="J691" s="4" t="str">
        <v>2 × Σ Ai</v>
      </c>
      <c r="K691" s="4"/>
      <c r="L691" s="4"/>
    </row>
    <row r="692" ht="17" customHeight="1">
      <c r="A692" s="4" t="str">
        <v>Статический момент S относительно ОП</v>
      </c>
      <c r="B692" s="4"/>
      <c r="C692" s="4"/>
      <c r="D692" s="4"/>
      <c r="E692" s="4"/>
      <c r="F692" s="17" t="n">
        <f>2*('Расчёт'!$G$677+SUM('Расчёт'!$C$685,'Расчёт'!$C$686,'Расчёт'!$C$687,'Расчёт'!$C$688))</f>
        <v>16999357.981867805</v>
      </c>
      <c r="G692" s="11"/>
      <c r="H692" s="11"/>
      <c r="I692" s="4" t="str">
        <v>см³</v>
      </c>
      <c r="J692" s="4" t="str">
        <v>2 × Σ Ai·zi</v>
      </c>
      <c r="K692" s="4"/>
      <c r="L692" s="4"/>
    </row>
    <row r="693" ht="17" customHeight="1">
      <c r="A693" s="4" t="str">
        <v>Момент инерции I₀ относительно ОП</v>
      </c>
      <c r="B693" s="4"/>
      <c r="C693" s="4"/>
      <c r="D693" s="4"/>
      <c r="E693" s="4"/>
      <c r="F693" s="20" t="n">
        <f>2*('Расчёт'!$I$677+'Расчёт'!$K$677+SUM('Расчёт'!$F$685,'Расчёт'!$I$685,'Расчёт'!$F$686,'Расчёт'!$I$686,'Расчёт'!$F$687,'Расчёт'!$I$687,'Расчёт'!$F$688,'Расчёт'!$I$688))</f>
        <v>19914124668.62444</v>
      </c>
      <c r="G693" s="11"/>
      <c r="H693" s="11"/>
      <c r="I693" s="4" t="str">
        <v>см⁴</v>
      </c>
      <c r="J693" s="4" t="str">
        <v>2 × Σ (ii+Ai·zi²)</v>
      </c>
      <c r="K693" s="4"/>
      <c r="L693" s="4"/>
    </row>
    <row r="694" ht="17" customHeight="1">
      <c r="A694" s="4" t="str">
        <v>Высота нейтральной оси zNA над ОП</v>
      </c>
      <c r="B694" s="4"/>
      <c r="C694" s="4"/>
      <c r="D694" s="4"/>
      <c r="E694" s="4"/>
      <c r="F694" s="17" t="n">
        <f>'Расчёт'!$F$692/'Расчёт'!$F$691</f>
        <v>601.8531284443042</v>
      </c>
      <c r="G694" s="11"/>
      <c r="H694" s="11"/>
      <c r="I694" s="4" t="str">
        <v>см</v>
      </c>
      <c r="J694" s="4" t="str">
        <v>S/A</v>
      </c>
      <c r="K694" s="4"/>
      <c r="L694" s="4"/>
    </row>
    <row r="695" ht="17" customHeight="1">
      <c r="A695" s="4" t="str">
        <v>Момент инерции I относительно нейтральной оси</v>
      </c>
      <c r="B695" s="4"/>
      <c r="C695" s="4"/>
      <c r="D695" s="4"/>
      <c r="E695" s="4"/>
      <c r="F695" s="20" t="n">
        <f>'Расчёт'!$F$693-'Расчёт'!$F$691*'Расчёт'!$F$694^2</f>
        <v>9683007885.692648</v>
      </c>
      <c r="G695" s="11"/>
      <c r="H695" s="11"/>
      <c r="I695" s="4" t="str">
        <v>см⁴</v>
      </c>
      <c r="J695" s="4" t="str">
        <v>I₀−A·zNA²</v>
      </c>
      <c r="K695" s="4"/>
      <c r="L695" s="4"/>
    </row>
    <row r="696" ht="17" customHeight="1">
      <c r="A696" s="4" t="str">
        <v>Расчётная высота палубы zD</v>
      </c>
      <c r="B696" s="4"/>
      <c r="C696" s="4"/>
      <c r="D696" s="4"/>
      <c r="E696" s="4"/>
      <c r="F696" s="17" t="n">
        <f>('Расчёт'!$F$22+'Расчёт'!$F$29)*100</f>
        <v>1604</v>
      </c>
      <c r="G696" s="11"/>
      <c r="H696" s="11"/>
      <c r="I696" s="4" t="str">
        <v>см</v>
      </c>
      <c r="J696" s="4" t="str">
        <v>D+f</v>
      </c>
      <c r="K696" s="4"/>
      <c r="L696" s="4"/>
    </row>
    <row r="697" ht="17" customHeight="1">
      <c r="A697" s="4" t="str">
        <v>Момент сопротивления днища WB</v>
      </c>
      <c r="B697" s="4"/>
      <c r="C697" s="4"/>
      <c r="D697" s="4"/>
      <c r="E697" s="4"/>
      <c r="F697" s="17" t="n">
        <f>'Расчёт'!$F$695/'Расчёт'!$F$694</f>
        <v>16088655.899690516</v>
      </c>
      <c r="G697" s="11"/>
      <c r="H697" s="11"/>
      <c r="I697" s="4" t="str">
        <v>см³</v>
      </c>
      <c r="J697" s="4" t="str">
        <v>I/zNA</v>
      </c>
      <c r="K697" s="4"/>
      <c r="L697" s="4"/>
    </row>
    <row r="698" ht="17" customHeight="1">
      <c r="A698" s="4" t="str">
        <v>Момент сопротивления палубы WD</v>
      </c>
      <c r="B698" s="4"/>
      <c r="C698" s="4"/>
      <c r="D698" s="4"/>
      <c r="E698" s="4"/>
      <c r="F698" s="17" t="n">
        <f>'Расчёт'!$F$695/('Расчёт'!$F$696-'Расчёт'!$F$694)</f>
        <v>9662264.245420538</v>
      </c>
      <c r="G698" s="11"/>
      <c r="H698" s="11"/>
      <c r="I698" s="4" t="str">
        <v>см³</v>
      </c>
      <c r="J698" s="4" t="str">
        <v>I/(zD−zNA)</v>
      </c>
      <c r="K698" s="4"/>
      <c r="L698" s="4"/>
    </row>
    <row r="699" ht="25" customHeight="1">
      <c r="A699" s="7" t="str">
        <v>Сравнение с требуемыми значениями</v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 ht="28" customHeight="1">
      <c r="A700" s="10" t="str">
        <v>Параметр</v>
      </c>
      <c r="B700" s="10"/>
      <c r="C700" s="10"/>
      <c r="D700" s="10"/>
      <c r="E700" s="10" t="str">
        <v>Фактическое</v>
      </c>
      <c r="F700" s="10"/>
      <c r="G700" s="10" t="str">
        <v>Требуемое</v>
      </c>
      <c r="H700" s="10"/>
      <c r="I700" s="10" t="str">
        <v>Факт./треб.</v>
      </c>
      <c r="J700" s="10"/>
      <c r="K700" s="10" t="str">
        <v>Проверка</v>
      </c>
      <c r="L700" s="10"/>
    </row>
    <row r="701" ht="17" customHeight="1">
      <c r="A701" s="4" t="str">
        <v>Днище WB, см³</v>
      </c>
      <c r="B701" s="4"/>
      <c r="C701" s="4"/>
      <c r="D701" s="4"/>
      <c r="E701" s="21" t="n">
        <f>'Расчёт'!$F$697</f>
        <v>16088655.899690516</v>
      </c>
      <c r="F701" s="11"/>
      <c r="G701" s="21" t="n">
        <f>'Расчёт'!$F$328</f>
        <v>8121864.353916622</v>
      </c>
      <c r="H701" s="11"/>
      <c r="I701" s="12" t="n">
        <f>'Расчёт'!$E$701/'Расчёт'!$G$701</f>
        <v>1.9809067473445372</v>
      </c>
      <c r="J701" s="11"/>
      <c r="K701" s="4" t="str">
        <f>IF('Расчёт'!$E$701&gt;='Расчёт'!$G$701,"Выполнено","Не выполнено")</f>
        <v>Выполнено</v>
      </c>
      <c r="L701" s="4"/>
    </row>
    <row r="702" ht="17" customHeight="1">
      <c r="A702" s="4" t="str">
        <v>Палуба WD, см³</v>
      </c>
      <c r="B702" s="4"/>
      <c r="C702" s="4"/>
      <c r="D702" s="4"/>
      <c r="E702" s="21" t="n">
        <f>'Расчёт'!$F$698</f>
        <v>9662264.245420538</v>
      </c>
      <c r="F702" s="11"/>
      <c r="G702" s="21" t="n">
        <f>'Расчёт'!$F$323</f>
        <v>8121864.353916622</v>
      </c>
      <c r="H702" s="11"/>
      <c r="I702" s="12" t="n">
        <f>'Расчёт'!$E$702/'Расчёт'!$G$702</f>
        <v>1.1896608739545234</v>
      </c>
      <c r="J702" s="11"/>
      <c r="K702" s="4" t="str">
        <f>IF('Расчёт'!$E$702&gt;='Расчёт'!$G$702,"Выполнено","Не выполнено")</f>
        <v>Выполнено</v>
      </c>
      <c r="L702" s="4"/>
    </row>
    <row r="703" ht="17" customHeight="1">
      <c r="A703" s="4" t="str">
        <v>Момент инерции I, см⁴</v>
      </c>
      <c r="B703" s="4"/>
      <c r="C703" s="4"/>
      <c r="D703" s="4"/>
      <c r="E703" s="18" t="n">
        <f>'Расчёт'!$F$695</f>
        <v>9683007885.692648</v>
      </c>
      <c r="F703" s="11"/>
      <c r="G703" s="18" t="n">
        <f>'Расчёт'!$F$329</f>
        <v>1218279653.0874932</v>
      </c>
      <c r="H703" s="11"/>
      <c r="I703" s="12" t="n">
        <f>'Расчёт'!$E$703/'Расчёт'!$G$703</f>
        <v>7.9480994869716035</v>
      </c>
      <c r="J703" s="11"/>
      <c r="K703" s="4" t="str">
        <f>IF('Расчёт'!$E$703&gt;='Расчёт'!$G$703,"Выполнено","Не выполнено")</f>
        <v>Выполнено</v>
      </c>
      <c r="L703" s="4"/>
    </row>
    <row r="704" ht="17" customHeight="1">
      <c r="A704" s="4" t="str">
        <v>Итоговая проверка</v>
      </c>
      <c r="B704" s="4"/>
      <c r="C704" s="4"/>
      <c r="D704" s="4"/>
      <c r="E704" s="4"/>
      <c r="F704" s="4" t="str">
        <f>IF(AND('Расчёт'!$I$703&gt;=1,'Расчёт'!$I$701&gt;=1,'Расчёт'!$I$702&gt;=1),"Выполнено","Требуется усиление")</f>
        <v>Выполнено</v>
      </c>
      <c r="G704" s="4"/>
      <c r="H704" s="4"/>
      <c r="I704" s="4" t="str">
        <v>—</v>
      </c>
      <c r="J704" s="4"/>
      <c r="K704" s="3"/>
      <c r="L704" s="3"/>
    </row>
    <row r="705" ht="17" customHeight="1">
      <c r="A705" s="4" t="str">
        <f>IF(AND('Расчёт'!$E$701&gt;='Расчёт'!$G$701,'Расчёт'!$E$702&gt;='Расчёт'!$G$702,'Расчёт'!$E$703&gt;='Расчёт'!$G$703),"WB, WD и I не меньше требуемых значений.","Имеются невыполненные условия.")</f>
        <v>WB, WD и I не меньше требуемых значений.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</sheetData>
  <mergeCells>
    <mergeCell ref="A18:L18"/>
    <mergeCell ref="A19:E19"/>
    <mergeCell ref="F19:H19"/>
    <mergeCell ref="I19:J19"/>
    <mergeCell ref="A20:E20"/>
    <mergeCell ref="F20:H20"/>
    <mergeCell ref="I20:J20"/>
    <mergeCell ref="A21:E21"/>
    <mergeCell ref="F21:H21"/>
    <mergeCell ref="I21:J21"/>
    <mergeCell ref="A22:E22"/>
    <mergeCell ref="F22:H22"/>
    <mergeCell ref="I22:J22"/>
    <mergeCell ref="A23:E23"/>
    <mergeCell ref="F23:H23"/>
    <mergeCell ref="I23:J23"/>
    <mergeCell ref="A24:E24"/>
    <mergeCell ref="F24:H24"/>
    <mergeCell ref="I24:J24"/>
    <mergeCell ref="A25:E25"/>
    <mergeCell ref="F25:H25"/>
    <mergeCell ref="I25:J25"/>
    <mergeCell ref="A26:E26"/>
    <mergeCell ref="F26:H26"/>
    <mergeCell ref="I26:J26"/>
    <mergeCell ref="A27:E27"/>
    <mergeCell ref="F27:H27"/>
    <mergeCell ref="I27:J27"/>
    <mergeCell ref="A28:E28"/>
    <mergeCell ref="F28:H28"/>
    <mergeCell ref="I28:J28"/>
    <mergeCell ref="A29:E29"/>
    <mergeCell ref="F29:H29"/>
    <mergeCell ref="I29:J29"/>
    <mergeCell ref="A30:E30"/>
    <mergeCell ref="F30:H30"/>
    <mergeCell ref="I30:J30"/>
    <mergeCell ref="A31:E31"/>
    <mergeCell ref="F31:H31"/>
    <mergeCell ref="I31:J31"/>
    <mergeCell ref="A32:E32"/>
    <mergeCell ref="F32:H32"/>
    <mergeCell ref="I32:J32"/>
    <mergeCell ref="A33:E33"/>
    <mergeCell ref="F33:H33"/>
    <mergeCell ref="I33:J33"/>
    <mergeCell ref="A34:E34"/>
    <mergeCell ref="F34:H34"/>
    <mergeCell ref="I34:J34"/>
    <mergeCell ref="A35:E35"/>
    <mergeCell ref="F35:H35"/>
    <mergeCell ref="I35:J35"/>
    <mergeCell ref="A36:E36"/>
    <mergeCell ref="F36:H36"/>
    <mergeCell ref="I36:J36"/>
    <mergeCell ref="A37:E37"/>
    <mergeCell ref="F37:H37"/>
    <mergeCell ref="I37:J37"/>
    <mergeCell ref="A38:E38"/>
    <mergeCell ref="F38:H38"/>
    <mergeCell ref="I38:J38"/>
    <mergeCell ref="A39:E39"/>
    <mergeCell ref="F39:H39"/>
    <mergeCell ref="I39:J39"/>
    <mergeCell ref="A40:E40"/>
    <mergeCell ref="F40:H40"/>
    <mergeCell ref="I40:J40"/>
    <mergeCell ref="A41:E41"/>
    <mergeCell ref="F41:H41"/>
    <mergeCell ref="I41:J41"/>
    <mergeCell ref="A42:E42"/>
    <mergeCell ref="F42:H42"/>
    <mergeCell ref="I42:J42"/>
    <mergeCell ref="A43:E43"/>
    <mergeCell ref="F43:H43"/>
    <mergeCell ref="I43:J43"/>
    <mergeCell ref="A44:E44"/>
    <mergeCell ref="F44:H44"/>
    <mergeCell ref="I44:J44"/>
    <mergeCell ref="A45:E45"/>
    <mergeCell ref="F45:H45"/>
    <mergeCell ref="I45:J45"/>
    <mergeCell ref="A46:E46"/>
    <mergeCell ref="F46:H46"/>
    <mergeCell ref="I46:J46"/>
    <mergeCell ref="A47:E47"/>
    <mergeCell ref="F47:H47"/>
    <mergeCell ref="I47:J47"/>
    <mergeCell ref="A48:E48"/>
    <mergeCell ref="F48:H48"/>
    <mergeCell ref="I48:J48"/>
    <mergeCell ref="A49:E49"/>
    <mergeCell ref="F49:H49"/>
    <mergeCell ref="I49:J49"/>
    <mergeCell ref="A50:E50"/>
    <mergeCell ref="F50:H50"/>
    <mergeCell ref="I50:J50"/>
    <mergeCell ref="A51:E51"/>
    <mergeCell ref="F51:H51"/>
    <mergeCell ref="I51:J51"/>
    <mergeCell ref="A52:E52"/>
    <mergeCell ref="F52:H52"/>
    <mergeCell ref="I52:J52"/>
    <mergeCell ref="A53:E53"/>
    <mergeCell ref="F53:H53"/>
    <mergeCell ref="I53:J53"/>
    <mergeCell ref="A54:E54"/>
    <mergeCell ref="F54:H54"/>
    <mergeCell ref="I54:J54"/>
    <mergeCell ref="A55:E55"/>
    <mergeCell ref="F55:H55"/>
    <mergeCell ref="I55:J55"/>
    <mergeCell ref="A56:E56"/>
    <mergeCell ref="F56:H56"/>
    <mergeCell ref="I56:J56"/>
    <mergeCell ref="A57:E57"/>
    <mergeCell ref="F57:H57"/>
    <mergeCell ref="I57:J57"/>
    <mergeCell ref="A58:E58"/>
    <mergeCell ref="F58:H58"/>
    <mergeCell ref="I58:J58"/>
    <mergeCell ref="A59:E59"/>
    <mergeCell ref="F59:H59"/>
    <mergeCell ref="I59:J59"/>
    <mergeCell ref="A60:E60"/>
    <mergeCell ref="F60:H60"/>
    <mergeCell ref="I60:J60"/>
    <mergeCell ref="A61:E61"/>
    <mergeCell ref="F61:H61"/>
    <mergeCell ref="I61:J61"/>
    <mergeCell ref="A62:E62"/>
    <mergeCell ref="F62:H62"/>
    <mergeCell ref="I62:J62"/>
    <mergeCell ref="A63:E63"/>
    <mergeCell ref="F63:H63"/>
    <mergeCell ref="I63:J63"/>
    <mergeCell ref="A64:E64"/>
    <mergeCell ref="F64:H64"/>
    <mergeCell ref="I64:J64"/>
    <mergeCell ref="A65:L65"/>
    <mergeCell ref="A66:C66"/>
    <mergeCell ref="D66:F66"/>
    <mergeCell ref="G66:I66"/>
    <mergeCell ref="J66:L66"/>
    <mergeCell ref="A67:C67"/>
    <mergeCell ref="D67:F67"/>
    <mergeCell ref="G67:I67"/>
    <mergeCell ref="J67:L67"/>
    <mergeCell ref="A68:C68"/>
    <mergeCell ref="D68:F68"/>
    <mergeCell ref="G68:I68"/>
    <mergeCell ref="J68:L68"/>
    <mergeCell ref="A69:C69"/>
    <mergeCell ref="D69:F69"/>
    <mergeCell ref="G69:I69"/>
    <mergeCell ref="J69:L69"/>
    <mergeCell ref="A70:C70"/>
    <mergeCell ref="D70:F70"/>
    <mergeCell ref="G70:I70"/>
    <mergeCell ref="J70:L70"/>
    <mergeCell ref="A71:C71"/>
    <mergeCell ref="D71:F71"/>
    <mergeCell ref="G71:I71"/>
    <mergeCell ref="J71:L71"/>
    <mergeCell ref="A72:C72"/>
    <mergeCell ref="D72:F72"/>
    <mergeCell ref="G72:I72"/>
    <mergeCell ref="J72:L72"/>
    <mergeCell ref="A73:C73"/>
    <mergeCell ref="D73:F73"/>
    <mergeCell ref="G73:I73"/>
    <mergeCell ref="J73:L73"/>
    <mergeCell ref="A74:C74"/>
    <mergeCell ref="D74:F74"/>
    <mergeCell ref="G74:I74"/>
    <mergeCell ref="J74:L74"/>
    <mergeCell ref="A75:C75"/>
    <mergeCell ref="D75:F75"/>
    <mergeCell ref="G75:I75"/>
    <mergeCell ref="J75:L75"/>
    <mergeCell ref="A76:C76"/>
    <mergeCell ref="D76:F76"/>
    <mergeCell ref="G76:I76"/>
    <mergeCell ref="J76:L76"/>
    <mergeCell ref="A77:C77"/>
    <mergeCell ref="D77:F77"/>
    <mergeCell ref="G77:I77"/>
    <mergeCell ref="J77:L77"/>
    <mergeCell ref="A78:C78"/>
    <mergeCell ref="D78:F78"/>
    <mergeCell ref="G78:I78"/>
    <mergeCell ref="J78:L78"/>
    <mergeCell ref="A79:C79"/>
    <mergeCell ref="D79:F79"/>
    <mergeCell ref="G79:I79"/>
    <mergeCell ref="J79:L79"/>
    <mergeCell ref="A80:C80"/>
    <mergeCell ref="D80:F80"/>
    <mergeCell ref="G80:I80"/>
    <mergeCell ref="J80:L80"/>
    <mergeCell ref="A81:C81"/>
    <mergeCell ref="D81:F81"/>
    <mergeCell ref="G81:I81"/>
    <mergeCell ref="J81:L81"/>
    <mergeCell ref="A82:L82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89:L89"/>
    <mergeCell ref="A90:E90"/>
    <mergeCell ref="F90:H90"/>
    <mergeCell ref="I90:J90"/>
    <mergeCell ref="A91:E91"/>
    <mergeCell ref="F91:H91"/>
    <mergeCell ref="I91:J91"/>
    <mergeCell ref="A92:E92"/>
    <mergeCell ref="F92:H92"/>
    <mergeCell ref="I92:J92"/>
    <mergeCell ref="A93:E93"/>
    <mergeCell ref="F93:H93"/>
    <mergeCell ref="I93:J93"/>
    <mergeCell ref="A94:E94"/>
    <mergeCell ref="F94:H94"/>
    <mergeCell ref="I94:J94"/>
    <mergeCell ref="A95:E95"/>
    <mergeCell ref="F95:H95"/>
    <mergeCell ref="I95:J95"/>
    <mergeCell ref="A96:E96"/>
    <mergeCell ref="F96:H96"/>
    <mergeCell ref="I96:J96"/>
    <mergeCell ref="A97:E97"/>
    <mergeCell ref="F97:H97"/>
    <mergeCell ref="I97:J97"/>
    <mergeCell ref="A98:E98"/>
    <mergeCell ref="F98:H98"/>
    <mergeCell ref="I98:J98"/>
    <mergeCell ref="A99:E99"/>
    <mergeCell ref="F99:H99"/>
    <mergeCell ref="I99:J99"/>
    <mergeCell ref="A100:E100"/>
    <mergeCell ref="F100:H100"/>
    <mergeCell ref="I100:J100"/>
    <mergeCell ref="A101:E101"/>
    <mergeCell ref="F101:H101"/>
    <mergeCell ref="I101:J101"/>
    <mergeCell ref="A102:L102"/>
    <mergeCell ref="A103:C103"/>
    <mergeCell ref="D103:E103"/>
    <mergeCell ref="F103:G103"/>
    <mergeCell ref="H103:I103"/>
    <mergeCell ref="K103:L103"/>
    <mergeCell ref="A104:C104"/>
    <mergeCell ref="D104:E104"/>
    <mergeCell ref="F104:G104"/>
    <mergeCell ref="H104:I104"/>
    <mergeCell ref="K104:L104"/>
    <mergeCell ref="A105:C105"/>
    <mergeCell ref="D105:E105"/>
    <mergeCell ref="F105:G105"/>
    <mergeCell ref="H105:I105"/>
    <mergeCell ref="K105:L105"/>
    <mergeCell ref="A106:C106"/>
    <mergeCell ref="D106:E106"/>
    <mergeCell ref="F106:G106"/>
    <mergeCell ref="H106:I106"/>
    <mergeCell ref="K106:L106"/>
    <mergeCell ref="A107:C107"/>
    <mergeCell ref="D107:E107"/>
    <mergeCell ref="F107:G107"/>
    <mergeCell ref="H107:I107"/>
    <mergeCell ref="K107:L107"/>
    <mergeCell ref="A108:C108"/>
    <mergeCell ref="D108:E108"/>
    <mergeCell ref="F108:G108"/>
    <mergeCell ref="H108:I108"/>
    <mergeCell ref="K108:L108"/>
    <mergeCell ref="A109:C109"/>
    <mergeCell ref="D109:E109"/>
    <mergeCell ref="F109:G109"/>
    <mergeCell ref="H109:I109"/>
    <mergeCell ref="K109:L109"/>
    <mergeCell ref="A110:C110"/>
    <mergeCell ref="D110:E110"/>
    <mergeCell ref="F110:G110"/>
    <mergeCell ref="H110:I110"/>
    <mergeCell ref="K110:L110"/>
    <mergeCell ref="A111:C111"/>
    <mergeCell ref="D111:E111"/>
    <mergeCell ref="F111:G111"/>
    <mergeCell ref="H111:I111"/>
    <mergeCell ref="K111:L111"/>
    <mergeCell ref="A112:C112"/>
    <mergeCell ref="D112:E112"/>
    <mergeCell ref="F112:G112"/>
    <mergeCell ref="H112:I112"/>
    <mergeCell ref="K112:L112"/>
    <mergeCell ref="A113:C113"/>
    <mergeCell ref="D113:E113"/>
    <mergeCell ref="F113:G113"/>
    <mergeCell ref="H113:I113"/>
    <mergeCell ref="K113:L113"/>
    <mergeCell ref="A114:C114"/>
    <mergeCell ref="D114:E114"/>
    <mergeCell ref="F114:G114"/>
    <mergeCell ref="H114:I114"/>
    <mergeCell ref="K114:L114"/>
    <mergeCell ref="A115:C115"/>
    <mergeCell ref="D115:E115"/>
    <mergeCell ref="F115:G115"/>
    <mergeCell ref="H115:I115"/>
    <mergeCell ref="K115:L115"/>
    <mergeCell ref="A116:C116"/>
    <mergeCell ref="D116:E116"/>
    <mergeCell ref="F116:G116"/>
    <mergeCell ref="H116:I116"/>
    <mergeCell ref="K116:L116"/>
    <mergeCell ref="A117:C117"/>
    <mergeCell ref="D117:E117"/>
    <mergeCell ref="F117:G117"/>
    <mergeCell ref="H117:I117"/>
    <mergeCell ref="K117:L117"/>
    <mergeCell ref="A118:C118"/>
    <mergeCell ref="D118:E118"/>
    <mergeCell ref="F118:G118"/>
    <mergeCell ref="H118:I118"/>
    <mergeCell ref="K118:L118"/>
    <mergeCell ref="A119:C119"/>
    <mergeCell ref="D119:E119"/>
    <mergeCell ref="F119:G119"/>
    <mergeCell ref="H119:I119"/>
    <mergeCell ref="K119:L119"/>
    <mergeCell ref="A120:C120"/>
    <mergeCell ref="D120:E120"/>
    <mergeCell ref="F120:G120"/>
    <mergeCell ref="H120:I120"/>
    <mergeCell ref="K120:L120"/>
    <mergeCell ref="A121:C121"/>
    <mergeCell ref="D121:E121"/>
    <mergeCell ref="F121:G121"/>
    <mergeCell ref="H121:I121"/>
    <mergeCell ref="K121:L121"/>
    <mergeCell ref="A122:C122"/>
    <mergeCell ref="D122:E122"/>
    <mergeCell ref="F122:G122"/>
    <mergeCell ref="H122:I122"/>
    <mergeCell ref="K122:L122"/>
    <mergeCell ref="A123:C123"/>
    <mergeCell ref="D123:E123"/>
    <mergeCell ref="F123:G123"/>
    <mergeCell ref="H123:I123"/>
    <mergeCell ref="K123:L123"/>
    <mergeCell ref="A124:C124"/>
    <mergeCell ref="D124:E124"/>
    <mergeCell ref="F124:G124"/>
    <mergeCell ref="H124:I124"/>
    <mergeCell ref="K124:L124"/>
    <mergeCell ref="A125:C125"/>
    <mergeCell ref="D125:E125"/>
    <mergeCell ref="F125:G125"/>
    <mergeCell ref="H125:I125"/>
    <mergeCell ref="K125:L125"/>
    <mergeCell ref="A126:C126"/>
    <mergeCell ref="D126:E126"/>
    <mergeCell ref="F126:G126"/>
    <mergeCell ref="H126:I126"/>
    <mergeCell ref="K126:L126"/>
    <mergeCell ref="A127:C127"/>
    <mergeCell ref="D127:E127"/>
    <mergeCell ref="F127:G127"/>
    <mergeCell ref="H127:I127"/>
    <mergeCell ref="K127:L127"/>
    <mergeCell ref="A128:C128"/>
    <mergeCell ref="D128:E128"/>
    <mergeCell ref="F128:G128"/>
    <mergeCell ref="H128:I128"/>
    <mergeCell ref="K128:L128"/>
    <mergeCell ref="A129:C129"/>
    <mergeCell ref="D129:E129"/>
    <mergeCell ref="F129:G129"/>
    <mergeCell ref="H129:I129"/>
    <mergeCell ref="K129:L129"/>
    <mergeCell ref="A130:C130"/>
    <mergeCell ref="D130:E130"/>
    <mergeCell ref="F130:G130"/>
    <mergeCell ref="H130:I130"/>
    <mergeCell ref="K130:L130"/>
    <mergeCell ref="A131:C131"/>
    <mergeCell ref="D131:E131"/>
    <mergeCell ref="F131:G131"/>
    <mergeCell ref="H131:I131"/>
    <mergeCell ref="K131:L131"/>
    <mergeCell ref="A132:L132"/>
    <mergeCell ref="A133:C133"/>
    <mergeCell ref="D133:E133"/>
    <mergeCell ref="F133:G133"/>
    <mergeCell ref="H133:I133"/>
    <mergeCell ref="K133:L133"/>
    <mergeCell ref="A134:C134"/>
    <mergeCell ref="D134:E134"/>
    <mergeCell ref="F134:G134"/>
    <mergeCell ref="H134:I134"/>
    <mergeCell ref="K134:L134"/>
    <mergeCell ref="A135:C135"/>
    <mergeCell ref="D135:E135"/>
    <mergeCell ref="F135:G135"/>
    <mergeCell ref="H135:I135"/>
    <mergeCell ref="K135:L135"/>
    <mergeCell ref="A136:C136"/>
    <mergeCell ref="D136:E136"/>
    <mergeCell ref="F136:G136"/>
    <mergeCell ref="H136:I136"/>
    <mergeCell ref="K136:L136"/>
    <mergeCell ref="A137:C137"/>
    <mergeCell ref="D137:E137"/>
    <mergeCell ref="F137:G137"/>
    <mergeCell ref="H137:I137"/>
    <mergeCell ref="K137:L137"/>
    <mergeCell ref="A138:C138"/>
    <mergeCell ref="D138:E138"/>
    <mergeCell ref="F138:G138"/>
    <mergeCell ref="H138:I138"/>
    <mergeCell ref="K138:L138"/>
    <mergeCell ref="A139:C139"/>
    <mergeCell ref="D139:E139"/>
    <mergeCell ref="F139:G139"/>
    <mergeCell ref="H139:I139"/>
    <mergeCell ref="K139:L139"/>
    <mergeCell ref="A140:C140"/>
    <mergeCell ref="D140:E140"/>
    <mergeCell ref="F140:G140"/>
    <mergeCell ref="H140:I140"/>
    <mergeCell ref="K140:L140"/>
    <mergeCell ref="A141:C141"/>
    <mergeCell ref="D141:E141"/>
    <mergeCell ref="F141:G141"/>
    <mergeCell ref="H141:I141"/>
    <mergeCell ref="K141:L141"/>
    <mergeCell ref="A142:C142"/>
    <mergeCell ref="D142:E142"/>
    <mergeCell ref="F142:G142"/>
    <mergeCell ref="H142:I142"/>
    <mergeCell ref="K142:L142"/>
    <mergeCell ref="A143:C143"/>
    <mergeCell ref="D143:E143"/>
    <mergeCell ref="F143:G143"/>
    <mergeCell ref="H143:I143"/>
    <mergeCell ref="K143:L143"/>
    <mergeCell ref="A144:C144"/>
    <mergeCell ref="D144:E144"/>
    <mergeCell ref="F144:G144"/>
    <mergeCell ref="H144:I144"/>
    <mergeCell ref="K144:L144"/>
    <mergeCell ref="A145:C145"/>
    <mergeCell ref="D145:E145"/>
    <mergeCell ref="F145:G145"/>
    <mergeCell ref="H145:I145"/>
    <mergeCell ref="K145:L145"/>
    <mergeCell ref="A146:C146"/>
    <mergeCell ref="D146:E146"/>
    <mergeCell ref="F146:G146"/>
    <mergeCell ref="H146:I146"/>
    <mergeCell ref="K146:L146"/>
    <mergeCell ref="A147:C147"/>
    <mergeCell ref="D147:E147"/>
    <mergeCell ref="F147:G147"/>
    <mergeCell ref="H147:I147"/>
    <mergeCell ref="K147:L147"/>
    <mergeCell ref="A148:C148"/>
    <mergeCell ref="D148:E148"/>
    <mergeCell ref="F148:G148"/>
    <mergeCell ref="H148:I148"/>
    <mergeCell ref="K148:L148"/>
    <mergeCell ref="A149:C149"/>
    <mergeCell ref="D149:E149"/>
    <mergeCell ref="F149:G149"/>
    <mergeCell ref="H149:I149"/>
    <mergeCell ref="K149:L149"/>
    <mergeCell ref="A150:C150"/>
    <mergeCell ref="D150:E150"/>
    <mergeCell ref="F150:G150"/>
    <mergeCell ref="H150:I150"/>
    <mergeCell ref="K150:L150"/>
    <mergeCell ref="A151:C151"/>
    <mergeCell ref="D151:E151"/>
    <mergeCell ref="F151:G151"/>
    <mergeCell ref="H151:I151"/>
    <mergeCell ref="K151:L151"/>
    <mergeCell ref="A152:C152"/>
    <mergeCell ref="D152:E152"/>
    <mergeCell ref="F152:G152"/>
    <mergeCell ref="H152:I152"/>
    <mergeCell ref="K152:L152"/>
    <mergeCell ref="A153:C153"/>
    <mergeCell ref="D153:E153"/>
    <mergeCell ref="F153:G153"/>
    <mergeCell ref="H153:I153"/>
    <mergeCell ref="K153:L153"/>
    <mergeCell ref="A154:C154"/>
    <mergeCell ref="D154:E154"/>
    <mergeCell ref="F154:G154"/>
    <mergeCell ref="H154:I154"/>
    <mergeCell ref="K154:L154"/>
    <mergeCell ref="A155:C155"/>
    <mergeCell ref="D155:E155"/>
    <mergeCell ref="F155:G155"/>
    <mergeCell ref="H155:I155"/>
    <mergeCell ref="K155:L155"/>
    <mergeCell ref="A156:C156"/>
    <mergeCell ref="D156:E156"/>
    <mergeCell ref="F156:G156"/>
    <mergeCell ref="H156:I156"/>
    <mergeCell ref="K156:L156"/>
    <mergeCell ref="A157:C157"/>
    <mergeCell ref="D157:E157"/>
    <mergeCell ref="F157:G157"/>
    <mergeCell ref="H157:I157"/>
    <mergeCell ref="K157:L157"/>
    <mergeCell ref="A158:C158"/>
    <mergeCell ref="D158:E158"/>
    <mergeCell ref="F158:G158"/>
    <mergeCell ref="H158:I158"/>
    <mergeCell ref="K158:L158"/>
    <mergeCell ref="A159:C159"/>
    <mergeCell ref="D159:E159"/>
    <mergeCell ref="F159:G159"/>
    <mergeCell ref="H159:I159"/>
    <mergeCell ref="K159:L159"/>
    <mergeCell ref="A160:C160"/>
    <mergeCell ref="D160:E160"/>
    <mergeCell ref="F160:G160"/>
    <mergeCell ref="H160:I160"/>
    <mergeCell ref="K160:L160"/>
    <mergeCell ref="A161:C161"/>
    <mergeCell ref="D161:E161"/>
    <mergeCell ref="F161:G161"/>
    <mergeCell ref="H161:I161"/>
    <mergeCell ref="K161:L161"/>
    <mergeCell ref="A162:L162"/>
    <mergeCell ref="A163:C163"/>
    <mergeCell ref="D163:E163"/>
    <mergeCell ref="F163:G163"/>
    <mergeCell ref="H163:I163"/>
    <mergeCell ref="K163:L163"/>
    <mergeCell ref="A164:C164"/>
    <mergeCell ref="D164:E164"/>
    <mergeCell ref="F164:G164"/>
    <mergeCell ref="H164:I164"/>
    <mergeCell ref="K164:L164"/>
    <mergeCell ref="A165:C165"/>
    <mergeCell ref="D165:E165"/>
    <mergeCell ref="F165:G165"/>
    <mergeCell ref="H165:I165"/>
    <mergeCell ref="K165:L165"/>
    <mergeCell ref="A166:C166"/>
    <mergeCell ref="D166:E166"/>
    <mergeCell ref="F166:G166"/>
    <mergeCell ref="H166:I166"/>
    <mergeCell ref="K166:L166"/>
    <mergeCell ref="A167:C167"/>
    <mergeCell ref="D167:E167"/>
    <mergeCell ref="F167:G167"/>
    <mergeCell ref="H167:I167"/>
    <mergeCell ref="K167:L167"/>
    <mergeCell ref="A168:C168"/>
    <mergeCell ref="D168:E168"/>
    <mergeCell ref="F168:G168"/>
    <mergeCell ref="H168:I168"/>
    <mergeCell ref="K168:L168"/>
    <mergeCell ref="A169:C169"/>
    <mergeCell ref="D169:E169"/>
    <mergeCell ref="F169:G169"/>
    <mergeCell ref="H169:I169"/>
    <mergeCell ref="K169:L169"/>
    <mergeCell ref="A170:C170"/>
    <mergeCell ref="D170:E170"/>
    <mergeCell ref="F170:G170"/>
    <mergeCell ref="H170:I170"/>
    <mergeCell ref="K170:L170"/>
    <mergeCell ref="A171:C171"/>
    <mergeCell ref="D171:E171"/>
    <mergeCell ref="F171:G171"/>
    <mergeCell ref="H171:I171"/>
    <mergeCell ref="K171:L171"/>
    <mergeCell ref="A172:C172"/>
    <mergeCell ref="D172:E172"/>
    <mergeCell ref="F172:G172"/>
    <mergeCell ref="H172:I172"/>
    <mergeCell ref="K172:L172"/>
    <mergeCell ref="A173:C173"/>
    <mergeCell ref="D173:E173"/>
    <mergeCell ref="F173:G173"/>
    <mergeCell ref="H173:I173"/>
    <mergeCell ref="K173:L173"/>
    <mergeCell ref="A174:C174"/>
    <mergeCell ref="D174:E174"/>
    <mergeCell ref="F174:G174"/>
    <mergeCell ref="H174:I174"/>
    <mergeCell ref="K174:L174"/>
    <mergeCell ref="A175:C175"/>
    <mergeCell ref="D175:E175"/>
    <mergeCell ref="F175:G175"/>
    <mergeCell ref="H175:I175"/>
    <mergeCell ref="K175:L175"/>
    <mergeCell ref="A176:C176"/>
    <mergeCell ref="D176:E176"/>
    <mergeCell ref="F176:G176"/>
    <mergeCell ref="H176:I176"/>
    <mergeCell ref="K176:L176"/>
    <mergeCell ref="A177:C177"/>
    <mergeCell ref="D177:E177"/>
    <mergeCell ref="F177:G177"/>
    <mergeCell ref="H177:I177"/>
    <mergeCell ref="K177:L177"/>
    <mergeCell ref="A178:C178"/>
    <mergeCell ref="D178:E178"/>
    <mergeCell ref="F178:G178"/>
    <mergeCell ref="H178:I178"/>
    <mergeCell ref="K178:L178"/>
    <mergeCell ref="A179:C179"/>
    <mergeCell ref="D179:E179"/>
    <mergeCell ref="F179:G179"/>
    <mergeCell ref="H179:I179"/>
    <mergeCell ref="K179:L179"/>
    <mergeCell ref="A180:C180"/>
    <mergeCell ref="D180:E180"/>
    <mergeCell ref="F180:G180"/>
    <mergeCell ref="H180:I180"/>
    <mergeCell ref="K180:L180"/>
    <mergeCell ref="A181:C181"/>
    <mergeCell ref="D181:E181"/>
    <mergeCell ref="F181:G181"/>
    <mergeCell ref="H181:I181"/>
    <mergeCell ref="K181:L181"/>
    <mergeCell ref="A182:C182"/>
    <mergeCell ref="D182:E182"/>
    <mergeCell ref="F182:G182"/>
    <mergeCell ref="H182:I182"/>
    <mergeCell ref="K182:L182"/>
    <mergeCell ref="A183:C183"/>
    <mergeCell ref="D183:E183"/>
    <mergeCell ref="F183:G183"/>
    <mergeCell ref="H183:I183"/>
    <mergeCell ref="K183:L183"/>
    <mergeCell ref="A184:C184"/>
    <mergeCell ref="D184:E184"/>
    <mergeCell ref="F184:G184"/>
    <mergeCell ref="H184:I184"/>
    <mergeCell ref="K184:L184"/>
    <mergeCell ref="A185:C185"/>
    <mergeCell ref="D185:E185"/>
    <mergeCell ref="F185:G185"/>
    <mergeCell ref="H185:I185"/>
    <mergeCell ref="K185:L185"/>
    <mergeCell ref="A186:C186"/>
    <mergeCell ref="D186:E186"/>
    <mergeCell ref="F186:G186"/>
    <mergeCell ref="H186:I186"/>
    <mergeCell ref="K186:L186"/>
    <mergeCell ref="A187:C187"/>
    <mergeCell ref="D187:E187"/>
    <mergeCell ref="F187:G187"/>
    <mergeCell ref="H187:I187"/>
    <mergeCell ref="K187:L187"/>
    <mergeCell ref="A188:C188"/>
    <mergeCell ref="D188:E188"/>
    <mergeCell ref="F188:G188"/>
    <mergeCell ref="H188:I188"/>
    <mergeCell ref="K188:L188"/>
    <mergeCell ref="A189:C189"/>
    <mergeCell ref="D189:E189"/>
    <mergeCell ref="F189:G189"/>
    <mergeCell ref="H189:I189"/>
    <mergeCell ref="K189:L189"/>
    <mergeCell ref="A190:C190"/>
    <mergeCell ref="D190:E190"/>
    <mergeCell ref="F190:G190"/>
    <mergeCell ref="H190:I190"/>
    <mergeCell ref="K190:L190"/>
    <mergeCell ref="A191:C191"/>
    <mergeCell ref="D191:E191"/>
    <mergeCell ref="F191:G191"/>
    <mergeCell ref="H191:I191"/>
    <mergeCell ref="K191:L191"/>
    <mergeCell ref="A192:L192"/>
    <mergeCell ref="A193:C193"/>
    <mergeCell ref="D193:E193"/>
    <mergeCell ref="F193:G193"/>
    <mergeCell ref="H193:I193"/>
    <mergeCell ref="K193:L193"/>
    <mergeCell ref="A194:C194"/>
    <mergeCell ref="D194:E194"/>
    <mergeCell ref="F194:G194"/>
    <mergeCell ref="H194:I194"/>
    <mergeCell ref="K194:L194"/>
    <mergeCell ref="A195:C195"/>
    <mergeCell ref="D195:E195"/>
    <mergeCell ref="F195:G195"/>
    <mergeCell ref="H195:I195"/>
    <mergeCell ref="K195:L195"/>
    <mergeCell ref="A196:C196"/>
    <mergeCell ref="D196:E196"/>
    <mergeCell ref="F196:G196"/>
    <mergeCell ref="H196:I196"/>
    <mergeCell ref="K196:L196"/>
    <mergeCell ref="A197:C197"/>
    <mergeCell ref="D197:E197"/>
    <mergeCell ref="F197:G197"/>
    <mergeCell ref="H197:I197"/>
    <mergeCell ref="K197:L197"/>
    <mergeCell ref="A198:C198"/>
    <mergeCell ref="D198:E198"/>
    <mergeCell ref="F198:G198"/>
    <mergeCell ref="H198:I198"/>
    <mergeCell ref="K198:L198"/>
    <mergeCell ref="A199:C199"/>
    <mergeCell ref="D199:E199"/>
    <mergeCell ref="F199:G199"/>
    <mergeCell ref="H199:I199"/>
    <mergeCell ref="K199:L199"/>
    <mergeCell ref="A200:C200"/>
    <mergeCell ref="D200:E200"/>
    <mergeCell ref="F200:G200"/>
    <mergeCell ref="H200:I200"/>
    <mergeCell ref="K200:L200"/>
    <mergeCell ref="A201:C201"/>
    <mergeCell ref="D201:E201"/>
    <mergeCell ref="F201:G201"/>
    <mergeCell ref="H201:I201"/>
    <mergeCell ref="K201:L201"/>
    <mergeCell ref="A202:C202"/>
    <mergeCell ref="D202:E202"/>
    <mergeCell ref="F202:G202"/>
    <mergeCell ref="H202:I202"/>
    <mergeCell ref="K202:L202"/>
    <mergeCell ref="A203:C203"/>
    <mergeCell ref="D203:E203"/>
    <mergeCell ref="F203:G203"/>
    <mergeCell ref="H203:I203"/>
    <mergeCell ref="K203:L203"/>
    <mergeCell ref="A204:C204"/>
    <mergeCell ref="D204:E204"/>
    <mergeCell ref="F204:G204"/>
    <mergeCell ref="H204:I204"/>
    <mergeCell ref="K204:L204"/>
    <mergeCell ref="A205:C205"/>
    <mergeCell ref="D205:E205"/>
    <mergeCell ref="F205:G205"/>
    <mergeCell ref="H205:I205"/>
    <mergeCell ref="K205:L205"/>
    <mergeCell ref="A206:C206"/>
    <mergeCell ref="D206:E206"/>
    <mergeCell ref="F206:G206"/>
    <mergeCell ref="H206:I206"/>
    <mergeCell ref="K206:L206"/>
    <mergeCell ref="A207:C207"/>
    <mergeCell ref="D207:E207"/>
    <mergeCell ref="F207:G207"/>
    <mergeCell ref="H207:I207"/>
    <mergeCell ref="K207:L207"/>
    <mergeCell ref="A208:C208"/>
    <mergeCell ref="D208:E208"/>
    <mergeCell ref="F208:G208"/>
    <mergeCell ref="H208:I208"/>
    <mergeCell ref="K208:L208"/>
    <mergeCell ref="A209:C209"/>
    <mergeCell ref="D209:E209"/>
    <mergeCell ref="F209:G209"/>
    <mergeCell ref="H209:I209"/>
    <mergeCell ref="K209:L209"/>
    <mergeCell ref="A210:C210"/>
    <mergeCell ref="D210:E210"/>
    <mergeCell ref="F210:G210"/>
    <mergeCell ref="H210:I210"/>
    <mergeCell ref="K210:L210"/>
    <mergeCell ref="A211:C211"/>
    <mergeCell ref="D211:E211"/>
    <mergeCell ref="F211:G211"/>
    <mergeCell ref="H211:I211"/>
    <mergeCell ref="K211:L211"/>
    <mergeCell ref="A212:C212"/>
    <mergeCell ref="D212:E212"/>
    <mergeCell ref="F212:G212"/>
    <mergeCell ref="H212:I212"/>
    <mergeCell ref="K212:L212"/>
    <mergeCell ref="A213:C213"/>
    <mergeCell ref="D213:E213"/>
    <mergeCell ref="F213:G213"/>
    <mergeCell ref="H213:I213"/>
    <mergeCell ref="K213:L213"/>
    <mergeCell ref="A214:C214"/>
    <mergeCell ref="D214:E214"/>
    <mergeCell ref="F214:G214"/>
    <mergeCell ref="H214:I214"/>
    <mergeCell ref="K214:L214"/>
    <mergeCell ref="A215:C215"/>
    <mergeCell ref="D215:E215"/>
    <mergeCell ref="F215:G215"/>
    <mergeCell ref="H215:I215"/>
    <mergeCell ref="K215:L215"/>
    <mergeCell ref="A216:C216"/>
    <mergeCell ref="D216:E216"/>
    <mergeCell ref="F216:G216"/>
    <mergeCell ref="H216:I216"/>
    <mergeCell ref="K216:L216"/>
    <mergeCell ref="A217:C217"/>
    <mergeCell ref="D217:E217"/>
    <mergeCell ref="F217:G217"/>
    <mergeCell ref="H217:I217"/>
    <mergeCell ref="K217:L217"/>
    <mergeCell ref="A218:C218"/>
    <mergeCell ref="D218:E218"/>
    <mergeCell ref="F218:G218"/>
    <mergeCell ref="H218:I218"/>
    <mergeCell ref="K218:L218"/>
    <mergeCell ref="A219:C219"/>
    <mergeCell ref="D219:E219"/>
    <mergeCell ref="F219:G219"/>
    <mergeCell ref="H219:I219"/>
    <mergeCell ref="K219:L219"/>
    <mergeCell ref="A220:C220"/>
    <mergeCell ref="D220:E220"/>
    <mergeCell ref="F220:G220"/>
    <mergeCell ref="H220:I220"/>
    <mergeCell ref="K220:L220"/>
    <mergeCell ref="A221:C221"/>
    <mergeCell ref="D221:E221"/>
    <mergeCell ref="F221:G221"/>
    <mergeCell ref="H221:I221"/>
    <mergeCell ref="K221:L221"/>
    <mergeCell ref="A222:L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L308"/>
    <mergeCell ref="A309:E309"/>
    <mergeCell ref="F309:H309"/>
    <mergeCell ref="I309:J309"/>
    <mergeCell ref="A310:E310"/>
    <mergeCell ref="F310:H310"/>
    <mergeCell ref="I310:J310"/>
    <mergeCell ref="A311:E311"/>
    <mergeCell ref="F311:H311"/>
    <mergeCell ref="I311:J311"/>
    <mergeCell ref="A312:E312"/>
    <mergeCell ref="F312:H312"/>
    <mergeCell ref="I312:J312"/>
    <mergeCell ref="A313:E313"/>
    <mergeCell ref="F313:H313"/>
    <mergeCell ref="I313:J313"/>
    <mergeCell ref="A314:E314"/>
    <mergeCell ref="F314:H314"/>
    <mergeCell ref="I314:J314"/>
    <mergeCell ref="A315:E315"/>
    <mergeCell ref="F315:H315"/>
    <mergeCell ref="I315:J315"/>
    <mergeCell ref="A316:E316"/>
    <mergeCell ref="F316:H316"/>
    <mergeCell ref="I316:J316"/>
    <mergeCell ref="A317:E317"/>
    <mergeCell ref="F317:H317"/>
    <mergeCell ref="I317:J317"/>
    <mergeCell ref="A318:E318"/>
    <mergeCell ref="F318:H318"/>
    <mergeCell ref="I318:J318"/>
    <mergeCell ref="A319:E319"/>
    <mergeCell ref="F319:H319"/>
    <mergeCell ref="I319:J319"/>
    <mergeCell ref="A320:E320"/>
    <mergeCell ref="F320:H320"/>
    <mergeCell ref="I320:J320"/>
    <mergeCell ref="A321:E321"/>
    <mergeCell ref="F321:H321"/>
    <mergeCell ref="I321:J321"/>
    <mergeCell ref="A322:E322"/>
    <mergeCell ref="F322:H322"/>
    <mergeCell ref="I322:J322"/>
    <mergeCell ref="A323:E323"/>
    <mergeCell ref="F323:H323"/>
    <mergeCell ref="I323:J323"/>
    <mergeCell ref="A324:E324"/>
    <mergeCell ref="F324:H324"/>
    <mergeCell ref="I324:J324"/>
    <mergeCell ref="A325:E325"/>
    <mergeCell ref="F325:H325"/>
    <mergeCell ref="I325:J325"/>
    <mergeCell ref="A326:E326"/>
    <mergeCell ref="F326:H326"/>
    <mergeCell ref="I326:J326"/>
    <mergeCell ref="A327:E327"/>
    <mergeCell ref="F327:H327"/>
    <mergeCell ref="I327:J327"/>
    <mergeCell ref="A328:E328"/>
    <mergeCell ref="F328:H328"/>
    <mergeCell ref="I328:J328"/>
    <mergeCell ref="A329:E329"/>
    <mergeCell ref="F329:H329"/>
    <mergeCell ref="I329:J329"/>
    <mergeCell ref="A330:L330"/>
    <mergeCell ref="B331:D331"/>
    <mergeCell ref="E331:F331"/>
    <mergeCell ref="G331:H331"/>
    <mergeCell ref="I331:J331"/>
    <mergeCell ref="K331:L331"/>
    <mergeCell ref="B332:D332"/>
    <mergeCell ref="E332:F332"/>
    <mergeCell ref="G332:H332"/>
    <mergeCell ref="I332:J332"/>
    <mergeCell ref="K332:L332"/>
    <mergeCell ref="B333:D333"/>
    <mergeCell ref="E333:F333"/>
    <mergeCell ref="G333:H333"/>
    <mergeCell ref="I333:J333"/>
    <mergeCell ref="K333:L333"/>
    <mergeCell ref="B334:D334"/>
    <mergeCell ref="E334:F334"/>
    <mergeCell ref="G334:H334"/>
    <mergeCell ref="I334:J334"/>
    <mergeCell ref="K334:L334"/>
    <mergeCell ref="B335:D335"/>
    <mergeCell ref="E335:F335"/>
    <mergeCell ref="G335:H335"/>
    <mergeCell ref="I335:J335"/>
    <mergeCell ref="K335:L335"/>
    <mergeCell ref="B336:D336"/>
    <mergeCell ref="E336:F336"/>
    <mergeCell ref="G336:H336"/>
    <mergeCell ref="I336:J336"/>
    <mergeCell ref="K336:L336"/>
    <mergeCell ref="B337:D337"/>
    <mergeCell ref="E337:F337"/>
    <mergeCell ref="G337:H337"/>
    <mergeCell ref="I337:J337"/>
    <mergeCell ref="K337:L337"/>
    <mergeCell ref="B338:D338"/>
    <mergeCell ref="E338:F338"/>
    <mergeCell ref="G338:H338"/>
    <mergeCell ref="I338:J338"/>
    <mergeCell ref="K338:L338"/>
    <mergeCell ref="B339:D339"/>
    <mergeCell ref="E339:F339"/>
    <mergeCell ref="G339:H339"/>
    <mergeCell ref="I339:J339"/>
    <mergeCell ref="K339:L339"/>
    <mergeCell ref="B340:D340"/>
    <mergeCell ref="E340:F340"/>
    <mergeCell ref="G340:H340"/>
    <mergeCell ref="I340:J340"/>
    <mergeCell ref="K340:L340"/>
    <mergeCell ref="B341:D341"/>
    <mergeCell ref="E341:F341"/>
    <mergeCell ref="G341:H341"/>
    <mergeCell ref="I341:J341"/>
    <mergeCell ref="K341:L341"/>
    <mergeCell ref="B342:D342"/>
    <mergeCell ref="E342:F342"/>
    <mergeCell ref="G342:H342"/>
    <mergeCell ref="I342:J342"/>
    <mergeCell ref="K342:L342"/>
    <mergeCell ref="B343:D343"/>
    <mergeCell ref="E343:F343"/>
    <mergeCell ref="G343:H343"/>
    <mergeCell ref="I343:J343"/>
    <mergeCell ref="K343:L343"/>
    <mergeCell ref="B344:D344"/>
    <mergeCell ref="E344:F344"/>
    <mergeCell ref="G344:H344"/>
    <mergeCell ref="I344:J344"/>
    <mergeCell ref="K344:L344"/>
    <mergeCell ref="B345:D345"/>
    <mergeCell ref="E345:F345"/>
    <mergeCell ref="G345:H345"/>
    <mergeCell ref="I345:J345"/>
    <mergeCell ref="K345:L345"/>
    <mergeCell ref="B346:D346"/>
    <mergeCell ref="E346:F346"/>
    <mergeCell ref="G346:H346"/>
    <mergeCell ref="I346:J346"/>
    <mergeCell ref="K346:L346"/>
    <mergeCell ref="B347:D347"/>
    <mergeCell ref="E347:F347"/>
    <mergeCell ref="G347:H347"/>
    <mergeCell ref="I347:J347"/>
    <mergeCell ref="K347:L347"/>
    <mergeCell ref="B348:D348"/>
    <mergeCell ref="E348:F348"/>
    <mergeCell ref="G348:H348"/>
    <mergeCell ref="I348:J348"/>
    <mergeCell ref="K348:L348"/>
    <mergeCell ref="B349:D349"/>
    <mergeCell ref="E349:F349"/>
    <mergeCell ref="G349:H349"/>
    <mergeCell ref="I349:J349"/>
    <mergeCell ref="K349:L349"/>
    <mergeCell ref="B350:D350"/>
    <mergeCell ref="E350:F350"/>
    <mergeCell ref="G350:H350"/>
    <mergeCell ref="I350:J350"/>
    <mergeCell ref="K350:L350"/>
    <mergeCell ref="B351:D351"/>
    <mergeCell ref="E351:F351"/>
    <mergeCell ref="G351:H351"/>
    <mergeCell ref="I351:J351"/>
    <mergeCell ref="K351:L351"/>
    <mergeCell ref="B352:D352"/>
    <mergeCell ref="E352:F352"/>
    <mergeCell ref="G352:H352"/>
    <mergeCell ref="I352:J352"/>
    <mergeCell ref="K352:L352"/>
    <mergeCell ref="B353:D353"/>
    <mergeCell ref="E353:F353"/>
    <mergeCell ref="G353:H353"/>
    <mergeCell ref="I353:J353"/>
    <mergeCell ref="K353:L353"/>
    <mergeCell ref="B354:D354"/>
    <mergeCell ref="E354:F354"/>
    <mergeCell ref="G354:H354"/>
    <mergeCell ref="I354:J354"/>
    <mergeCell ref="K354:L354"/>
    <mergeCell ref="B355:D355"/>
    <mergeCell ref="E355:F355"/>
    <mergeCell ref="G355:H355"/>
    <mergeCell ref="I355:J355"/>
    <mergeCell ref="K355:L355"/>
    <mergeCell ref="B356:D356"/>
    <mergeCell ref="E356:F356"/>
    <mergeCell ref="G356:H356"/>
    <mergeCell ref="I356:J356"/>
    <mergeCell ref="K356:L356"/>
    <mergeCell ref="B357:D357"/>
    <mergeCell ref="E357:F357"/>
    <mergeCell ref="G357:H357"/>
    <mergeCell ref="I357:J357"/>
    <mergeCell ref="K357:L357"/>
    <mergeCell ref="A358:L358"/>
    <mergeCell ref="E359:F359"/>
    <mergeCell ref="G359:H359"/>
    <mergeCell ref="I359:J359"/>
    <mergeCell ref="K359:L359"/>
    <mergeCell ref="E360:F360"/>
    <mergeCell ref="G360:H360"/>
    <mergeCell ref="I360:J360"/>
    <mergeCell ref="K360:L360"/>
    <mergeCell ref="E361:F361"/>
    <mergeCell ref="G361:H361"/>
    <mergeCell ref="I361:J361"/>
    <mergeCell ref="K361:L361"/>
    <mergeCell ref="E362:F362"/>
    <mergeCell ref="G362:H362"/>
    <mergeCell ref="I362:J362"/>
    <mergeCell ref="K362:L362"/>
    <mergeCell ref="E363:F363"/>
    <mergeCell ref="G363:H363"/>
    <mergeCell ref="I363:J363"/>
    <mergeCell ref="K363:L363"/>
    <mergeCell ref="E364:F364"/>
    <mergeCell ref="G364:H364"/>
    <mergeCell ref="I364:J364"/>
    <mergeCell ref="K364:L364"/>
    <mergeCell ref="E365:F365"/>
    <mergeCell ref="G365:H365"/>
    <mergeCell ref="I365:J365"/>
    <mergeCell ref="K365:L365"/>
    <mergeCell ref="E366:F366"/>
    <mergeCell ref="G366:H366"/>
    <mergeCell ref="I366:J366"/>
    <mergeCell ref="K366:L366"/>
    <mergeCell ref="E367:F367"/>
    <mergeCell ref="G367:H367"/>
    <mergeCell ref="I367:J367"/>
    <mergeCell ref="K367:L367"/>
    <mergeCell ref="E368:F368"/>
    <mergeCell ref="G368:H368"/>
    <mergeCell ref="I368:J368"/>
    <mergeCell ref="K368:L368"/>
    <mergeCell ref="E369:F369"/>
    <mergeCell ref="G369:H369"/>
    <mergeCell ref="I369:J369"/>
    <mergeCell ref="K369:L369"/>
    <mergeCell ref="E370:F370"/>
    <mergeCell ref="G370:H370"/>
    <mergeCell ref="I370:J370"/>
    <mergeCell ref="K370:L370"/>
    <mergeCell ref="E371:F371"/>
    <mergeCell ref="G371:H371"/>
    <mergeCell ref="I371:J371"/>
    <mergeCell ref="K371:L371"/>
    <mergeCell ref="E372:F372"/>
    <mergeCell ref="G372:H372"/>
    <mergeCell ref="I372:J372"/>
    <mergeCell ref="K372:L372"/>
    <mergeCell ref="E373:F373"/>
    <mergeCell ref="G373:H373"/>
    <mergeCell ref="I373:J373"/>
    <mergeCell ref="K373:L373"/>
    <mergeCell ref="E374:F374"/>
    <mergeCell ref="G374:H374"/>
    <mergeCell ref="I374:J374"/>
    <mergeCell ref="K374:L374"/>
    <mergeCell ref="E375:F375"/>
    <mergeCell ref="G375:H375"/>
    <mergeCell ref="I375:J375"/>
    <mergeCell ref="K375:L375"/>
    <mergeCell ref="E376:F376"/>
    <mergeCell ref="G376:H376"/>
    <mergeCell ref="I376:J376"/>
    <mergeCell ref="K376:L376"/>
    <mergeCell ref="E377:F377"/>
    <mergeCell ref="G377:H377"/>
    <mergeCell ref="I377:J377"/>
    <mergeCell ref="K377:L377"/>
    <mergeCell ref="E378:F378"/>
    <mergeCell ref="G378:H378"/>
    <mergeCell ref="I378:J378"/>
    <mergeCell ref="K378:L378"/>
    <mergeCell ref="E379:F379"/>
    <mergeCell ref="G379:H379"/>
    <mergeCell ref="I379:J379"/>
    <mergeCell ref="K379:L379"/>
    <mergeCell ref="E380:F380"/>
    <mergeCell ref="G380:H380"/>
    <mergeCell ref="I380:J380"/>
    <mergeCell ref="K380:L380"/>
    <mergeCell ref="E381:F381"/>
    <mergeCell ref="G381:H381"/>
    <mergeCell ref="I381:J381"/>
    <mergeCell ref="K381:L381"/>
    <mergeCell ref="E382:F382"/>
    <mergeCell ref="G382:H382"/>
    <mergeCell ref="I382:J382"/>
    <mergeCell ref="K382:L382"/>
    <mergeCell ref="E383:F383"/>
    <mergeCell ref="G383:H383"/>
    <mergeCell ref="I383:J383"/>
    <mergeCell ref="K383:L383"/>
    <mergeCell ref="E384:F384"/>
    <mergeCell ref="G384:H384"/>
    <mergeCell ref="I384:J384"/>
    <mergeCell ref="K384:L384"/>
    <mergeCell ref="E385:F385"/>
    <mergeCell ref="G385:H385"/>
    <mergeCell ref="I385:J385"/>
    <mergeCell ref="K385:L385"/>
    <mergeCell ref="A386:L386"/>
    <mergeCell ref="A387:B387"/>
    <mergeCell ref="C387:E387"/>
    <mergeCell ref="F387:H387"/>
    <mergeCell ref="I387:L387"/>
    <mergeCell ref="A388:B388"/>
    <mergeCell ref="C388:E388"/>
    <mergeCell ref="F388:H388"/>
    <mergeCell ref="I388:L388"/>
    <mergeCell ref="A389:B389"/>
    <mergeCell ref="C389:E389"/>
    <mergeCell ref="F389:H389"/>
    <mergeCell ref="I389:L389"/>
    <mergeCell ref="A390:B390"/>
    <mergeCell ref="C390:E390"/>
    <mergeCell ref="F390:H390"/>
    <mergeCell ref="I390:L390"/>
    <mergeCell ref="A391:B391"/>
    <mergeCell ref="C391:E391"/>
    <mergeCell ref="F391:H391"/>
    <mergeCell ref="I391:L391"/>
    <mergeCell ref="A392:B392"/>
    <mergeCell ref="C392:E392"/>
    <mergeCell ref="F392:H392"/>
    <mergeCell ref="I392:L392"/>
    <mergeCell ref="A393:B393"/>
    <mergeCell ref="C393:E393"/>
    <mergeCell ref="F393:H393"/>
    <mergeCell ref="I393:L393"/>
    <mergeCell ref="A394:B394"/>
    <mergeCell ref="C394:E394"/>
    <mergeCell ref="F394:H394"/>
    <mergeCell ref="I394:L394"/>
    <mergeCell ref="A395:B395"/>
    <mergeCell ref="C395:E395"/>
    <mergeCell ref="F395:H395"/>
    <mergeCell ref="I395:L395"/>
    <mergeCell ref="A396:B396"/>
    <mergeCell ref="C396:E396"/>
    <mergeCell ref="F396:H396"/>
    <mergeCell ref="I396:L396"/>
    <mergeCell ref="A397:B397"/>
    <mergeCell ref="C397:E397"/>
    <mergeCell ref="F397:H397"/>
    <mergeCell ref="I397:L397"/>
    <mergeCell ref="A398:B398"/>
    <mergeCell ref="C398:E398"/>
    <mergeCell ref="F398:H398"/>
    <mergeCell ref="I398:L398"/>
    <mergeCell ref="A399:B399"/>
    <mergeCell ref="C399:E399"/>
    <mergeCell ref="F399:H399"/>
    <mergeCell ref="I399:L399"/>
    <mergeCell ref="A400:B400"/>
    <mergeCell ref="C400:E400"/>
    <mergeCell ref="F400:H400"/>
    <mergeCell ref="I400:L400"/>
    <mergeCell ref="A401:B401"/>
    <mergeCell ref="C401:E401"/>
    <mergeCell ref="F401:H401"/>
    <mergeCell ref="I401:L401"/>
    <mergeCell ref="A402:B402"/>
    <mergeCell ref="C402:E402"/>
    <mergeCell ref="F402:H402"/>
    <mergeCell ref="I402:L402"/>
    <mergeCell ref="A403:B403"/>
    <mergeCell ref="C403:E403"/>
    <mergeCell ref="F403:H403"/>
    <mergeCell ref="I403:L403"/>
    <mergeCell ref="A404:B404"/>
    <mergeCell ref="C404:E404"/>
    <mergeCell ref="F404:H404"/>
    <mergeCell ref="I404:L404"/>
    <mergeCell ref="A405:B405"/>
    <mergeCell ref="C405:E405"/>
    <mergeCell ref="F405:H405"/>
    <mergeCell ref="I405:L405"/>
    <mergeCell ref="A406:B406"/>
    <mergeCell ref="C406:E406"/>
    <mergeCell ref="F406:H406"/>
    <mergeCell ref="I406:L406"/>
    <mergeCell ref="A407:B407"/>
    <mergeCell ref="C407:E407"/>
    <mergeCell ref="F407:H407"/>
    <mergeCell ref="I407:L407"/>
    <mergeCell ref="A408:B408"/>
    <mergeCell ref="C408:E408"/>
    <mergeCell ref="F408:H408"/>
    <mergeCell ref="I408:L408"/>
    <mergeCell ref="A409:B409"/>
    <mergeCell ref="C409:E409"/>
    <mergeCell ref="F409:H409"/>
    <mergeCell ref="I409:L409"/>
    <mergeCell ref="A410:B410"/>
    <mergeCell ref="C410:E410"/>
    <mergeCell ref="F410:H410"/>
    <mergeCell ref="I410:L410"/>
    <mergeCell ref="A411:B411"/>
    <mergeCell ref="C411:E411"/>
    <mergeCell ref="F411:H411"/>
    <mergeCell ref="I411:L411"/>
    <mergeCell ref="A412:B412"/>
    <mergeCell ref="C412:E412"/>
    <mergeCell ref="F412:H412"/>
    <mergeCell ref="I412:L412"/>
    <mergeCell ref="A413:B413"/>
    <mergeCell ref="C413:E413"/>
    <mergeCell ref="F413:H413"/>
    <mergeCell ref="I413:L413"/>
    <mergeCell ref="A414:L414"/>
    <mergeCell ref="A415:E415"/>
    <mergeCell ref="F415:H415"/>
    <mergeCell ref="I415:J415"/>
    <mergeCell ref="K415:L415"/>
    <mergeCell ref="A416:E416"/>
    <mergeCell ref="F416:H416"/>
    <mergeCell ref="I416:J416"/>
    <mergeCell ref="K416:L416"/>
    <mergeCell ref="A417:E417"/>
    <mergeCell ref="F417:H417"/>
    <mergeCell ref="I417:J417"/>
    <mergeCell ref="K417:L417"/>
    <mergeCell ref="A418:E418"/>
    <mergeCell ref="F418:H418"/>
    <mergeCell ref="I418:J418"/>
    <mergeCell ref="K418:L418"/>
    <mergeCell ref="A419:E419"/>
    <mergeCell ref="F419:H419"/>
    <mergeCell ref="I419:J419"/>
    <mergeCell ref="K419:L419"/>
    <mergeCell ref="A420:E420"/>
    <mergeCell ref="F420:H420"/>
    <mergeCell ref="I420:J420"/>
    <mergeCell ref="K420:L420"/>
    <mergeCell ref="A421:E421"/>
    <mergeCell ref="F421:H421"/>
    <mergeCell ref="I421:J421"/>
    <mergeCell ref="K421:L421"/>
    <mergeCell ref="A422:E422"/>
    <mergeCell ref="F422:H422"/>
    <mergeCell ref="I422:J422"/>
    <mergeCell ref="K422:L422"/>
    <mergeCell ref="A423:E423"/>
    <mergeCell ref="F423:H423"/>
    <mergeCell ref="I423:J423"/>
    <mergeCell ref="K423:L423"/>
    <mergeCell ref="A424:E424"/>
    <mergeCell ref="F424:H424"/>
    <mergeCell ref="I424:J424"/>
    <mergeCell ref="K424:L424"/>
    <mergeCell ref="A425:E425"/>
    <mergeCell ref="F425:H425"/>
    <mergeCell ref="I425:J425"/>
    <mergeCell ref="K425:L425"/>
    <mergeCell ref="A426:E426"/>
    <mergeCell ref="F426:H426"/>
    <mergeCell ref="I426:J426"/>
    <mergeCell ref="K426:L426"/>
    <mergeCell ref="A427:E427"/>
    <mergeCell ref="F427:H427"/>
    <mergeCell ref="I427:J427"/>
    <mergeCell ref="K427:L427"/>
    <mergeCell ref="A428:E428"/>
    <mergeCell ref="F428:H428"/>
    <mergeCell ref="I428:J428"/>
    <mergeCell ref="K428:L428"/>
    <mergeCell ref="A429:E429"/>
    <mergeCell ref="F429:H429"/>
    <mergeCell ref="I429:J429"/>
    <mergeCell ref="K429:L429"/>
    <mergeCell ref="A430:E430"/>
    <mergeCell ref="F430:H430"/>
    <mergeCell ref="I430:J430"/>
    <mergeCell ref="K430:L430"/>
    <mergeCell ref="A431:L431"/>
    <mergeCell ref="A432:E432"/>
    <mergeCell ref="F432:H432"/>
    <mergeCell ref="I432:J432"/>
    <mergeCell ref="A433:E433"/>
    <mergeCell ref="F433:H433"/>
    <mergeCell ref="I433:J433"/>
    <mergeCell ref="A434:E434"/>
    <mergeCell ref="F434:H434"/>
    <mergeCell ref="I434:J434"/>
    <mergeCell ref="A435:E435"/>
    <mergeCell ref="F435:H435"/>
    <mergeCell ref="I435:J435"/>
    <mergeCell ref="A436:E436"/>
    <mergeCell ref="F436:H436"/>
    <mergeCell ref="I436:J436"/>
    <mergeCell ref="A437:E437"/>
    <mergeCell ref="F437:H437"/>
    <mergeCell ref="I437:J437"/>
    <mergeCell ref="A438:E438"/>
    <mergeCell ref="F438:H438"/>
    <mergeCell ref="I438:J438"/>
    <mergeCell ref="A439:E439"/>
    <mergeCell ref="F439:H439"/>
    <mergeCell ref="I439:J439"/>
    <mergeCell ref="A440:E440"/>
    <mergeCell ref="F440:H440"/>
    <mergeCell ref="I440:J440"/>
    <mergeCell ref="A441:E441"/>
    <mergeCell ref="F441:H441"/>
    <mergeCell ref="I441:J441"/>
    <mergeCell ref="A442:E442"/>
    <mergeCell ref="F442:H442"/>
    <mergeCell ref="I442:J442"/>
    <mergeCell ref="A443:E443"/>
    <mergeCell ref="F443:H443"/>
    <mergeCell ref="I443:J443"/>
    <mergeCell ref="A444:E444"/>
    <mergeCell ref="F444:H444"/>
    <mergeCell ref="I444:J444"/>
    <mergeCell ref="A445:L445"/>
    <mergeCell ref="A446:L446"/>
    <mergeCell ref="B447:D447"/>
    <mergeCell ref="E447:F447"/>
    <mergeCell ref="G447:H447"/>
    <mergeCell ref="I447:J447"/>
    <mergeCell ref="K447:L447"/>
    <mergeCell ref="B448:D448"/>
    <mergeCell ref="E448:F448"/>
    <mergeCell ref="G448:H448"/>
    <mergeCell ref="I448:J448"/>
    <mergeCell ref="K448:L448"/>
    <mergeCell ref="B449:D449"/>
    <mergeCell ref="E449:F449"/>
    <mergeCell ref="G449:H449"/>
    <mergeCell ref="I449:J449"/>
    <mergeCell ref="K449:L449"/>
    <mergeCell ref="A450:B450"/>
    <mergeCell ref="C450:D450"/>
    <mergeCell ref="E450:F450"/>
    <mergeCell ref="G450:H450"/>
    <mergeCell ref="I450:J450"/>
    <mergeCell ref="K450:L450"/>
    <mergeCell ref="A451:B451"/>
    <mergeCell ref="C451:D451"/>
    <mergeCell ref="E451:F451"/>
    <mergeCell ref="G451:H451"/>
    <mergeCell ref="I451:J451"/>
    <mergeCell ref="K451:L451"/>
    <mergeCell ref="A452:B452"/>
    <mergeCell ref="C452:D452"/>
    <mergeCell ref="E452:F452"/>
    <mergeCell ref="G452:H452"/>
    <mergeCell ref="I452:J452"/>
    <mergeCell ref="K452:L452"/>
    <mergeCell ref="A453:B453"/>
    <mergeCell ref="C453:D453"/>
    <mergeCell ref="E453:F453"/>
    <mergeCell ref="G453:H453"/>
    <mergeCell ref="I453:J453"/>
    <mergeCell ref="K453:L453"/>
    <mergeCell ref="A454:B454"/>
    <mergeCell ref="C454:D454"/>
    <mergeCell ref="E454:F454"/>
    <mergeCell ref="G454:H454"/>
    <mergeCell ref="I454:J454"/>
    <mergeCell ref="K454:L454"/>
    <mergeCell ref="A455:B455"/>
    <mergeCell ref="C455:D455"/>
    <mergeCell ref="E455:F455"/>
    <mergeCell ref="G455:H455"/>
    <mergeCell ref="I455:J455"/>
    <mergeCell ref="K455:L455"/>
    <mergeCell ref="A456:B456"/>
    <mergeCell ref="C456:D456"/>
    <mergeCell ref="E456:F456"/>
    <mergeCell ref="G456:H456"/>
    <mergeCell ref="A457:B457"/>
    <mergeCell ref="C457:D457"/>
    <mergeCell ref="E457:F457"/>
    <mergeCell ref="G457:H457"/>
    <mergeCell ref="A458:B458"/>
    <mergeCell ref="C458:D458"/>
    <mergeCell ref="E458:F458"/>
    <mergeCell ref="G458:H458"/>
    <mergeCell ref="A459:B459"/>
    <mergeCell ref="C459:D459"/>
    <mergeCell ref="E459:F459"/>
    <mergeCell ref="G459:H459"/>
    <mergeCell ref="I459:J459"/>
    <mergeCell ref="K459:L459"/>
    <mergeCell ref="A460:B460"/>
    <mergeCell ref="C460:D460"/>
    <mergeCell ref="E460:F460"/>
    <mergeCell ref="G460:H460"/>
    <mergeCell ref="I460:J460"/>
    <mergeCell ref="K460:L460"/>
    <mergeCell ref="A461:B461"/>
    <mergeCell ref="C461:D461"/>
    <mergeCell ref="E461:F461"/>
    <mergeCell ref="G461:H461"/>
    <mergeCell ref="I461:J461"/>
    <mergeCell ref="K461:L461"/>
    <mergeCell ref="A462:B462"/>
    <mergeCell ref="C462:D462"/>
    <mergeCell ref="E462:F462"/>
    <mergeCell ref="G462:H462"/>
    <mergeCell ref="I462:J462"/>
    <mergeCell ref="K462:L462"/>
    <mergeCell ref="A463:B463"/>
    <mergeCell ref="C463:D463"/>
    <mergeCell ref="E463:F463"/>
    <mergeCell ref="G463:H463"/>
    <mergeCell ref="I463:J463"/>
    <mergeCell ref="K463:L463"/>
    <mergeCell ref="A464:B464"/>
    <mergeCell ref="C464:D464"/>
    <mergeCell ref="E464:F464"/>
    <mergeCell ref="G464:H464"/>
    <mergeCell ref="I464:J464"/>
    <mergeCell ref="K464:L464"/>
    <mergeCell ref="A465:B465"/>
    <mergeCell ref="C465:D465"/>
    <mergeCell ref="E465:F465"/>
    <mergeCell ref="G465:H465"/>
    <mergeCell ref="I465:J465"/>
    <mergeCell ref="K465:L465"/>
    <mergeCell ref="A466:B466"/>
    <mergeCell ref="C466:D466"/>
    <mergeCell ref="E466:F466"/>
    <mergeCell ref="G466:H466"/>
    <mergeCell ref="I466:J466"/>
    <mergeCell ref="K466:L466"/>
    <mergeCell ref="A467:B467"/>
    <mergeCell ref="C467:D467"/>
    <mergeCell ref="E467:F467"/>
    <mergeCell ref="G467:H467"/>
    <mergeCell ref="I467:J467"/>
    <mergeCell ref="K467:L467"/>
    <mergeCell ref="A468:L468"/>
    <mergeCell ref="A469:C469"/>
    <mergeCell ref="D469:E469"/>
    <mergeCell ref="F469:G469"/>
    <mergeCell ref="H469:I469"/>
    <mergeCell ref="K469:L469"/>
    <mergeCell ref="A470:C470"/>
    <mergeCell ref="D470:E470"/>
    <mergeCell ref="F470:G470"/>
    <mergeCell ref="H470:I470"/>
    <mergeCell ref="K470:L470"/>
    <mergeCell ref="A471:C471"/>
    <mergeCell ref="D471:E471"/>
    <mergeCell ref="F471:G471"/>
    <mergeCell ref="H471:I471"/>
    <mergeCell ref="K471:L471"/>
    <mergeCell ref="A472:C472"/>
    <mergeCell ref="D472:E472"/>
    <mergeCell ref="F472:G472"/>
    <mergeCell ref="H472:I472"/>
    <mergeCell ref="K472:L472"/>
    <mergeCell ref="A473:E473"/>
    <mergeCell ref="F473:H473"/>
    <mergeCell ref="I473:J473"/>
    <mergeCell ref="K473:L473"/>
    <mergeCell ref="A474:E474"/>
    <mergeCell ref="F474:H474"/>
    <mergeCell ref="I474:J474"/>
    <mergeCell ref="K474:L474"/>
    <mergeCell ref="A475:E475"/>
    <mergeCell ref="F475:H475"/>
    <mergeCell ref="I475:J475"/>
    <mergeCell ref="K475:L475"/>
    <mergeCell ref="A476:E476"/>
    <mergeCell ref="F476:H476"/>
    <mergeCell ref="I476:J476"/>
    <mergeCell ref="K476:L476"/>
    <mergeCell ref="A477:L477"/>
    <mergeCell ref="A478:L478"/>
    <mergeCell ref="B479:D479"/>
    <mergeCell ref="E479:F479"/>
    <mergeCell ref="G479:H479"/>
    <mergeCell ref="I479:J479"/>
    <mergeCell ref="K479:L479"/>
    <mergeCell ref="B480:D480"/>
    <mergeCell ref="E480:F480"/>
    <mergeCell ref="G480:H480"/>
    <mergeCell ref="I480:J480"/>
    <mergeCell ref="K480:L480"/>
    <mergeCell ref="B481:D481"/>
    <mergeCell ref="E481:F481"/>
    <mergeCell ref="G481:H481"/>
    <mergeCell ref="I481:J481"/>
    <mergeCell ref="K481:L481"/>
    <mergeCell ref="B482:D482"/>
    <mergeCell ref="E482:F482"/>
    <mergeCell ref="G482:H482"/>
    <mergeCell ref="I482:J482"/>
    <mergeCell ref="K482:L482"/>
    <mergeCell ref="B483:D483"/>
    <mergeCell ref="E483:F483"/>
    <mergeCell ref="G483:H483"/>
    <mergeCell ref="I483:J483"/>
    <mergeCell ref="K483:L483"/>
    <mergeCell ref="B484:D484"/>
    <mergeCell ref="E484:F484"/>
    <mergeCell ref="G484:H484"/>
    <mergeCell ref="I484:J484"/>
    <mergeCell ref="K484:L484"/>
    <mergeCell ref="B485:D485"/>
    <mergeCell ref="E485:F485"/>
    <mergeCell ref="G485:H485"/>
    <mergeCell ref="I485:J485"/>
    <mergeCell ref="K485:L485"/>
    <mergeCell ref="B486:D486"/>
    <mergeCell ref="E486:F486"/>
    <mergeCell ref="G486:H486"/>
    <mergeCell ref="I486:J486"/>
    <mergeCell ref="K486:L486"/>
    <mergeCell ref="B487:D487"/>
    <mergeCell ref="E487:F487"/>
    <mergeCell ref="G487:H487"/>
    <mergeCell ref="I487:J487"/>
    <mergeCell ref="K487:L487"/>
    <mergeCell ref="A488:B488"/>
    <mergeCell ref="C488:D488"/>
    <mergeCell ref="E488:F488"/>
    <mergeCell ref="G488:H488"/>
    <mergeCell ref="I488:J488"/>
    <mergeCell ref="K488:L488"/>
    <mergeCell ref="A489:B489"/>
    <mergeCell ref="C489:D489"/>
    <mergeCell ref="E489:F489"/>
    <mergeCell ref="G489:H489"/>
    <mergeCell ref="I489:J489"/>
    <mergeCell ref="K489:L489"/>
    <mergeCell ref="A490:B490"/>
    <mergeCell ref="C490:D490"/>
    <mergeCell ref="E490:F490"/>
    <mergeCell ref="G490:H490"/>
    <mergeCell ref="I490:J490"/>
    <mergeCell ref="K490:L490"/>
    <mergeCell ref="A491:B491"/>
    <mergeCell ref="C491:D491"/>
    <mergeCell ref="E491:F491"/>
    <mergeCell ref="G491:H491"/>
    <mergeCell ref="I491:J491"/>
    <mergeCell ref="K491:L491"/>
    <mergeCell ref="A492:B492"/>
    <mergeCell ref="C492:D492"/>
    <mergeCell ref="E492:F492"/>
    <mergeCell ref="G492:H492"/>
    <mergeCell ref="I492:J492"/>
    <mergeCell ref="K492:L492"/>
    <mergeCell ref="A493:B493"/>
    <mergeCell ref="C493:D493"/>
    <mergeCell ref="E493:F493"/>
    <mergeCell ref="G493:H493"/>
    <mergeCell ref="I493:J493"/>
    <mergeCell ref="K493:L493"/>
    <mergeCell ref="A494:B494"/>
    <mergeCell ref="C494:D494"/>
    <mergeCell ref="E494:F494"/>
    <mergeCell ref="G494:H494"/>
    <mergeCell ref="I494:J494"/>
    <mergeCell ref="K494:L494"/>
    <mergeCell ref="A495:B495"/>
    <mergeCell ref="C495:D495"/>
    <mergeCell ref="E495:F495"/>
    <mergeCell ref="G495:H495"/>
    <mergeCell ref="I495:J495"/>
    <mergeCell ref="K495:L495"/>
    <mergeCell ref="A496:B496"/>
    <mergeCell ref="C496:D496"/>
    <mergeCell ref="E496:F496"/>
    <mergeCell ref="G496:H496"/>
    <mergeCell ref="I496:J496"/>
    <mergeCell ref="K496:L496"/>
    <mergeCell ref="A497:B497"/>
    <mergeCell ref="C497:D497"/>
    <mergeCell ref="E497:F497"/>
    <mergeCell ref="G497:H497"/>
    <mergeCell ref="I497:J497"/>
    <mergeCell ref="K497:L497"/>
    <mergeCell ref="A498:B498"/>
    <mergeCell ref="C498:D498"/>
    <mergeCell ref="E498:F498"/>
    <mergeCell ref="G498:H498"/>
    <mergeCell ref="I498:J498"/>
    <mergeCell ref="K498:L498"/>
    <mergeCell ref="A499:B499"/>
    <mergeCell ref="C499:D499"/>
    <mergeCell ref="E499:F499"/>
    <mergeCell ref="G499:H499"/>
    <mergeCell ref="I499:J499"/>
    <mergeCell ref="K499:L499"/>
    <mergeCell ref="A500:B500"/>
    <mergeCell ref="C500:D500"/>
    <mergeCell ref="E500:F500"/>
    <mergeCell ref="G500:H500"/>
    <mergeCell ref="I500:J500"/>
    <mergeCell ref="K500:L500"/>
    <mergeCell ref="A501:B501"/>
    <mergeCell ref="C501:D501"/>
    <mergeCell ref="E501:F501"/>
    <mergeCell ref="G501:H501"/>
    <mergeCell ref="I501:J501"/>
    <mergeCell ref="K501:L501"/>
    <mergeCell ref="A502:B502"/>
    <mergeCell ref="C502:D502"/>
    <mergeCell ref="E502:F502"/>
    <mergeCell ref="G502:H502"/>
    <mergeCell ref="I502:J502"/>
    <mergeCell ref="K502:L502"/>
    <mergeCell ref="A503:B503"/>
    <mergeCell ref="C503:D503"/>
    <mergeCell ref="E503:F503"/>
    <mergeCell ref="G503:H503"/>
    <mergeCell ref="I503:J503"/>
    <mergeCell ref="K503:L503"/>
    <mergeCell ref="A504:B504"/>
    <mergeCell ref="C504:D504"/>
    <mergeCell ref="E504:F504"/>
    <mergeCell ref="G504:H504"/>
    <mergeCell ref="I504:J504"/>
    <mergeCell ref="K504:L504"/>
    <mergeCell ref="A505:B505"/>
    <mergeCell ref="C505:D505"/>
    <mergeCell ref="E505:F505"/>
    <mergeCell ref="G505:H505"/>
    <mergeCell ref="I505:J505"/>
    <mergeCell ref="K505:L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B508"/>
    <mergeCell ref="C508:D508"/>
    <mergeCell ref="E508:F508"/>
    <mergeCell ref="G508:H508"/>
    <mergeCell ref="A509:B509"/>
    <mergeCell ref="C509:D509"/>
    <mergeCell ref="E509:F509"/>
    <mergeCell ref="G509:H509"/>
    <mergeCell ref="A510:B510"/>
    <mergeCell ref="C510:D510"/>
    <mergeCell ref="E510:F510"/>
    <mergeCell ref="G510:H510"/>
    <mergeCell ref="A511:B511"/>
    <mergeCell ref="C511:D511"/>
    <mergeCell ref="E511:F511"/>
    <mergeCell ref="G511:H511"/>
    <mergeCell ref="A512:B512"/>
    <mergeCell ref="C512:D512"/>
    <mergeCell ref="E512:F512"/>
    <mergeCell ref="G512:H512"/>
    <mergeCell ref="A513:B513"/>
    <mergeCell ref="C513:D513"/>
    <mergeCell ref="E513:F513"/>
    <mergeCell ref="G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I515:J515"/>
    <mergeCell ref="K515:L515"/>
    <mergeCell ref="A516:B516"/>
    <mergeCell ref="C516:D516"/>
    <mergeCell ref="E516:F516"/>
    <mergeCell ref="G516:H516"/>
    <mergeCell ref="I516:J516"/>
    <mergeCell ref="K516:L516"/>
    <mergeCell ref="A517:B517"/>
    <mergeCell ref="C517:D517"/>
    <mergeCell ref="E517:F517"/>
    <mergeCell ref="G517:H517"/>
    <mergeCell ref="I517:J517"/>
    <mergeCell ref="K517:L517"/>
    <mergeCell ref="A518:B518"/>
    <mergeCell ref="C518:D518"/>
    <mergeCell ref="E518:F518"/>
    <mergeCell ref="G518:H518"/>
    <mergeCell ref="I518:J518"/>
    <mergeCell ref="K518:L518"/>
    <mergeCell ref="A519:B519"/>
    <mergeCell ref="C519:D519"/>
    <mergeCell ref="E519:F519"/>
    <mergeCell ref="G519:H519"/>
    <mergeCell ref="I519:J519"/>
    <mergeCell ref="K519:L519"/>
    <mergeCell ref="A520:B520"/>
    <mergeCell ref="C520:D520"/>
    <mergeCell ref="E520:F520"/>
    <mergeCell ref="G520:H520"/>
    <mergeCell ref="I520:J520"/>
    <mergeCell ref="K520:L520"/>
    <mergeCell ref="A521:B521"/>
    <mergeCell ref="C521:D521"/>
    <mergeCell ref="E521:F521"/>
    <mergeCell ref="G521:H521"/>
    <mergeCell ref="I521:J521"/>
    <mergeCell ref="K521:L521"/>
    <mergeCell ref="A522:B522"/>
    <mergeCell ref="C522:D522"/>
    <mergeCell ref="E522:F522"/>
    <mergeCell ref="G522:H522"/>
    <mergeCell ref="I522:J522"/>
    <mergeCell ref="K522:L522"/>
    <mergeCell ref="A523:B523"/>
    <mergeCell ref="C523:D523"/>
    <mergeCell ref="E523:F523"/>
    <mergeCell ref="G523:H523"/>
    <mergeCell ref="I523:J523"/>
    <mergeCell ref="K523:L523"/>
    <mergeCell ref="A524:B524"/>
    <mergeCell ref="C524:D524"/>
    <mergeCell ref="E524:F524"/>
    <mergeCell ref="G524:H524"/>
    <mergeCell ref="I524:J524"/>
    <mergeCell ref="K524:L524"/>
    <mergeCell ref="A525:B525"/>
    <mergeCell ref="C525:D525"/>
    <mergeCell ref="E525:F525"/>
    <mergeCell ref="G525:H525"/>
    <mergeCell ref="I525:J525"/>
    <mergeCell ref="K525:L525"/>
    <mergeCell ref="A526:B526"/>
    <mergeCell ref="C526:D526"/>
    <mergeCell ref="E526:F526"/>
    <mergeCell ref="G526:H526"/>
    <mergeCell ref="I526:J526"/>
    <mergeCell ref="K526:L526"/>
    <mergeCell ref="A527:B527"/>
    <mergeCell ref="C527:D527"/>
    <mergeCell ref="E527:F527"/>
    <mergeCell ref="G527:H527"/>
    <mergeCell ref="I527:J527"/>
    <mergeCell ref="K527:L527"/>
    <mergeCell ref="A528:B528"/>
    <mergeCell ref="C528:D528"/>
    <mergeCell ref="E528:F528"/>
    <mergeCell ref="G528:H528"/>
    <mergeCell ref="I528:J528"/>
    <mergeCell ref="K528:L528"/>
    <mergeCell ref="A529:B529"/>
    <mergeCell ref="C529:D529"/>
    <mergeCell ref="E529:F529"/>
    <mergeCell ref="G529:H529"/>
    <mergeCell ref="I529:J529"/>
    <mergeCell ref="K529:L529"/>
    <mergeCell ref="A530:B530"/>
    <mergeCell ref="C530:D530"/>
    <mergeCell ref="E530:F530"/>
    <mergeCell ref="G530:H530"/>
    <mergeCell ref="I530:J530"/>
    <mergeCell ref="K530:L530"/>
    <mergeCell ref="A531:B531"/>
    <mergeCell ref="C531:D531"/>
    <mergeCell ref="E531:F531"/>
    <mergeCell ref="G531:H531"/>
    <mergeCell ref="I531:J531"/>
    <mergeCell ref="K531:L531"/>
    <mergeCell ref="A532:B532"/>
    <mergeCell ref="C532:D532"/>
    <mergeCell ref="E532:F532"/>
    <mergeCell ref="G532:H532"/>
    <mergeCell ref="I532:J532"/>
    <mergeCell ref="K532:L532"/>
    <mergeCell ref="A533:B533"/>
    <mergeCell ref="C533:D533"/>
    <mergeCell ref="E533:F533"/>
    <mergeCell ref="G533:H533"/>
    <mergeCell ref="I533:J533"/>
    <mergeCell ref="K533:L533"/>
    <mergeCell ref="A534:B534"/>
    <mergeCell ref="C534:D534"/>
    <mergeCell ref="E534:F534"/>
    <mergeCell ref="G534:H534"/>
    <mergeCell ref="I534:J534"/>
    <mergeCell ref="K534:L534"/>
    <mergeCell ref="A535:B535"/>
    <mergeCell ref="C535:D535"/>
    <mergeCell ref="E535:F535"/>
    <mergeCell ref="G535:H535"/>
    <mergeCell ref="I535:J535"/>
    <mergeCell ref="K535:L535"/>
    <mergeCell ref="A536:B536"/>
    <mergeCell ref="C536:D536"/>
    <mergeCell ref="E536:F536"/>
    <mergeCell ref="G536:H536"/>
    <mergeCell ref="I536:J536"/>
    <mergeCell ref="K536:L536"/>
    <mergeCell ref="A537:B537"/>
    <mergeCell ref="C537:D537"/>
    <mergeCell ref="E537:F537"/>
    <mergeCell ref="G537:H537"/>
    <mergeCell ref="I537:J537"/>
    <mergeCell ref="K537:L537"/>
    <mergeCell ref="A538:B538"/>
    <mergeCell ref="C538:D538"/>
    <mergeCell ref="E538:F538"/>
    <mergeCell ref="G538:H538"/>
    <mergeCell ref="I538:J538"/>
    <mergeCell ref="K538:L538"/>
    <mergeCell ref="A539:B539"/>
    <mergeCell ref="C539:D539"/>
    <mergeCell ref="E539:F539"/>
    <mergeCell ref="G539:H539"/>
    <mergeCell ref="I539:J539"/>
    <mergeCell ref="K539:L539"/>
    <mergeCell ref="A540:B540"/>
    <mergeCell ref="C540:D540"/>
    <mergeCell ref="E540:F540"/>
    <mergeCell ref="G540:H540"/>
    <mergeCell ref="I540:J540"/>
    <mergeCell ref="K540:L540"/>
    <mergeCell ref="A541:B541"/>
    <mergeCell ref="C541:D541"/>
    <mergeCell ref="E541:F541"/>
    <mergeCell ref="G541:H541"/>
    <mergeCell ref="I541:J541"/>
    <mergeCell ref="K541:L541"/>
    <mergeCell ref="A542:L542"/>
    <mergeCell ref="B543:D543"/>
    <mergeCell ref="E543:F543"/>
    <mergeCell ref="G543:H543"/>
    <mergeCell ref="I543:J543"/>
    <mergeCell ref="K543:L543"/>
    <mergeCell ref="B544:D544"/>
    <mergeCell ref="E544:F544"/>
    <mergeCell ref="G544:H544"/>
    <mergeCell ref="I544:J544"/>
    <mergeCell ref="K544:L544"/>
    <mergeCell ref="B545:D545"/>
    <mergeCell ref="E545:F545"/>
    <mergeCell ref="G545:H545"/>
    <mergeCell ref="I545:J545"/>
    <mergeCell ref="K545:L545"/>
    <mergeCell ref="A546:B546"/>
    <mergeCell ref="C546:D546"/>
    <mergeCell ref="E546:F546"/>
    <mergeCell ref="G546:H546"/>
    <mergeCell ref="I546:J546"/>
    <mergeCell ref="K546:L546"/>
    <mergeCell ref="A547:B547"/>
    <mergeCell ref="C547:D547"/>
    <mergeCell ref="E547:F547"/>
    <mergeCell ref="G547:H547"/>
    <mergeCell ref="I547:J547"/>
    <mergeCell ref="K547:L547"/>
    <mergeCell ref="A548:B548"/>
    <mergeCell ref="C548:D548"/>
    <mergeCell ref="E548:F548"/>
    <mergeCell ref="G548:H548"/>
    <mergeCell ref="I548:J548"/>
    <mergeCell ref="K548:L548"/>
    <mergeCell ref="A549:B549"/>
    <mergeCell ref="C549:D549"/>
    <mergeCell ref="E549:F549"/>
    <mergeCell ref="G549:H549"/>
    <mergeCell ref="I549:J549"/>
    <mergeCell ref="K549:L549"/>
    <mergeCell ref="A550:B550"/>
    <mergeCell ref="C550:D550"/>
    <mergeCell ref="E550:F550"/>
    <mergeCell ref="G550:H550"/>
    <mergeCell ref="I550:J550"/>
    <mergeCell ref="K550:L550"/>
    <mergeCell ref="A551:B551"/>
    <mergeCell ref="C551:D551"/>
    <mergeCell ref="E551:F551"/>
    <mergeCell ref="G551:H551"/>
    <mergeCell ref="I551:J551"/>
    <mergeCell ref="K551:L551"/>
    <mergeCell ref="A552:B552"/>
    <mergeCell ref="C552:D552"/>
    <mergeCell ref="E552:F552"/>
    <mergeCell ref="G552:H552"/>
    <mergeCell ref="A553:B553"/>
    <mergeCell ref="C553:D553"/>
    <mergeCell ref="E553:F553"/>
    <mergeCell ref="G553:H553"/>
    <mergeCell ref="A554:B554"/>
    <mergeCell ref="C554:D554"/>
    <mergeCell ref="E554:F554"/>
    <mergeCell ref="G554:H554"/>
    <mergeCell ref="A555:B555"/>
    <mergeCell ref="C555:D555"/>
    <mergeCell ref="E555:F555"/>
    <mergeCell ref="G555:H555"/>
    <mergeCell ref="I555:J555"/>
    <mergeCell ref="K555:L555"/>
    <mergeCell ref="A556:B556"/>
    <mergeCell ref="C556:D556"/>
    <mergeCell ref="E556:F556"/>
    <mergeCell ref="G556:H556"/>
    <mergeCell ref="I556:J556"/>
    <mergeCell ref="K556:L556"/>
    <mergeCell ref="A557:B557"/>
    <mergeCell ref="C557:D557"/>
    <mergeCell ref="E557:F557"/>
    <mergeCell ref="G557:H557"/>
    <mergeCell ref="I557:J557"/>
    <mergeCell ref="K557:L557"/>
    <mergeCell ref="A558:B558"/>
    <mergeCell ref="C558:D558"/>
    <mergeCell ref="E558:F558"/>
    <mergeCell ref="G558:H558"/>
    <mergeCell ref="I558:J558"/>
    <mergeCell ref="K558:L558"/>
    <mergeCell ref="A559:B559"/>
    <mergeCell ref="C559:D559"/>
    <mergeCell ref="E559:F559"/>
    <mergeCell ref="G559:H559"/>
    <mergeCell ref="I559:J559"/>
    <mergeCell ref="K559:L559"/>
    <mergeCell ref="A560:B560"/>
    <mergeCell ref="C560:D560"/>
    <mergeCell ref="E560:F560"/>
    <mergeCell ref="G560:H560"/>
    <mergeCell ref="I560:J560"/>
    <mergeCell ref="K560:L560"/>
    <mergeCell ref="A561:B561"/>
    <mergeCell ref="C561:D561"/>
    <mergeCell ref="E561:F561"/>
    <mergeCell ref="G561:H561"/>
    <mergeCell ref="I561:J561"/>
    <mergeCell ref="K561:L561"/>
    <mergeCell ref="A562:B562"/>
    <mergeCell ref="C562:D562"/>
    <mergeCell ref="E562:F562"/>
    <mergeCell ref="G562:H562"/>
    <mergeCell ref="I562:J562"/>
    <mergeCell ref="K562:L562"/>
    <mergeCell ref="A563:B563"/>
    <mergeCell ref="C563:D563"/>
    <mergeCell ref="E563:F563"/>
    <mergeCell ref="G563:H563"/>
    <mergeCell ref="I563:J563"/>
    <mergeCell ref="K563:L563"/>
    <mergeCell ref="A564:L564"/>
    <mergeCell ref="A565:B565"/>
    <mergeCell ref="C565:D565"/>
    <mergeCell ref="E565:F565"/>
    <mergeCell ref="G565:H565"/>
    <mergeCell ref="I565:J565"/>
    <mergeCell ref="K565:L565"/>
    <mergeCell ref="A566:B566"/>
    <mergeCell ref="C566:D566"/>
    <mergeCell ref="E566:F566"/>
    <mergeCell ref="G566:H566"/>
    <mergeCell ref="I566:J566"/>
    <mergeCell ref="K566:L566"/>
    <mergeCell ref="A567:B567"/>
    <mergeCell ref="C567:D567"/>
    <mergeCell ref="E567:F567"/>
    <mergeCell ref="G567:H567"/>
    <mergeCell ref="I567:J567"/>
    <mergeCell ref="K567:L567"/>
    <mergeCell ref="A568:B568"/>
    <mergeCell ref="C568:D568"/>
    <mergeCell ref="E568:F568"/>
    <mergeCell ref="G568:H568"/>
    <mergeCell ref="I568:J568"/>
    <mergeCell ref="K568:L568"/>
    <mergeCell ref="A569:B569"/>
    <mergeCell ref="C569:D569"/>
    <mergeCell ref="E569:F569"/>
    <mergeCell ref="G569:H569"/>
    <mergeCell ref="I569:J569"/>
    <mergeCell ref="K569:L569"/>
    <mergeCell ref="A570:B570"/>
    <mergeCell ref="C570:D570"/>
    <mergeCell ref="E570:F570"/>
    <mergeCell ref="G570:H570"/>
    <mergeCell ref="I570:J570"/>
    <mergeCell ref="K570:L570"/>
    <mergeCell ref="A571:B571"/>
    <mergeCell ref="C571:D571"/>
    <mergeCell ref="E571:F571"/>
    <mergeCell ref="G571:H571"/>
    <mergeCell ref="I571:J571"/>
    <mergeCell ref="K571:L571"/>
    <mergeCell ref="A572:B572"/>
    <mergeCell ref="C572:D572"/>
    <mergeCell ref="E572:F572"/>
    <mergeCell ref="G572:H572"/>
    <mergeCell ref="I572:J572"/>
    <mergeCell ref="K572:L572"/>
    <mergeCell ref="A573:B573"/>
    <mergeCell ref="C573:D573"/>
    <mergeCell ref="E573:F573"/>
    <mergeCell ref="G573:H573"/>
    <mergeCell ref="I573:J573"/>
    <mergeCell ref="K573:L573"/>
    <mergeCell ref="A574:B574"/>
    <mergeCell ref="C574:D574"/>
    <mergeCell ref="E574:F574"/>
    <mergeCell ref="G574:H574"/>
    <mergeCell ref="I574:J574"/>
    <mergeCell ref="K574:L574"/>
    <mergeCell ref="A575:L575"/>
    <mergeCell ref="A576:L576"/>
    <mergeCell ref="B577:D577"/>
    <mergeCell ref="E577:F577"/>
    <mergeCell ref="G577:H577"/>
    <mergeCell ref="I577:J577"/>
    <mergeCell ref="K577:L577"/>
    <mergeCell ref="B578:D578"/>
    <mergeCell ref="E578:F578"/>
    <mergeCell ref="G578:H578"/>
    <mergeCell ref="I578:J578"/>
    <mergeCell ref="K578:L578"/>
    <mergeCell ref="B579:D579"/>
    <mergeCell ref="E579:F579"/>
    <mergeCell ref="G579:H579"/>
    <mergeCell ref="I579:J579"/>
    <mergeCell ref="K579:L579"/>
    <mergeCell ref="B580:D580"/>
    <mergeCell ref="E580:F580"/>
    <mergeCell ref="G580:H580"/>
    <mergeCell ref="I580:J580"/>
    <mergeCell ref="K580:L580"/>
    <mergeCell ref="B581:D581"/>
    <mergeCell ref="E581:F581"/>
    <mergeCell ref="G581:H581"/>
    <mergeCell ref="I581:J581"/>
    <mergeCell ref="K581:L581"/>
    <mergeCell ref="B582:D582"/>
    <mergeCell ref="E582:F582"/>
    <mergeCell ref="G582:H582"/>
    <mergeCell ref="I582:J582"/>
    <mergeCell ref="K582:L582"/>
    <mergeCell ref="B583:D583"/>
    <mergeCell ref="E583:F583"/>
    <mergeCell ref="G583:H583"/>
    <mergeCell ref="I583:J583"/>
    <mergeCell ref="K583:L583"/>
    <mergeCell ref="B584:D584"/>
    <mergeCell ref="E584:F584"/>
    <mergeCell ref="G584:H584"/>
    <mergeCell ref="I584:J584"/>
    <mergeCell ref="K584:L584"/>
    <mergeCell ref="B585:D585"/>
    <mergeCell ref="E585:F585"/>
    <mergeCell ref="G585:H585"/>
    <mergeCell ref="I585:J585"/>
    <mergeCell ref="K585:L585"/>
    <mergeCell ref="B586:D586"/>
    <mergeCell ref="E586:F586"/>
    <mergeCell ref="G586:H586"/>
    <mergeCell ref="I586:J586"/>
    <mergeCell ref="K586:L586"/>
    <mergeCell ref="B587:D587"/>
    <mergeCell ref="E587:F587"/>
    <mergeCell ref="G587:H587"/>
    <mergeCell ref="I587:J587"/>
    <mergeCell ref="K587:L587"/>
    <mergeCell ref="B588:D588"/>
    <mergeCell ref="E588:F588"/>
    <mergeCell ref="G588:H588"/>
    <mergeCell ref="I588:J588"/>
    <mergeCell ref="K588:L588"/>
    <mergeCell ref="B589:D589"/>
    <mergeCell ref="E589:F589"/>
    <mergeCell ref="G589:H589"/>
    <mergeCell ref="I589:J589"/>
    <mergeCell ref="K589:L589"/>
    <mergeCell ref="B590:D590"/>
    <mergeCell ref="E590:F590"/>
    <mergeCell ref="G590:H590"/>
    <mergeCell ref="I590:J590"/>
    <mergeCell ref="K590:L590"/>
    <mergeCell ref="B591:D591"/>
    <mergeCell ref="E591:F591"/>
    <mergeCell ref="G591:H591"/>
    <mergeCell ref="I591:J591"/>
    <mergeCell ref="K591:L591"/>
    <mergeCell ref="B592:D592"/>
    <mergeCell ref="E592:F592"/>
    <mergeCell ref="G592:H592"/>
    <mergeCell ref="I592:J592"/>
    <mergeCell ref="K592:L592"/>
    <mergeCell ref="B593:D593"/>
    <mergeCell ref="E593:F593"/>
    <mergeCell ref="G593:H593"/>
    <mergeCell ref="I593:J593"/>
    <mergeCell ref="K593:L593"/>
    <mergeCell ref="B594:D594"/>
    <mergeCell ref="E594:F594"/>
    <mergeCell ref="G594:H594"/>
    <mergeCell ref="I594:J594"/>
    <mergeCell ref="K594:L594"/>
    <mergeCell ref="B595:D595"/>
    <mergeCell ref="E595:F595"/>
    <mergeCell ref="G595:H595"/>
    <mergeCell ref="I595:J595"/>
    <mergeCell ref="K595:L595"/>
    <mergeCell ref="B596:D596"/>
    <mergeCell ref="E596:F596"/>
    <mergeCell ref="G596:H596"/>
    <mergeCell ref="I596:J596"/>
    <mergeCell ref="K596:L596"/>
    <mergeCell ref="B597:D597"/>
    <mergeCell ref="E597:F597"/>
    <mergeCell ref="G597:H597"/>
    <mergeCell ref="I597:J597"/>
    <mergeCell ref="K597:L597"/>
    <mergeCell ref="B598:D598"/>
    <mergeCell ref="E598:F598"/>
    <mergeCell ref="G598:H598"/>
    <mergeCell ref="I598:J598"/>
    <mergeCell ref="K598:L598"/>
    <mergeCell ref="B599:D599"/>
    <mergeCell ref="E599:F599"/>
    <mergeCell ref="G599:H599"/>
    <mergeCell ref="I599:J599"/>
    <mergeCell ref="K599:L599"/>
    <mergeCell ref="B600:D600"/>
    <mergeCell ref="E600:F600"/>
    <mergeCell ref="G600:H600"/>
    <mergeCell ref="I600:J600"/>
    <mergeCell ref="K600:L600"/>
    <mergeCell ref="B601:D601"/>
    <mergeCell ref="E601:F601"/>
    <mergeCell ref="G601:H601"/>
    <mergeCell ref="I601:J601"/>
    <mergeCell ref="K601:L601"/>
    <mergeCell ref="B602:D602"/>
    <mergeCell ref="E602:F602"/>
    <mergeCell ref="G602:H602"/>
    <mergeCell ref="I602:J602"/>
    <mergeCell ref="K602:L602"/>
    <mergeCell ref="B603:D603"/>
    <mergeCell ref="E603:F603"/>
    <mergeCell ref="G603:H603"/>
    <mergeCell ref="I603:J603"/>
    <mergeCell ref="K603:L603"/>
    <mergeCell ref="B604:D604"/>
    <mergeCell ref="E604:F604"/>
    <mergeCell ref="G604:H604"/>
    <mergeCell ref="I604:J604"/>
    <mergeCell ref="K604:L604"/>
    <mergeCell ref="B605:D605"/>
    <mergeCell ref="E605:F605"/>
    <mergeCell ref="G605:H605"/>
    <mergeCell ref="I605:J605"/>
    <mergeCell ref="K605:L605"/>
    <mergeCell ref="B606:D606"/>
    <mergeCell ref="E606:F606"/>
    <mergeCell ref="G606:H606"/>
    <mergeCell ref="I606:J606"/>
    <mergeCell ref="K606:L606"/>
    <mergeCell ref="B607:D607"/>
    <mergeCell ref="E607:F607"/>
    <mergeCell ref="G607:H607"/>
    <mergeCell ref="I607:J607"/>
    <mergeCell ref="K607:L607"/>
    <mergeCell ref="B608:D608"/>
    <mergeCell ref="E608:F608"/>
    <mergeCell ref="G608:H608"/>
    <mergeCell ref="I608:J608"/>
    <mergeCell ref="K608:L608"/>
    <mergeCell ref="B609:D609"/>
    <mergeCell ref="E609:F609"/>
    <mergeCell ref="G609:H609"/>
    <mergeCell ref="I609:J609"/>
    <mergeCell ref="K609:L609"/>
    <mergeCell ref="B610:D610"/>
    <mergeCell ref="E610:F610"/>
    <mergeCell ref="G610:H610"/>
    <mergeCell ref="I610:J610"/>
    <mergeCell ref="K610:L610"/>
    <mergeCell ref="B611:D611"/>
    <mergeCell ref="E611:F611"/>
    <mergeCell ref="G611:H611"/>
    <mergeCell ref="I611:J611"/>
    <mergeCell ref="K611:L611"/>
    <mergeCell ref="B612:D612"/>
    <mergeCell ref="E612:F612"/>
    <mergeCell ref="G612:H612"/>
    <mergeCell ref="I612:J612"/>
    <mergeCell ref="K612:L612"/>
    <mergeCell ref="B613:D613"/>
    <mergeCell ref="E613:F613"/>
    <mergeCell ref="G613:H613"/>
    <mergeCell ref="I613:J613"/>
    <mergeCell ref="K613:L613"/>
    <mergeCell ref="B614:D614"/>
    <mergeCell ref="E614:F614"/>
    <mergeCell ref="G614:H614"/>
    <mergeCell ref="I614:J614"/>
    <mergeCell ref="K614:L614"/>
    <mergeCell ref="B615:D615"/>
    <mergeCell ref="E615:F615"/>
    <mergeCell ref="G615:H615"/>
    <mergeCell ref="I615:J615"/>
    <mergeCell ref="K615:L615"/>
    <mergeCell ref="B616:D616"/>
    <mergeCell ref="E616:F616"/>
    <mergeCell ref="G616:H616"/>
    <mergeCell ref="I616:J616"/>
    <mergeCell ref="K616:L616"/>
    <mergeCell ref="B617:D617"/>
    <mergeCell ref="E617:F617"/>
    <mergeCell ref="G617:H617"/>
    <mergeCell ref="I617:J617"/>
    <mergeCell ref="K617:L617"/>
    <mergeCell ref="B618:D618"/>
    <mergeCell ref="E618:F618"/>
    <mergeCell ref="G618:H618"/>
    <mergeCell ref="I618:J618"/>
    <mergeCell ref="K618:L618"/>
    <mergeCell ref="B619:D619"/>
    <mergeCell ref="E619:F619"/>
    <mergeCell ref="G619:H619"/>
    <mergeCell ref="I619:J619"/>
    <mergeCell ref="K619:L619"/>
    <mergeCell ref="B620:D620"/>
    <mergeCell ref="E620:F620"/>
    <mergeCell ref="G620:H620"/>
    <mergeCell ref="I620:J620"/>
    <mergeCell ref="K620:L620"/>
    <mergeCell ref="B621:D621"/>
    <mergeCell ref="E621:F621"/>
    <mergeCell ref="G621:H621"/>
    <mergeCell ref="I621:J621"/>
    <mergeCell ref="K621:L621"/>
    <mergeCell ref="B622:D622"/>
    <mergeCell ref="E622:F622"/>
    <mergeCell ref="G622:H622"/>
    <mergeCell ref="I622:J622"/>
    <mergeCell ref="K622:L622"/>
    <mergeCell ref="B623:D623"/>
    <mergeCell ref="E623:F623"/>
    <mergeCell ref="G623:H623"/>
    <mergeCell ref="I623:J623"/>
    <mergeCell ref="K623:L623"/>
    <mergeCell ref="B624:D624"/>
    <mergeCell ref="E624:F624"/>
    <mergeCell ref="G624:H624"/>
    <mergeCell ref="I624:J624"/>
    <mergeCell ref="K624:L624"/>
    <mergeCell ref="B625:D625"/>
    <mergeCell ref="E625:F625"/>
    <mergeCell ref="G625:H625"/>
    <mergeCell ref="I625:J625"/>
    <mergeCell ref="K625:L625"/>
    <mergeCell ref="B626:D626"/>
    <mergeCell ref="E626:F626"/>
    <mergeCell ref="G626:H626"/>
    <mergeCell ref="I626:J626"/>
    <mergeCell ref="K626:L626"/>
    <mergeCell ref="A627:L627"/>
    <mergeCell ref="B628:C628"/>
    <mergeCell ref="D628:E628"/>
    <mergeCell ref="G628:H628"/>
    <mergeCell ref="I628:J628"/>
    <mergeCell ref="K628:L628"/>
    <mergeCell ref="B629:C629"/>
    <mergeCell ref="D629:E629"/>
    <mergeCell ref="G629:H629"/>
    <mergeCell ref="I629:J629"/>
    <mergeCell ref="K629:L629"/>
    <mergeCell ref="B630:C630"/>
    <mergeCell ref="D630:E630"/>
    <mergeCell ref="G630:H630"/>
    <mergeCell ref="I630:J630"/>
    <mergeCell ref="K630:L630"/>
    <mergeCell ref="B631:C631"/>
    <mergeCell ref="D631:E631"/>
    <mergeCell ref="G631:H631"/>
    <mergeCell ref="I631:J631"/>
    <mergeCell ref="K631:L631"/>
    <mergeCell ref="B632:C632"/>
    <mergeCell ref="D632:E632"/>
    <mergeCell ref="G632:H632"/>
    <mergeCell ref="I632:J632"/>
    <mergeCell ref="K632:L632"/>
    <mergeCell ref="B633:C633"/>
    <mergeCell ref="D633:E633"/>
    <mergeCell ref="G633:H633"/>
    <mergeCell ref="I633:J633"/>
    <mergeCell ref="K633:L633"/>
    <mergeCell ref="B634:C634"/>
    <mergeCell ref="D634:E634"/>
    <mergeCell ref="G634:H634"/>
    <mergeCell ref="I634:J634"/>
    <mergeCell ref="K634:L634"/>
    <mergeCell ref="B635:C635"/>
    <mergeCell ref="D635:E635"/>
    <mergeCell ref="G635:H635"/>
    <mergeCell ref="I635:J635"/>
    <mergeCell ref="K635:L635"/>
    <mergeCell ref="B636:C636"/>
    <mergeCell ref="D636:E636"/>
    <mergeCell ref="G636:H636"/>
    <mergeCell ref="I636:J636"/>
    <mergeCell ref="K636:L636"/>
    <mergeCell ref="B637:C637"/>
    <mergeCell ref="D637:E637"/>
    <mergeCell ref="G637:H637"/>
    <mergeCell ref="I637:J637"/>
    <mergeCell ref="K637:L637"/>
    <mergeCell ref="B638:C638"/>
    <mergeCell ref="D638:E638"/>
    <mergeCell ref="G638:H638"/>
    <mergeCell ref="I638:J638"/>
    <mergeCell ref="K638:L638"/>
    <mergeCell ref="B639:C639"/>
    <mergeCell ref="D639:E639"/>
    <mergeCell ref="G639:H639"/>
    <mergeCell ref="I639:J639"/>
    <mergeCell ref="K639:L639"/>
    <mergeCell ref="B640:C640"/>
    <mergeCell ref="D640:E640"/>
    <mergeCell ref="G640:H640"/>
    <mergeCell ref="I640:J640"/>
    <mergeCell ref="K640:L640"/>
    <mergeCell ref="B641:C641"/>
    <mergeCell ref="D641:E641"/>
    <mergeCell ref="G641:H641"/>
    <mergeCell ref="I641:J641"/>
    <mergeCell ref="K641:L641"/>
    <mergeCell ref="B642:C642"/>
    <mergeCell ref="D642:E642"/>
    <mergeCell ref="G642:H642"/>
    <mergeCell ref="I642:J642"/>
    <mergeCell ref="K642:L642"/>
    <mergeCell ref="B643:C643"/>
    <mergeCell ref="D643:E643"/>
    <mergeCell ref="G643:H643"/>
    <mergeCell ref="I643:J643"/>
    <mergeCell ref="K643:L643"/>
    <mergeCell ref="B644:C644"/>
    <mergeCell ref="D644:E644"/>
    <mergeCell ref="G644:H644"/>
    <mergeCell ref="I644:J644"/>
    <mergeCell ref="K644:L644"/>
    <mergeCell ref="B645:C645"/>
    <mergeCell ref="D645:E645"/>
    <mergeCell ref="G645:H645"/>
    <mergeCell ref="I645:J645"/>
    <mergeCell ref="K645:L645"/>
    <mergeCell ref="B646:C646"/>
    <mergeCell ref="D646:E646"/>
    <mergeCell ref="G646:H646"/>
    <mergeCell ref="I646:J646"/>
    <mergeCell ref="K646:L646"/>
    <mergeCell ref="B647:C647"/>
    <mergeCell ref="D647:E647"/>
    <mergeCell ref="G647:H647"/>
    <mergeCell ref="I647:J647"/>
    <mergeCell ref="K647:L647"/>
    <mergeCell ref="B648:C648"/>
    <mergeCell ref="D648:E648"/>
    <mergeCell ref="G648:H648"/>
    <mergeCell ref="I648:J648"/>
    <mergeCell ref="K648:L648"/>
    <mergeCell ref="B649:C649"/>
    <mergeCell ref="D649:E649"/>
    <mergeCell ref="G649:H649"/>
    <mergeCell ref="I649:J649"/>
    <mergeCell ref="K649:L649"/>
    <mergeCell ref="B650:C650"/>
    <mergeCell ref="D650:E650"/>
    <mergeCell ref="G650:H650"/>
    <mergeCell ref="I650:J650"/>
    <mergeCell ref="K650:L650"/>
    <mergeCell ref="B651:C651"/>
    <mergeCell ref="D651:E651"/>
    <mergeCell ref="G651:H651"/>
    <mergeCell ref="I651:J651"/>
    <mergeCell ref="K651:L651"/>
    <mergeCell ref="B652:C652"/>
    <mergeCell ref="D652:E652"/>
    <mergeCell ref="G652:H652"/>
    <mergeCell ref="I652:J652"/>
    <mergeCell ref="K652:L652"/>
    <mergeCell ref="B653:C653"/>
    <mergeCell ref="D653:E653"/>
    <mergeCell ref="G653:H653"/>
    <mergeCell ref="I653:J653"/>
    <mergeCell ref="K653:L653"/>
    <mergeCell ref="B654:C654"/>
    <mergeCell ref="D654:E654"/>
    <mergeCell ref="G654:H654"/>
    <mergeCell ref="I654:J654"/>
    <mergeCell ref="K654:L654"/>
    <mergeCell ref="B655:C655"/>
    <mergeCell ref="D655:E655"/>
    <mergeCell ref="G655:H655"/>
    <mergeCell ref="I655:J655"/>
    <mergeCell ref="K655:L655"/>
    <mergeCell ref="B656:C656"/>
    <mergeCell ref="D656:E656"/>
    <mergeCell ref="G656:H656"/>
    <mergeCell ref="I656:J656"/>
    <mergeCell ref="K656:L656"/>
    <mergeCell ref="B657:C657"/>
    <mergeCell ref="D657:E657"/>
    <mergeCell ref="G657:H657"/>
    <mergeCell ref="I657:J657"/>
    <mergeCell ref="K657:L657"/>
    <mergeCell ref="B658:C658"/>
    <mergeCell ref="D658:E658"/>
    <mergeCell ref="G658:H658"/>
    <mergeCell ref="I658:J658"/>
    <mergeCell ref="K658:L658"/>
    <mergeCell ref="B659:C659"/>
    <mergeCell ref="D659:E659"/>
    <mergeCell ref="G659:H659"/>
    <mergeCell ref="I659:J659"/>
    <mergeCell ref="K659:L659"/>
    <mergeCell ref="B660:C660"/>
    <mergeCell ref="D660:E660"/>
    <mergeCell ref="G660:H660"/>
    <mergeCell ref="I660:J660"/>
    <mergeCell ref="K660:L660"/>
    <mergeCell ref="B661:C661"/>
    <mergeCell ref="D661:E661"/>
    <mergeCell ref="G661:H661"/>
    <mergeCell ref="I661:J661"/>
    <mergeCell ref="K661:L661"/>
    <mergeCell ref="B662:C662"/>
    <mergeCell ref="D662:E662"/>
    <mergeCell ref="G662:H662"/>
    <mergeCell ref="I662:J662"/>
    <mergeCell ref="K662:L662"/>
    <mergeCell ref="B663:C663"/>
    <mergeCell ref="D663:E663"/>
    <mergeCell ref="G663:H663"/>
    <mergeCell ref="I663:J663"/>
    <mergeCell ref="K663:L663"/>
    <mergeCell ref="B664:C664"/>
    <mergeCell ref="D664:E664"/>
    <mergeCell ref="G664:H664"/>
    <mergeCell ref="I664:J664"/>
    <mergeCell ref="K664:L664"/>
    <mergeCell ref="B665:C665"/>
    <mergeCell ref="D665:E665"/>
    <mergeCell ref="G665:H665"/>
    <mergeCell ref="I665:J665"/>
    <mergeCell ref="K665:L665"/>
    <mergeCell ref="B666:C666"/>
    <mergeCell ref="D666:E666"/>
    <mergeCell ref="G666:H666"/>
    <mergeCell ref="I666:J666"/>
    <mergeCell ref="K666:L666"/>
    <mergeCell ref="B667:C667"/>
    <mergeCell ref="D667:E667"/>
    <mergeCell ref="G667:H667"/>
    <mergeCell ref="I667:J667"/>
    <mergeCell ref="K667:L667"/>
    <mergeCell ref="B668:C668"/>
    <mergeCell ref="D668:E668"/>
    <mergeCell ref="G668:H668"/>
    <mergeCell ref="I668:J668"/>
    <mergeCell ref="K668:L668"/>
    <mergeCell ref="B669:C669"/>
    <mergeCell ref="D669:E669"/>
    <mergeCell ref="G669:H669"/>
    <mergeCell ref="I669:J669"/>
    <mergeCell ref="K669:L669"/>
    <mergeCell ref="B670:C670"/>
    <mergeCell ref="D670:E670"/>
    <mergeCell ref="G670:H670"/>
    <mergeCell ref="I670:J670"/>
    <mergeCell ref="K670:L670"/>
    <mergeCell ref="B671:C671"/>
    <mergeCell ref="D671:E671"/>
    <mergeCell ref="G671:H671"/>
    <mergeCell ref="I671:J671"/>
    <mergeCell ref="K671:L671"/>
    <mergeCell ref="B672:C672"/>
    <mergeCell ref="D672:E672"/>
    <mergeCell ref="G672:H672"/>
    <mergeCell ref="I672:J672"/>
    <mergeCell ref="K672:L672"/>
    <mergeCell ref="B673:C673"/>
    <mergeCell ref="D673:E673"/>
    <mergeCell ref="G673:H673"/>
    <mergeCell ref="I673:J673"/>
    <mergeCell ref="K673:L673"/>
    <mergeCell ref="B674:C674"/>
    <mergeCell ref="D674:E674"/>
    <mergeCell ref="G674:H674"/>
    <mergeCell ref="I674:J674"/>
    <mergeCell ref="K674:L674"/>
    <mergeCell ref="B675:C675"/>
    <mergeCell ref="D675:E675"/>
    <mergeCell ref="G675:H675"/>
    <mergeCell ref="I675:J675"/>
    <mergeCell ref="K675:L675"/>
    <mergeCell ref="B676:C676"/>
    <mergeCell ref="D676:E676"/>
    <mergeCell ref="G676:H676"/>
    <mergeCell ref="I676:J676"/>
    <mergeCell ref="K676:L676"/>
    <mergeCell ref="B677:C677"/>
    <mergeCell ref="D677:E677"/>
    <mergeCell ref="G677:H677"/>
    <mergeCell ref="I677:J677"/>
    <mergeCell ref="K677:L677"/>
    <mergeCell ref="A678:L678"/>
    <mergeCell ref="A679:B679"/>
    <mergeCell ref="C679:D679"/>
    <mergeCell ref="E679:F679"/>
    <mergeCell ref="G679:H679"/>
    <mergeCell ref="I679:J679"/>
    <mergeCell ref="K679:L679"/>
    <mergeCell ref="A680:B680"/>
    <mergeCell ref="C680:D680"/>
    <mergeCell ref="E680:F680"/>
    <mergeCell ref="G680:H680"/>
    <mergeCell ref="I680:J680"/>
    <mergeCell ref="K680:L680"/>
    <mergeCell ref="A681:B681"/>
    <mergeCell ref="C681:D681"/>
    <mergeCell ref="E681:F681"/>
    <mergeCell ref="G681:H681"/>
    <mergeCell ref="I681:J681"/>
    <mergeCell ref="K681:L681"/>
    <mergeCell ref="A682:B682"/>
    <mergeCell ref="C682:D682"/>
    <mergeCell ref="E682:F682"/>
    <mergeCell ref="G682:H682"/>
    <mergeCell ref="I682:J682"/>
    <mergeCell ref="K682:L682"/>
    <mergeCell ref="A683:B683"/>
    <mergeCell ref="C683:D683"/>
    <mergeCell ref="E683:F683"/>
    <mergeCell ref="G683:H683"/>
    <mergeCell ref="I683:J683"/>
    <mergeCell ref="K683:L683"/>
    <mergeCell ref="A684:B684"/>
    <mergeCell ref="C684:E684"/>
    <mergeCell ref="F684:H684"/>
    <mergeCell ref="I684:L684"/>
    <mergeCell ref="A685:B685"/>
    <mergeCell ref="C685:E685"/>
    <mergeCell ref="F685:H685"/>
    <mergeCell ref="I685:L685"/>
    <mergeCell ref="A686:B686"/>
    <mergeCell ref="C686:E686"/>
    <mergeCell ref="F686:H686"/>
    <mergeCell ref="I686:L686"/>
    <mergeCell ref="A687:B687"/>
    <mergeCell ref="C687:E687"/>
    <mergeCell ref="F687:H687"/>
    <mergeCell ref="I687:L687"/>
    <mergeCell ref="A688:B688"/>
    <mergeCell ref="C688:E688"/>
    <mergeCell ref="F688:H688"/>
    <mergeCell ref="I688:L688"/>
    <mergeCell ref="A689:L689"/>
    <mergeCell ref="A690:E690"/>
    <mergeCell ref="F690:H690"/>
    <mergeCell ref="J690:L690"/>
    <mergeCell ref="A691:E691"/>
    <mergeCell ref="F691:H691"/>
    <mergeCell ref="J691:L691"/>
    <mergeCell ref="A692:E692"/>
    <mergeCell ref="F692:H692"/>
    <mergeCell ref="J692:L692"/>
    <mergeCell ref="A693:E693"/>
    <mergeCell ref="F693:H693"/>
    <mergeCell ref="J693:L693"/>
    <mergeCell ref="A694:E694"/>
    <mergeCell ref="F694:H694"/>
    <mergeCell ref="J694:L694"/>
    <mergeCell ref="A695:E695"/>
    <mergeCell ref="F695:H695"/>
    <mergeCell ref="J695:L695"/>
    <mergeCell ref="A696:E696"/>
    <mergeCell ref="F696:H696"/>
    <mergeCell ref="J696:L696"/>
    <mergeCell ref="A697:E697"/>
    <mergeCell ref="F697:H697"/>
    <mergeCell ref="J697:L697"/>
    <mergeCell ref="A698:E698"/>
    <mergeCell ref="F698:H698"/>
    <mergeCell ref="J698:L698"/>
    <mergeCell ref="A699:L699"/>
    <mergeCell ref="A700:D700"/>
    <mergeCell ref="E700:F700"/>
    <mergeCell ref="G700:H700"/>
    <mergeCell ref="I700:J700"/>
    <mergeCell ref="K700:L700"/>
    <mergeCell ref="A701:D701"/>
    <mergeCell ref="E701:F701"/>
    <mergeCell ref="G701:H701"/>
    <mergeCell ref="I701:J701"/>
    <mergeCell ref="K701:L701"/>
    <mergeCell ref="A702:D702"/>
    <mergeCell ref="E702:F702"/>
    <mergeCell ref="G702:H702"/>
    <mergeCell ref="I702:J702"/>
    <mergeCell ref="K702:L702"/>
    <mergeCell ref="A703:D703"/>
    <mergeCell ref="E703:F703"/>
    <mergeCell ref="G703:H703"/>
    <mergeCell ref="I703:J703"/>
    <mergeCell ref="K703:L703"/>
    <mergeCell ref="A704:E704"/>
    <mergeCell ref="F704:H704"/>
    <mergeCell ref="I704:J704"/>
    <mergeCell ref="A705:L705"/>
    <mergeCell ref="A1:L1"/>
    <mergeCell ref="A2:C2"/>
    <mergeCell ref="D2:F2"/>
    <mergeCell ref="G2:I2"/>
    <mergeCell ref="J2:L2"/>
    <mergeCell ref="A3:C3"/>
    <mergeCell ref="D3:F3"/>
    <mergeCell ref="G3:I3"/>
    <mergeCell ref="J3:L3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L8"/>
    <mergeCell ref="A9:D9"/>
    <mergeCell ref="E9:G9"/>
    <mergeCell ref="H9:J9"/>
    <mergeCell ref="K9:L9"/>
    <mergeCell ref="A10:D10"/>
    <mergeCell ref="E10:G10"/>
    <mergeCell ref="A11:D11"/>
    <mergeCell ref="E11:G11"/>
    <mergeCell ref="H11:J11"/>
    <mergeCell ref="K11:L11"/>
    <mergeCell ref="A12:D12"/>
    <mergeCell ref="E12:G12"/>
    <mergeCell ref="H12:J12"/>
    <mergeCell ref="K12:L12"/>
    <mergeCell ref="A13:D13"/>
    <mergeCell ref="E13:G13"/>
    <mergeCell ref="H13:J13"/>
    <mergeCell ref="K13:L13"/>
  </mergeCells>
  <hyperlinks>
    <hyperlink ref="A2" location="'Расчёт'!A18"/>
    <hyperlink ref="D2" location="'Расчёт'!A82"/>
    <hyperlink ref="G2" location="'Расчёт'!A308"/>
    <hyperlink ref="J2" location="'Расчёт'!A330"/>
    <hyperlink ref="A3" location="'Расчёт'!A445"/>
    <hyperlink ref="D3" location="'Расчёт'!A477"/>
    <hyperlink ref="G3" location="'Расчёт'!A575"/>
    <hyperlink ref="J3" location="'Расчёт'!A689"/>
  </hyperlinks>
  <printOptions horizontalCentered="1" headings="0" gridLines="0"/>
  <pageMargins left="0.3" right="0.3" top="0.35" bottom="0.35" header="0.1" footer="0.15"/>
  <pageSetup paperSize="9" orientation="landscape" fitToWidth="1" fitToHeight="0" useFirstPageNumber="0"/>
</worksheet>
</file>

<file path=xl/worksheets/sheet2.xml><?xml version="1.0" encoding="utf-8"?>
<worksheet xmlns="http://schemas.openxmlformats.org/spreadsheetml/2006/main">
  <sheetPr>
    <outlinePr summaryBelow="0"/>
    <pageSetUpPr fitToPage="1"/>
  </sheetPr>
  <sheetViews>
    <sheetView showGridLines="0" workbookViewId="0" zoomScale="100" showOutlineSymbols="1">
      <pane ySplit="2" topLeftCell="A3" activePane="bottomLeft" state="frozen"/>
    </sheetView>
  </sheetViews>
  <sheetFormatPr defaultRowHeight="15"/>
  <cols>
    <col min="1" max="1" width="11.880000114440918" hidden="0" customWidth="1"/>
    <col min="2" max="2" width="11.880000114440918" hidden="0" customWidth="1"/>
    <col min="3" max="3" width="11.880000114440918" hidden="0" customWidth="1"/>
    <col min="4" max="4" width="11.880000114440918" hidden="0" customWidth="1"/>
    <col min="5" max="5" width="11.880000114440918" hidden="0" customWidth="1"/>
    <col min="6" max="6" width="11.880000114440918" hidden="0" customWidth="1"/>
    <col min="7" max="7" width="11.880000114440918" hidden="0" customWidth="1"/>
    <col min="8" max="8" width="11.880000114440918" hidden="0" customWidth="1"/>
    <col min="9" max="9" width="11.880000114440918" hidden="0" customWidth="1"/>
    <col min="10" max="10" width="11.880000114440918" hidden="0" customWidth="1"/>
    <col min="11" max="11" width="11.880000114440918" hidden="0" customWidth="1"/>
    <col min="12" max="12" width="11.880000114440918" hidden="0" customWidth="1"/>
  </cols>
  <sheetData>
    <row r="1" ht="25" customHeight="1">
      <c r="A1" s="7" t="str">
        <v>Полособульбовые профили HP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28" customHeight="1">
      <c r="A2" s="10" t="str">
        <v>Профиль</v>
      </c>
      <c r="B2" s="10"/>
      <c r="C2" s="10"/>
      <c r="D2" s="10" t="str">
        <v>h, мм</v>
      </c>
      <c r="E2" s="10" t="str">
        <v>s, мм</v>
      </c>
      <c r="F2" s="10" t="str">
        <v>c, мм</v>
      </c>
      <c r="G2" s="10" t="str">
        <v>r, мм</v>
      </c>
      <c r="H2" s="10" t="str">
        <v>A, см²</v>
      </c>
      <c r="I2" s="10" t="str">
        <v>G, кг/м</v>
      </c>
      <c r="J2" s="10" t="str">
        <v>y₀, см</v>
      </c>
      <c r="K2" s="10" t="str">
        <v>Ix, см⁴</v>
      </c>
      <c r="L2" s="10"/>
    </row>
    <row r="3" ht="17" customHeight="1">
      <c r="A3" s="4" t="str">
        <v>HP 180x10</v>
      </c>
      <c r="B3" s="4"/>
      <c r="C3" s="4"/>
      <c r="D3" s="12" t="n">
        <v>180</v>
      </c>
      <c r="E3" s="12" t="n">
        <v>10</v>
      </c>
      <c r="F3" s="12" t="n">
        <v>25</v>
      </c>
      <c r="G3" s="12" t="n">
        <v>7</v>
      </c>
      <c r="H3" s="12" t="n">
        <v>22.5</v>
      </c>
      <c r="I3" s="12" t="n">
        <v>17.6</v>
      </c>
      <c r="J3" s="12" t="n">
        <v>10.6</v>
      </c>
      <c r="K3" s="12" t="n">
        <v>717</v>
      </c>
      <c r="L3" s="11"/>
    </row>
    <row r="4" ht="17" customHeight="1">
      <c r="A4" s="4" t="str">
        <v>HP 200x10</v>
      </c>
      <c r="B4" s="4"/>
      <c r="C4" s="4"/>
      <c r="D4" s="12" t="n">
        <v>200</v>
      </c>
      <c r="E4" s="12" t="n">
        <v>10</v>
      </c>
      <c r="F4" s="12" t="n">
        <v>28</v>
      </c>
      <c r="G4" s="12" t="n">
        <v>8</v>
      </c>
      <c r="H4" s="12" t="n">
        <v>25.6</v>
      </c>
      <c r="I4" s="12" t="n">
        <v>20.1</v>
      </c>
      <c r="J4" s="12" t="n">
        <v>11.9</v>
      </c>
      <c r="K4" s="12" t="n">
        <v>1020</v>
      </c>
      <c r="L4" s="11"/>
    </row>
    <row r="5" ht="17" customHeight="1">
      <c r="A5" s="4" t="str">
        <v>HP 200x11.5</v>
      </c>
      <c r="B5" s="4"/>
      <c r="C5" s="4"/>
      <c r="D5" s="12" t="n">
        <v>200</v>
      </c>
      <c r="E5" s="12" t="n">
        <v>11.5</v>
      </c>
      <c r="F5" s="12" t="n">
        <v>28</v>
      </c>
      <c r="G5" s="12" t="n">
        <v>8</v>
      </c>
      <c r="H5" s="12" t="n">
        <v>28.6</v>
      </c>
      <c r="I5" s="12" t="n">
        <v>22.5</v>
      </c>
      <c r="J5" s="12" t="n">
        <v>11.7</v>
      </c>
      <c r="K5" s="12" t="n">
        <v>1126</v>
      </c>
      <c r="L5" s="11"/>
    </row>
    <row r="6" ht="17" customHeight="1">
      <c r="A6" s="4" t="str">
        <v>HP 220x10</v>
      </c>
      <c r="B6" s="4"/>
      <c r="C6" s="4"/>
      <c r="D6" s="12" t="n">
        <v>220</v>
      </c>
      <c r="E6" s="12" t="n">
        <v>10</v>
      </c>
      <c r="F6" s="12" t="n">
        <v>31</v>
      </c>
      <c r="G6" s="12" t="n">
        <v>9</v>
      </c>
      <c r="H6" s="12" t="n">
        <v>29</v>
      </c>
      <c r="I6" s="12" t="n">
        <v>22.8</v>
      </c>
      <c r="J6" s="12" t="n">
        <v>13.4</v>
      </c>
      <c r="K6" s="12" t="n">
        <v>1400</v>
      </c>
      <c r="L6" s="11"/>
    </row>
    <row r="7" ht="17" customHeight="1">
      <c r="A7" s="4" t="str">
        <v>HP 220x11.5</v>
      </c>
      <c r="B7" s="4"/>
      <c r="C7" s="4"/>
      <c r="D7" s="12" t="n">
        <v>220</v>
      </c>
      <c r="E7" s="12" t="n">
        <v>11.5</v>
      </c>
      <c r="F7" s="12" t="n">
        <v>31</v>
      </c>
      <c r="G7" s="12" t="n">
        <v>9</v>
      </c>
      <c r="H7" s="12" t="n">
        <v>32.3</v>
      </c>
      <c r="I7" s="12" t="n">
        <v>25.4</v>
      </c>
      <c r="J7" s="12" t="n">
        <v>13.1</v>
      </c>
      <c r="K7" s="12" t="n">
        <v>1550</v>
      </c>
      <c r="L7" s="11"/>
    </row>
    <row r="8" ht="17" customHeight="1">
      <c r="A8" s="4" t="str">
        <v>HP 240x10</v>
      </c>
      <c r="B8" s="4"/>
      <c r="C8" s="4"/>
      <c r="D8" s="12" t="n">
        <v>240</v>
      </c>
      <c r="E8" s="12" t="n">
        <v>10</v>
      </c>
      <c r="F8" s="12" t="n">
        <v>34</v>
      </c>
      <c r="G8" s="12" t="n">
        <v>10</v>
      </c>
      <c r="H8" s="12" t="n">
        <v>32.4</v>
      </c>
      <c r="I8" s="12" t="n">
        <v>25.4</v>
      </c>
      <c r="J8" s="12" t="n">
        <v>14.7</v>
      </c>
      <c r="K8" s="12" t="n">
        <v>1860</v>
      </c>
      <c r="L8" s="11"/>
    </row>
    <row r="9" ht="17" customHeight="1">
      <c r="A9" s="4" t="str">
        <v>HP 240x11</v>
      </c>
      <c r="B9" s="4"/>
      <c r="C9" s="4"/>
      <c r="D9" s="12" t="n">
        <v>240</v>
      </c>
      <c r="E9" s="12" t="n">
        <v>11</v>
      </c>
      <c r="F9" s="12" t="n">
        <v>34</v>
      </c>
      <c r="G9" s="12" t="n">
        <v>10</v>
      </c>
      <c r="H9" s="12" t="n">
        <v>34.9</v>
      </c>
      <c r="I9" s="12" t="n">
        <v>27.4</v>
      </c>
      <c r="J9" s="12" t="n">
        <v>14.6</v>
      </c>
      <c r="K9" s="12" t="n">
        <v>2000</v>
      </c>
      <c r="L9" s="11"/>
    </row>
    <row r="10" ht="17" customHeight="1">
      <c r="A10" s="4" t="str">
        <v>HP 240x12</v>
      </c>
      <c r="B10" s="4"/>
      <c r="C10" s="4"/>
      <c r="D10" s="12" t="n">
        <v>240</v>
      </c>
      <c r="E10" s="12" t="n">
        <v>12</v>
      </c>
      <c r="F10" s="12" t="n">
        <v>34</v>
      </c>
      <c r="G10" s="12" t="n">
        <v>10</v>
      </c>
      <c r="H10" s="12" t="n">
        <v>37.3</v>
      </c>
      <c r="I10" s="12" t="n">
        <v>29.3</v>
      </c>
      <c r="J10" s="12" t="n">
        <v>14.4</v>
      </c>
      <c r="K10" s="12" t="n">
        <v>2130</v>
      </c>
      <c r="L10" s="11"/>
    </row>
    <row r="11" ht="17" customHeight="1">
      <c r="A11" s="4" t="str">
        <v>HP 260x10</v>
      </c>
      <c r="B11" s="4"/>
      <c r="C11" s="4"/>
      <c r="D11" s="12" t="n">
        <v>260</v>
      </c>
      <c r="E11" s="12" t="n">
        <v>10</v>
      </c>
      <c r="F11" s="12" t="n">
        <v>37</v>
      </c>
      <c r="G11" s="12" t="n">
        <v>11</v>
      </c>
      <c r="H11" s="12" t="n">
        <v>36.1</v>
      </c>
      <c r="I11" s="12" t="n">
        <v>28.3</v>
      </c>
      <c r="J11" s="12" t="n">
        <v>16.2</v>
      </c>
      <c r="K11" s="12" t="n">
        <v>2477</v>
      </c>
      <c r="L11" s="11"/>
    </row>
    <row r="12" ht="17" customHeight="1">
      <c r="A12" s="4" t="str">
        <v>HP 260x11</v>
      </c>
      <c r="B12" s="4"/>
      <c r="C12" s="4"/>
      <c r="D12" s="12" t="n">
        <v>260</v>
      </c>
      <c r="E12" s="12" t="n">
        <v>11</v>
      </c>
      <c r="F12" s="12" t="n">
        <v>37</v>
      </c>
      <c r="G12" s="12" t="n">
        <v>11</v>
      </c>
      <c r="H12" s="12" t="n">
        <v>38.7</v>
      </c>
      <c r="I12" s="12" t="n">
        <v>30.4</v>
      </c>
      <c r="J12" s="12" t="n">
        <v>16</v>
      </c>
      <c r="K12" s="12" t="n">
        <v>2610</v>
      </c>
      <c r="L12" s="11"/>
    </row>
    <row r="13" ht="17" customHeight="1">
      <c r="A13" s="4" t="str">
        <v>HP 260x12</v>
      </c>
      <c r="B13" s="4"/>
      <c r="C13" s="4"/>
      <c r="D13" s="12" t="n">
        <v>260</v>
      </c>
      <c r="E13" s="12" t="n">
        <v>12</v>
      </c>
      <c r="F13" s="12" t="n">
        <v>37</v>
      </c>
      <c r="G13" s="12" t="n">
        <v>11</v>
      </c>
      <c r="H13" s="12" t="n">
        <v>41.3</v>
      </c>
      <c r="I13" s="12" t="n">
        <v>32.4</v>
      </c>
      <c r="J13" s="12" t="n">
        <v>15.8</v>
      </c>
      <c r="K13" s="12" t="n">
        <v>2770</v>
      </c>
      <c r="L13" s="11"/>
    </row>
    <row r="14" ht="17" customHeight="1">
      <c r="A14" s="4" t="str">
        <v>HP 280x11</v>
      </c>
      <c r="B14" s="4"/>
      <c r="C14" s="4"/>
      <c r="D14" s="12" t="n">
        <v>280</v>
      </c>
      <c r="E14" s="12" t="n">
        <v>11</v>
      </c>
      <c r="F14" s="12" t="n">
        <v>40</v>
      </c>
      <c r="G14" s="12" t="n">
        <v>12</v>
      </c>
      <c r="H14" s="12" t="n">
        <v>42.6</v>
      </c>
      <c r="I14" s="12" t="n">
        <v>33.5</v>
      </c>
      <c r="J14" s="12" t="n">
        <v>17.4</v>
      </c>
      <c r="K14" s="12" t="n">
        <v>3330</v>
      </c>
      <c r="L14" s="11"/>
    </row>
    <row r="15" ht="17" customHeight="1">
      <c r="A15" s="4" t="str">
        <v>HP 280x12</v>
      </c>
      <c r="B15" s="4"/>
      <c r="C15" s="4"/>
      <c r="D15" s="12" t="n">
        <v>280</v>
      </c>
      <c r="E15" s="12" t="n">
        <v>12</v>
      </c>
      <c r="F15" s="12" t="n">
        <v>40</v>
      </c>
      <c r="G15" s="12" t="n">
        <v>12</v>
      </c>
      <c r="H15" s="12" t="n">
        <v>45.5</v>
      </c>
      <c r="I15" s="12" t="n">
        <v>35.7</v>
      </c>
      <c r="J15" s="12" t="n">
        <v>17.2</v>
      </c>
      <c r="K15" s="12" t="n">
        <v>3550</v>
      </c>
      <c r="L15" s="11"/>
    </row>
    <row r="16" ht="17" customHeight="1">
      <c r="A16" s="4" t="str">
        <v>HP 300x11</v>
      </c>
      <c r="B16" s="4"/>
      <c r="C16" s="4"/>
      <c r="D16" s="12" t="n">
        <v>300</v>
      </c>
      <c r="E16" s="12" t="n">
        <v>11</v>
      </c>
      <c r="F16" s="12" t="n">
        <v>43</v>
      </c>
      <c r="G16" s="12" t="n">
        <v>13</v>
      </c>
      <c r="H16" s="12" t="n">
        <v>46.7</v>
      </c>
      <c r="I16" s="12" t="n">
        <v>36.7</v>
      </c>
      <c r="J16" s="12" t="n">
        <v>18.9</v>
      </c>
      <c r="K16" s="12" t="n">
        <v>4190</v>
      </c>
      <c r="L16" s="11"/>
    </row>
    <row r="17" ht="17" customHeight="1">
      <c r="A17" s="4" t="str">
        <v>HP 300x12</v>
      </c>
      <c r="B17" s="4"/>
      <c r="C17" s="4"/>
      <c r="D17" s="12" t="n">
        <v>300</v>
      </c>
      <c r="E17" s="12" t="n">
        <v>12</v>
      </c>
      <c r="F17" s="12" t="n">
        <v>43</v>
      </c>
      <c r="G17" s="12" t="n">
        <v>13</v>
      </c>
      <c r="H17" s="12" t="n">
        <v>49.7</v>
      </c>
      <c r="I17" s="12" t="n">
        <v>39</v>
      </c>
      <c r="J17" s="12" t="n">
        <v>18.7</v>
      </c>
      <c r="K17" s="12" t="n">
        <v>4460</v>
      </c>
      <c r="L17" s="11"/>
    </row>
    <row r="18" ht="17" customHeight="1">
      <c r="A18" s="4" t="str">
        <v>HP 300x13</v>
      </c>
      <c r="B18" s="4"/>
      <c r="C18" s="4"/>
      <c r="D18" s="12" t="n">
        <v>300</v>
      </c>
      <c r="E18" s="12" t="n">
        <v>13</v>
      </c>
      <c r="F18" s="12" t="n">
        <v>43</v>
      </c>
      <c r="G18" s="12" t="n">
        <v>13</v>
      </c>
      <c r="H18" s="12" t="n">
        <v>52.8</v>
      </c>
      <c r="I18" s="12" t="n">
        <v>41.5</v>
      </c>
      <c r="J18" s="12" t="n">
        <v>18.5</v>
      </c>
      <c r="K18" s="12" t="n">
        <v>4720</v>
      </c>
      <c r="L18" s="11"/>
    </row>
    <row r="19" ht="17" customHeight="1">
      <c r="A19" s="4" t="str">
        <v>HP 320x12</v>
      </c>
      <c r="B19" s="4"/>
      <c r="C19" s="4"/>
      <c r="D19" s="12" t="n">
        <v>320</v>
      </c>
      <c r="E19" s="12" t="n">
        <v>12</v>
      </c>
      <c r="F19" s="12" t="n">
        <v>46</v>
      </c>
      <c r="G19" s="12" t="n">
        <v>14</v>
      </c>
      <c r="H19" s="12" t="n">
        <v>54.2</v>
      </c>
      <c r="I19" s="12" t="n">
        <v>42.5</v>
      </c>
      <c r="J19" s="12" t="n">
        <v>20.1</v>
      </c>
      <c r="K19" s="12" t="n">
        <v>5530</v>
      </c>
      <c r="L19" s="11"/>
    </row>
    <row r="20" ht="17" customHeight="1">
      <c r="A20" s="4" t="str">
        <v>HP 320x13</v>
      </c>
      <c r="B20" s="4"/>
      <c r="C20" s="4"/>
      <c r="D20" s="12" t="n">
        <v>320</v>
      </c>
      <c r="E20" s="12" t="n">
        <v>13</v>
      </c>
      <c r="F20" s="12" t="n">
        <v>46</v>
      </c>
      <c r="G20" s="12" t="n">
        <v>14</v>
      </c>
      <c r="H20" s="12" t="n">
        <v>57.4</v>
      </c>
      <c r="I20" s="12" t="n">
        <v>45</v>
      </c>
      <c r="J20" s="12" t="n">
        <v>19.9</v>
      </c>
      <c r="K20" s="12" t="n">
        <v>5850</v>
      </c>
      <c r="L20" s="11"/>
    </row>
    <row r="21" ht="17" customHeight="1">
      <c r="A21" s="4" t="str">
        <v>HP 340x12</v>
      </c>
      <c r="B21" s="4"/>
      <c r="C21" s="4"/>
      <c r="D21" s="12" t="n">
        <v>340</v>
      </c>
      <c r="E21" s="12" t="n">
        <v>12</v>
      </c>
      <c r="F21" s="12" t="n">
        <v>49</v>
      </c>
      <c r="G21" s="12" t="n">
        <v>15</v>
      </c>
      <c r="H21" s="12" t="n">
        <v>58.8</v>
      </c>
      <c r="I21" s="12" t="n">
        <v>46.1</v>
      </c>
      <c r="J21" s="12" t="n">
        <v>21.5</v>
      </c>
      <c r="K21" s="12" t="n">
        <v>6760</v>
      </c>
      <c r="L21" s="11"/>
    </row>
    <row r="22" ht="17" customHeight="1">
      <c r="A22" s="4" t="str">
        <v>HP 340x14</v>
      </c>
      <c r="B22" s="4"/>
      <c r="C22" s="4"/>
      <c r="D22" s="12" t="n">
        <v>340</v>
      </c>
      <c r="E22" s="12" t="n">
        <v>14</v>
      </c>
      <c r="F22" s="12" t="n">
        <v>49</v>
      </c>
      <c r="G22" s="12" t="n">
        <v>15</v>
      </c>
      <c r="H22" s="12" t="n">
        <v>65.5</v>
      </c>
      <c r="I22" s="12" t="n">
        <v>51.5</v>
      </c>
      <c r="J22" s="12" t="n">
        <v>21.1</v>
      </c>
      <c r="K22" s="12" t="n">
        <v>7540</v>
      </c>
      <c r="L22" s="11"/>
    </row>
    <row r="23" ht="17" customHeight="1">
      <c r="A23" s="4" t="str">
        <v>HP 370x13</v>
      </c>
      <c r="B23" s="4"/>
      <c r="C23" s="4"/>
      <c r="D23" s="12" t="n">
        <v>370</v>
      </c>
      <c r="E23" s="12" t="n">
        <v>13</v>
      </c>
      <c r="F23" s="12" t="n">
        <v>53.5</v>
      </c>
      <c r="G23" s="12" t="n">
        <v>16.5</v>
      </c>
      <c r="H23" s="12" t="n">
        <v>69.6</v>
      </c>
      <c r="I23" s="12" t="n">
        <v>54.6</v>
      </c>
      <c r="J23" s="12" t="n">
        <v>23.5</v>
      </c>
      <c r="K23" s="12" t="n">
        <v>9470</v>
      </c>
      <c r="L23" s="11"/>
    </row>
    <row r="24" ht="17" customHeight="1">
      <c r="A24" s="4" t="str">
        <v>HP 370x15</v>
      </c>
      <c r="B24" s="4"/>
      <c r="C24" s="4"/>
      <c r="D24" s="12" t="n">
        <v>370</v>
      </c>
      <c r="E24" s="12" t="n">
        <v>15</v>
      </c>
      <c r="F24" s="12" t="n">
        <v>53.5</v>
      </c>
      <c r="G24" s="12" t="n">
        <v>16.5</v>
      </c>
      <c r="H24" s="12" t="n">
        <v>77</v>
      </c>
      <c r="I24" s="12" t="n">
        <v>60.5</v>
      </c>
      <c r="J24" s="12" t="n">
        <v>23</v>
      </c>
      <c r="K24" s="12" t="n">
        <v>10490</v>
      </c>
      <c r="L24" s="11"/>
    </row>
    <row r="25" ht="17" customHeight="1">
      <c r="A25" s="4" t="str">
        <v>HP 400x14</v>
      </c>
      <c r="B25" s="4"/>
      <c r="C25" s="4"/>
      <c r="D25" s="12" t="n">
        <v>400</v>
      </c>
      <c r="E25" s="12" t="n">
        <v>14</v>
      </c>
      <c r="F25" s="12" t="n">
        <v>58</v>
      </c>
      <c r="G25" s="12" t="n">
        <v>18</v>
      </c>
      <c r="H25" s="12" t="n">
        <v>81.4</v>
      </c>
      <c r="I25" s="12" t="n">
        <v>63.9</v>
      </c>
      <c r="J25" s="12" t="n">
        <v>25.5</v>
      </c>
      <c r="K25" s="12" t="n">
        <v>12930</v>
      </c>
      <c r="L25" s="11"/>
    </row>
    <row r="26" ht="17" customHeight="1">
      <c r="A26" s="4" t="str">
        <v>HP 400x16</v>
      </c>
      <c r="B26" s="4"/>
      <c r="C26" s="4"/>
      <c r="D26" s="12" t="n">
        <v>400</v>
      </c>
      <c r="E26" s="12" t="n">
        <v>16</v>
      </c>
      <c r="F26" s="12" t="n">
        <v>58</v>
      </c>
      <c r="G26" s="12" t="n">
        <v>18</v>
      </c>
      <c r="H26" s="12" t="n">
        <v>89.4</v>
      </c>
      <c r="I26" s="12" t="n">
        <v>70.2</v>
      </c>
      <c r="J26" s="12" t="n">
        <v>25</v>
      </c>
      <c r="K26" s="12" t="n">
        <v>14220</v>
      </c>
      <c r="L26" s="11"/>
    </row>
    <row r="27" ht="17" customHeight="1">
      <c r="A27" s="4" t="str">
        <v>HP 430x15</v>
      </c>
      <c r="B27" s="4"/>
      <c r="C27" s="4"/>
      <c r="D27" s="12" t="n">
        <v>430</v>
      </c>
      <c r="E27" s="12" t="n">
        <v>15</v>
      </c>
      <c r="F27" s="12" t="n">
        <v>62.5</v>
      </c>
      <c r="G27" s="12" t="n">
        <v>19.5</v>
      </c>
      <c r="H27" s="12" t="n">
        <v>94.1</v>
      </c>
      <c r="I27" s="12" t="n">
        <v>73.9</v>
      </c>
      <c r="J27" s="12" t="n">
        <v>27.4</v>
      </c>
      <c r="K27" s="12" t="n">
        <v>17260</v>
      </c>
      <c r="L27" s="11"/>
    </row>
    <row r="28" ht="17" customHeight="1">
      <c r="A28" s="4" t="str">
        <v>HP 430x17</v>
      </c>
      <c r="B28" s="4"/>
      <c r="C28" s="4"/>
      <c r="D28" s="12" t="n">
        <v>430</v>
      </c>
      <c r="E28" s="12" t="n">
        <v>17</v>
      </c>
      <c r="F28" s="12" t="n">
        <v>62.5</v>
      </c>
      <c r="G28" s="12" t="n">
        <v>19.5</v>
      </c>
      <c r="H28" s="12" t="n">
        <v>103</v>
      </c>
      <c r="I28" s="12" t="n">
        <v>80.6</v>
      </c>
      <c r="J28" s="12" t="n">
        <v>26.9</v>
      </c>
      <c r="K28" s="12" t="n">
        <v>18860</v>
      </c>
      <c r="L28" s="11"/>
    </row>
  </sheetData>
  <mergeCells>
    <mergeCell ref="A1:L1"/>
    <mergeCell ref="A2:C2"/>
    <mergeCell ref="K2:L2"/>
    <mergeCell ref="A3:C3"/>
    <mergeCell ref="K3:L3"/>
    <mergeCell ref="A4:C4"/>
    <mergeCell ref="K4:L4"/>
    <mergeCell ref="A5:C5"/>
    <mergeCell ref="K5:L5"/>
    <mergeCell ref="A6:C6"/>
    <mergeCell ref="K6:L6"/>
    <mergeCell ref="A7:C7"/>
    <mergeCell ref="K7:L7"/>
    <mergeCell ref="A8:C8"/>
    <mergeCell ref="K8:L8"/>
    <mergeCell ref="A9:C9"/>
    <mergeCell ref="K9:L9"/>
    <mergeCell ref="A10:C10"/>
    <mergeCell ref="K10:L10"/>
    <mergeCell ref="A11:C11"/>
    <mergeCell ref="K11:L11"/>
    <mergeCell ref="A12:C12"/>
    <mergeCell ref="K12:L12"/>
    <mergeCell ref="A13:C13"/>
    <mergeCell ref="K13:L13"/>
    <mergeCell ref="A14:C14"/>
    <mergeCell ref="K14:L14"/>
    <mergeCell ref="A15:C15"/>
    <mergeCell ref="K15:L15"/>
    <mergeCell ref="A16:C16"/>
    <mergeCell ref="K16:L16"/>
    <mergeCell ref="A17:C17"/>
    <mergeCell ref="K17:L17"/>
    <mergeCell ref="A18:C18"/>
    <mergeCell ref="K18:L18"/>
    <mergeCell ref="A19:C19"/>
    <mergeCell ref="K19:L19"/>
    <mergeCell ref="A20:C20"/>
    <mergeCell ref="K20:L20"/>
    <mergeCell ref="A21:C21"/>
    <mergeCell ref="K21:L21"/>
    <mergeCell ref="A22:C22"/>
    <mergeCell ref="K22:L22"/>
    <mergeCell ref="A23:C23"/>
    <mergeCell ref="K23:L23"/>
    <mergeCell ref="A24:C24"/>
    <mergeCell ref="K24:L24"/>
    <mergeCell ref="A25:C25"/>
    <mergeCell ref="K25:L25"/>
    <mergeCell ref="A26:C26"/>
    <mergeCell ref="K26:L26"/>
    <mergeCell ref="A27:C27"/>
    <mergeCell ref="K27:L27"/>
    <mergeCell ref="A28:C28"/>
    <mergeCell ref="K28:L28"/>
  </mergeCells>
  <printOptions horizontalCentered="1" headings="0" gridLines="0"/>
  <pageMargins left="0.3" right="0.3" top="0.35" bottom="0.35" header="0.1" footer="0.15"/>
  <pageSetup paperSize="9" orientation="landscape" fitToWidth="1" fitToHeight="0" useFirstPageNumber="0"/>
</worksheet>
</file>