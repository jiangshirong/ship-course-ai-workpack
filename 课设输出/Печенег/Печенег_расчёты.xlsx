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02eb5ce60d44f3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Расчёт" sheetId="1" ns1:id="Ra858563f00324e66"/>
    <sheet name="Сортамент HP" sheetId="2" ns1:id="R70a8fb18160a438d"/>
  </sheets>
  <definedNames>
    <definedName name="_xlnm.Print_Area" localSheetId="0">'Расчёт'!$A$1:$L$333</definedName>
    <definedName name="_xlnm.Print_Titles" localSheetId="0">'Расчёт'!$1:$3</definedName>
    <definedName name="_xlnm.Print_Area" localSheetId="1">'Сортамент HP'!$A$1:$L$42</definedName>
    <definedName name="_xlnm.Print_Titles" localSheetId="1">'Сортамент HP'!$1:$2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"/>
    <x:numFmt numFmtId="202" formatCode="0.000E+00"/>
    <x:numFmt numFmtId="203" formatCode="#,##0"/>
    <x:numFmt numFmtId="204" formatCode="0.00"/>
  </x:numFmts>
  <x:fonts count="5">
    <x:font>
      <x:sz val="11"/>
      <x:name val="Carlito"/>
    </x:font>
    <x:font>
      <x:sz val="12"/>
      <x:color rgb="FF000000"/>
      <x:name val="Arial"/>
    </x:font>
    <x:font>
      <x:b/>
      <x:sz val="12"/>
      <x:color rgb="FF000000"/>
      <x:name val="Arial"/>
    </x:font>
    <x:font>
      <x:b/>
      <x:sz val="14"/>
      <x:color rgb="FF000000"/>
      <x:name val="Arial"/>
    </x:font>
    <x:font>
      <x:sz val="12"/>
      <x:color rgb="FF1F4E7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F2F2F2"/>
      </x:patternFill>
    </x:fill>
  </x:fills>
  <x:borders count="2">
    <x:border/>
    <x:border>
      <x:bottom style="thin">
        <x:color rgb="FFA6A6A6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3" fillId="0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 applyAlignment="1">
      <x:alignment horizontal="left" vertical="center" wrapText="1"/>
    </x:xf>
    <x:xf numFmtId="204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d4a41c5f934bd6" /><Relationship Type="http://schemas.openxmlformats.org/officeDocument/2006/relationships/theme" Target="/xl/theme/theme1.xml" Id="Rb6b648d468b74797" /><Relationship Type="http://schemas.openxmlformats.org/officeDocument/2006/relationships/sharedStrings" Target="/xl/sharedStrings.xml" Id="R60a79c6d0c8c4f8a" /><Relationship Type="http://schemas.openxmlformats.org/officeDocument/2006/relationships/worksheet" Target="/xl/worksheets/sheet1.xml" Id="Ra858563f00324e66" /><Relationship Type="http://schemas.openxmlformats.org/officeDocument/2006/relationships/worksheet" Target="/xl/worksheets/sheet2.xml" Id="R70a8fb18160a43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/>
    <pageSetUpPr fitToPage="1"/>
  </sheetPr>
  <sheetViews>
    <sheetView showGridLines="0" workbookViewId="0" zoomScale="100" showOutlineSymbols="1">
      <pane ySplit="3" topLeftCell="A4" activePane="bottomLeft" state="frozen"/>
    </sheetView>
  </sheetViews>
  <sheetFormatPr defaultRowHeight="15" outlineLevelRow="1"/>
  <cols>
    <col min="1" max="1" width="11.880000114440918" hidden="0" customWidth="1"/>
    <col min="2" max="2" width="11.880000114440918" hidden="0" customWidth="1"/>
    <col min="3" max="3" width="11.880000114440918" hidden="0" customWidth="1"/>
    <col min="4" max="4" width="11.880000114440918" hidden="0" customWidth="1"/>
    <col min="5" max="5" width="11.880000114440918" hidden="0" customWidth="1"/>
    <col min="6" max="6" width="11.880000114440918" hidden="0" customWidth="1"/>
    <col min="7" max="7" width="11.880000114440918" hidden="0" customWidth="1"/>
    <col min="8" max="8" width="11.880000114440918" hidden="0" customWidth="1"/>
    <col min="9" max="9" width="11.880000114440918" hidden="0" customWidth="1"/>
    <col min="10" max="10" width="11.880000114440918" hidden="0" customWidth="1"/>
    <col min="11" max="11" width="11.880000114440918" hidden="0" customWidth="1"/>
    <col min="12" max="12" width="11.880000114440918" hidden="0" customWidth="1"/>
  </cols>
  <sheetData>
    <row r="1" ht="18" customHeight="1">
      <c r="A1" s="7" t="str">
        <v>Печенег — сухогруз (С)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ht="17" customHeight="1">
      <c r="A2" s="17" t="str">
        <v>1. Параметры</v>
      </c>
      <c r="B2" s="17"/>
      <c r="C2" s="17"/>
      <c r="D2" s="17" t="str">
        <v>2. Нагрузки</v>
      </c>
      <c r="E2" s="17"/>
      <c r="F2" s="17"/>
      <c r="G2" s="17" t="str">
        <v>3. Изгиб</v>
      </c>
      <c r="H2" s="17"/>
      <c r="I2" s="17"/>
      <c r="J2" s="17" t="str">
        <v>4. Листы</v>
      </c>
      <c r="K2" s="17"/>
      <c r="L2" s="17"/>
    </row>
    <row r="3" ht="17" customHeight="1">
      <c r="A3" s="17" t="str">
        <v>5. Днище</v>
      </c>
      <c r="B3" s="17"/>
      <c r="C3" s="17"/>
      <c r="D3" s="17" t="str">
        <v>6. Борт и палубы</v>
      </c>
      <c r="E3" s="17"/>
      <c r="F3" s="17"/>
      <c r="G3" s="17" t="str">
        <v>7. Общая прочность</v>
      </c>
      <c r="H3" s="17"/>
      <c r="I3" s="17"/>
      <c r="J3" s="17" t="str">
        <v>Результаты</v>
      </c>
      <c r="K3" s="17"/>
      <c r="L3" s="17"/>
    </row>
    <row r="4" ht="17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ht="17" customHeight="1">
      <c r="A5" s="10" t="str">
        <v>L, м</v>
      </c>
      <c r="B5" s="10"/>
      <c r="C5" s="18" t="n">
        <f>'Расчёт'!$H$22</f>
        <v>109</v>
      </c>
      <c r="D5" s="11"/>
      <c r="E5" s="10" t="str">
        <v>B, м</v>
      </c>
      <c r="F5" s="10"/>
      <c r="G5" s="18" t="n">
        <f>'Расчёт'!$H$23</f>
        <v>17.8</v>
      </c>
      <c r="H5" s="11"/>
      <c r="I5" s="10" t="str">
        <v>D, м</v>
      </c>
      <c r="J5" s="10"/>
      <c r="K5" s="18" t="n">
        <f>'Расчёт'!$H$24</f>
        <v>9.3</v>
      </c>
      <c r="L5" s="11"/>
    </row>
    <row r="6" ht="17" customHeight="1">
      <c r="A6" s="10" t="str">
        <v>d, м</v>
      </c>
      <c r="B6" s="10"/>
      <c r="C6" s="18" t="n">
        <f>'Расчёт'!$H$25</f>
        <v>6.8</v>
      </c>
      <c r="D6" s="11"/>
      <c r="E6" s="10" t="str">
        <v>Cb</v>
      </c>
      <c r="F6" s="10"/>
      <c r="G6" s="18" t="n">
        <f>'Расчёт'!$H$26</f>
        <v>0.7</v>
      </c>
      <c r="H6" s="11"/>
      <c r="I6" s="10" t="str">
        <v>v, уз</v>
      </c>
      <c r="J6" s="10"/>
      <c r="K6" s="18" t="n">
        <f>'Расчёт'!$H$27</f>
        <v>15</v>
      </c>
      <c r="L6" s="11"/>
    </row>
    <row r="7" ht="17" customHeight="1">
      <c r="A7" s="4" t="str">
        <v>Верхняя палуба и днище</v>
      </c>
      <c r="B7" s="4"/>
      <c r="C7" s="4"/>
      <c r="D7" s="4"/>
      <c r="E7" s="4"/>
      <c r="F7" s="4"/>
      <c r="G7" s="11" t="str">
        <f>'Расчёт'!$H$29</f>
        <v>Продольный</v>
      </c>
      <c r="H7" s="11"/>
      <c r="I7" s="11"/>
      <c r="J7" s="11"/>
      <c r="K7" s="11"/>
      <c r="L7" s="11"/>
    </row>
    <row r="8" ht="17" customHeight="1">
      <c r="A8" s="4" t="str">
        <v>Борт и нижняя палуба</v>
      </c>
      <c r="B8" s="4"/>
      <c r="C8" s="4"/>
      <c r="D8" s="4"/>
      <c r="E8" s="4"/>
      <c r="F8" s="4"/>
      <c r="G8" s="11" t="str">
        <f>'Расчёт'!$H$30</f>
        <v>Поперечный</v>
      </c>
      <c r="H8" s="11"/>
      <c r="I8" s="11"/>
      <c r="J8" s="11"/>
      <c r="K8" s="11"/>
      <c r="L8" s="11"/>
    </row>
    <row r="9" ht="17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ht="17" customHeight="1">
      <c r="A10" s="10" t="str">
        <v>Параметр</v>
      </c>
      <c r="B10" s="10"/>
      <c r="C10" s="10"/>
      <c r="D10" s="10"/>
      <c r="E10" s="10" t="str">
        <v>Фактическое</v>
      </c>
      <c r="F10" s="10"/>
      <c r="G10" s="10"/>
      <c r="H10" s="10" t="str">
        <v>Требуемое</v>
      </c>
      <c r="I10" s="10"/>
      <c r="J10" s="10"/>
      <c r="K10" s="10" t="str">
        <v>Факт./треб.</v>
      </c>
      <c r="L10" s="10"/>
    </row>
    <row r="11" ht="17" customHeight="1">
      <c r="A11" s="4" t="str">
        <v>Нейтральная ось над ОП, м</v>
      </c>
      <c r="B11" s="4"/>
      <c r="C11" s="4"/>
      <c r="D11" s="4"/>
      <c r="E11" s="13" t="n">
        <f>'Расчёт'!$H$320</f>
        <v>3.8574078181144857</v>
      </c>
      <c r="F11" s="11"/>
      <c r="G11" s="11"/>
      <c r="H11" s="3"/>
      <c r="I11" s="3"/>
      <c r="J11" s="3"/>
      <c r="K11" s="3"/>
      <c r="L11" s="3"/>
    </row>
    <row r="12" ht="17" customHeight="1">
      <c r="A12" s="4" t="str">
        <v>Момент инерции I, см⁴</v>
      </c>
      <c r="B12" s="4"/>
      <c r="C12" s="4"/>
      <c r="D12" s="4"/>
      <c r="E12" s="15" t="n">
        <f>'Расчёт'!$H$321</f>
        <v>1422267751.2643654</v>
      </c>
      <c r="F12" s="11"/>
      <c r="G12" s="11"/>
      <c r="H12" s="15" t="n">
        <f>'Расчёт'!$H$110</f>
        <v>261737483.48804414</v>
      </c>
      <c r="I12" s="11"/>
      <c r="J12" s="11"/>
      <c r="K12" s="13" t="n">
        <f>'Расчёт'!$H$326</f>
        <v>5.433947527539871</v>
      </c>
      <c r="L12" s="11"/>
    </row>
    <row r="13" ht="17" customHeight="1">
      <c r="A13" s="4" t="str">
        <v>Момент сопротивления WB, см³</v>
      </c>
      <c r="B13" s="4"/>
      <c r="C13" s="4"/>
      <c r="D13" s="4"/>
      <c r="E13" s="15" t="n">
        <f>'Расчёт'!$H$322</f>
        <v>3687107.555974143</v>
      </c>
      <c r="F13" s="11"/>
      <c r="G13" s="11"/>
      <c r="H13" s="15" t="n">
        <f>'Расчёт'!$H$109</f>
        <v>2401261.3164040744</v>
      </c>
      <c r="I13" s="11"/>
      <c r="J13" s="11"/>
      <c r="K13" s="13" t="n">
        <f>'Расчёт'!$H$324</f>
        <v>1.5354878416546698</v>
      </c>
      <c r="L13" s="11"/>
    </row>
    <row r="14" ht="17" customHeight="1">
      <c r="A14" s="4" t="str">
        <v>Момент сопротивления WD, см³</v>
      </c>
      <c r="B14" s="4"/>
      <c r="C14" s="4"/>
      <c r="D14" s="4"/>
      <c r="E14" s="15" t="n">
        <f>'Расчёт'!$H$323</f>
        <v>2483580.778532893</v>
      </c>
      <c r="F14" s="11"/>
      <c r="G14" s="11"/>
      <c r="H14" s="15" t="n">
        <f>'Расчёт'!$H$109</f>
        <v>2401261.3164040744</v>
      </c>
      <c r="I14" s="11"/>
      <c r="J14" s="11"/>
      <c r="K14" s="13" t="n">
        <f>'Расчёт'!$H$325</f>
        <v>1.0342817591598457</v>
      </c>
      <c r="L14" s="11"/>
    </row>
    <row r="15" ht="17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17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ht="17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25" customHeight="1">
      <c r="A18" s="7" t="str">
        <v>1. Исходные данные, геометрия и материал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ht="28" customHeight="1">
      <c r="A19" s="10" t="str">
        <v>Параметр</v>
      </c>
      <c r="B19" s="10"/>
      <c r="C19" s="10"/>
      <c r="D19" s="10"/>
      <c r="E19" s="10"/>
      <c r="F19" s="10"/>
      <c r="G19" s="10"/>
      <c r="H19" s="10" t="str">
        <v>Значение</v>
      </c>
      <c r="I19" s="10"/>
      <c r="J19" s="10"/>
      <c r="K19" s="10" t="str">
        <v>Ед.</v>
      </c>
      <c r="L19" s="10"/>
    </row>
    <row r="20" ht="17" customHeight="1">
      <c r="A20" s="4" t="str">
        <v>Студент</v>
      </c>
      <c r="B20" s="4"/>
      <c r="C20" s="4"/>
      <c r="D20" s="4"/>
      <c r="E20" s="4"/>
      <c r="F20" s="4"/>
      <c r="G20" s="4"/>
      <c r="H20" s="4" t="str">
        <v>Печенег</v>
      </c>
      <c r="I20" s="4"/>
      <c r="J20" s="4"/>
      <c r="K20" s="4"/>
      <c r="L20" s="4"/>
    </row>
    <row r="21" ht="17" customHeight="1">
      <c r="A21" s="4" t="str">
        <v>Тип судна</v>
      </c>
      <c r="B21" s="4"/>
      <c r="C21" s="4"/>
      <c r="D21" s="4"/>
      <c r="E21" s="4"/>
      <c r="F21" s="4"/>
      <c r="G21" s="4"/>
      <c r="H21" s="4" t="str">
        <v>Сухогруз</v>
      </c>
      <c r="I21" s="4"/>
      <c r="J21" s="4"/>
      <c r="K21" s="4"/>
      <c r="L21" s="4"/>
    </row>
    <row r="22" ht="17" customHeight="1">
      <c r="A22" s="4" t="str">
        <v>Длина</v>
      </c>
      <c r="B22" s="4"/>
      <c r="C22" s="4"/>
      <c r="D22" s="4"/>
      <c r="E22" s="4"/>
      <c r="F22" s="4"/>
      <c r="G22" s="4"/>
      <c r="H22" s="12" t="n">
        <v>109</v>
      </c>
      <c r="I22" s="11"/>
      <c r="J22" s="11"/>
      <c r="K22" s="4" t="str">
        <v>m</v>
      </c>
      <c r="L22" s="4"/>
    </row>
    <row r="23" ht="17" customHeight="1">
      <c r="A23" s="4" t="str">
        <v>Ширина</v>
      </c>
      <c r="B23" s="4"/>
      <c r="C23" s="4"/>
      <c r="D23" s="4"/>
      <c r="E23" s="4"/>
      <c r="F23" s="4"/>
      <c r="G23" s="4"/>
      <c r="H23" s="13" t="n">
        <v>17.8</v>
      </c>
      <c r="I23" s="11"/>
      <c r="J23" s="11"/>
      <c r="K23" s="4" t="str">
        <v>m</v>
      </c>
      <c r="L23" s="4"/>
    </row>
    <row r="24" ht="17" customHeight="1">
      <c r="A24" s="4" t="str">
        <v>Высота борта</v>
      </c>
      <c r="B24" s="4"/>
      <c r="C24" s="4"/>
      <c r="D24" s="4"/>
      <c r="E24" s="4"/>
      <c r="F24" s="4"/>
      <c r="G24" s="4"/>
      <c r="H24" s="13" t="n">
        <v>9.3</v>
      </c>
      <c r="I24" s="11"/>
      <c r="J24" s="11"/>
      <c r="K24" s="4" t="str">
        <v>m</v>
      </c>
      <c r="L24" s="4"/>
    </row>
    <row r="25" ht="17" customHeight="1">
      <c r="A25" s="4" t="str">
        <v>Осадка</v>
      </c>
      <c r="B25" s="4"/>
      <c r="C25" s="4"/>
      <c r="D25" s="4"/>
      <c r="E25" s="4"/>
      <c r="F25" s="4"/>
      <c r="G25" s="4"/>
      <c r="H25" s="13" t="n">
        <v>6.8</v>
      </c>
      <c r="I25" s="11"/>
      <c r="J25" s="11"/>
      <c r="K25" s="4" t="str">
        <v>m</v>
      </c>
      <c r="L25" s="4"/>
    </row>
    <row r="26" ht="17" customHeight="1">
      <c r="A26" s="4" t="str">
        <v>Коэффициент общей полноты</v>
      </c>
      <c r="B26" s="4"/>
      <c r="C26" s="4"/>
      <c r="D26" s="4"/>
      <c r="E26" s="4"/>
      <c r="F26" s="4"/>
      <c r="G26" s="4"/>
      <c r="H26" s="13" t="n">
        <v>0.7</v>
      </c>
      <c r="I26" s="11"/>
      <c r="J26" s="11"/>
      <c r="K26" s="4" t="str">
        <v>—</v>
      </c>
      <c r="L26" s="4"/>
    </row>
    <row r="27" ht="17" customHeight="1">
      <c r="A27" s="4" t="str">
        <v>Скорость</v>
      </c>
      <c r="B27" s="4"/>
      <c r="C27" s="4"/>
      <c r="D27" s="4"/>
      <c r="E27" s="4"/>
      <c r="F27" s="4"/>
      <c r="G27" s="4"/>
      <c r="H27" s="12" t="n">
        <v>15</v>
      </c>
      <c r="I27" s="11"/>
      <c r="J27" s="11"/>
      <c r="K27" s="4" t="str">
        <v>kn</v>
      </c>
      <c r="L27" s="4"/>
    </row>
    <row r="28" ht="25" customHeight="1">
      <c r="A28" s="7" t="str">
        <v>Геометрия и набор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ht="17" customHeight="1">
      <c r="A29" s="4" t="str">
        <v>Набор верхней палубы и днища</v>
      </c>
      <c r="B29" s="4"/>
      <c r="C29" s="4"/>
      <c r="D29" s="4"/>
      <c r="E29" s="4"/>
      <c r="F29" s="4"/>
      <c r="G29" s="4"/>
      <c r="H29" s="4" t="str">
        <v>Продольный</v>
      </c>
      <c r="I29" s="4"/>
      <c r="J29" s="4"/>
      <c r="K29" s="4"/>
      <c r="L29" s="4"/>
    </row>
    <row r="30" ht="17" customHeight="1">
      <c r="A30" s="4" t="str">
        <v>Набор борта и нижней палубы</v>
      </c>
      <c r="B30" s="4"/>
      <c r="C30" s="4"/>
      <c r="D30" s="4"/>
      <c r="E30" s="4"/>
      <c r="F30" s="4"/>
      <c r="G30" s="4"/>
      <c r="H30" s="4" t="str">
        <v>Поперечный</v>
      </c>
      <c r="I30" s="4"/>
      <c r="J30" s="4"/>
      <c r="K30" s="4"/>
      <c r="L30" s="4"/>
    </row>
    <row r="31" ht="17" customHeight="1">
      <c r="A31" s="4" t="str">
        <v>Расчётная высота двойного дна</v>
      </c>
      <c r="B31" s="4"/>
      <c r="C31" s="4"/>
      <c r="D31" s="4"/>
      <c r="E31" s="4"/>
      <c r="F31" s="4"/>
      <c r="G31" s="4"/>
      <c r="H31" s="13" t="n">
        <f>('Расчёт'!$H$22-40)/570+0.04*'Расчёт'!$H$23+3.5*'Расчёт'!$H$25/'Расчёт'!$H$22</f>
        <v>1.0514012554321586</v>
      </c>
      <c r="I31" s="11"/>
      <c r="J31" s="11"/>
      <c r="K31" s="4" t="str">
        <v>m</v>
      </c>
      <c r="L31" s="4"/>
    </row>
    <row r="32" ht="17" customHeight="1">
      <c r="A32" s="4" t="str">
        <v>Высота двойного дна</v>
      </c>
      <c r="B32" s="4"/>
      <c r="C32" s="4"/>
      <c r="D32" s="4"/>
      <c r="E32" s="4"/>
      <c r="F32" s="4"/>
      <c r="G32" s="4"/>
      <c r="H32" s="13" t="n">
        <v>1.2</v>
      </c>
      <c r="I32" s="11"/>
      <c r="J32" s="11"/>
      <c r="K32" s="4" t="str">
        <v>m</v>
      </c>
      <c r="L32" s="4"/>
    </row>
    <row r="33" ht="17" customHeight="1">
      <c r="A33" s="4" t="str">
        <v>Радиус скулы</v>
      </c>
      <c r="B33" s="4"/>
      <c r="C33" s="4"/>
      <c r="D33" s="4"/>
      <c r="E33" s="4"/>
      <c r="F33" s="4"/>
      <c r="G33" s="4"/>
      <c r="H33" s="13" t="n">
        <v>1.6</v>
      </c>
      <c r="I33" s="11"/>
      <c r="J33" s="11"/>
      <c r="K33" s="4" t="str">
        <v>m</v>
      </c>
      <c r="L33" s="4"/>
    </row>
    <row r="34" ht="17" customHeight="1">
      <c r="A34" s="4" t="str">
        <v>Погибь палубы</v>
      </c>
      <c r="B34" s="4"/>
      <c r="C34" s="4"/>
      <c r="D34" s="4"/>
      <c r="E34" s="4"/>
      <c r="F34" s="4"/>
      <c r="G34" s="4"/>
      <c r="H34" s="13" t="n">
        <f>0.02*'Расчёт'!$H$23</f>
        <v>0.35600000000000004</v>
      </c>
      <c r="I34" s="11"/>
      <c r="J34" s="11"/>
      <c r="K34" s="4" t="str">
        <v>m</v>
      </c>
      <c r="L34" s="4"/>
    </row>
    <row r="35" ht="17" customHeight="1">
      <c r="A35" s="4" t="str">
        <v>Высота нижней палубы</v>
      </c>
      <c r="B35" s="4"/>
      <c r="C35" s="4"/>
      <c r="D35" s="4"/>
      <c r="E35" s="4"/>
      <c r="F35" s="4"/>
      <c r="G35" s="4"/>
      <c r="H35" s="13" t="n">
        <v>5.7</v>
      </c>
      <c r="I35" s="11"/>
      <c r="J35" s="11"/>
      <c r="K35" s="4" t="str">
        <v>m</v>
      </c>
      <c r="L35" s="4"/>
    </row>
    <row r="36" ht="17" customHeight="1">
      <c r="A36" s="4" t="str">
        <v>Ширина люка</v>
      </c>
      <c r="B36" s="4"/>
      <c r="C36" s="4"/>
      <c r="D36" s="4"/>
      <c r="E36" s="4"/>
      <c r="F36" s="4"/>
      <c r="G36" s="4"/>
      <c r="H36" s="12" t="n">
        <v>8</v>
      </c>
      <c r="I36" s="11"/>
      <c r="J36" s="11"/>
      <c r="K36" s="4" t="str">
        <v>m</v>
      </c>
      <c r="L36" s="4"/>
    </row>
    <row r="37" ht="17" customHeight="1">
      <c r="A37" s="4" t="str">
        <v>Высота трюма</v>
      </c>
      <c r="B37" s="4"/>
      <c r="C37" s="4"/>
      <c r="D37" s="4"/>
      <c r="E37" s="4"/>
      <c r="F37" s="4"/>
      <c r="G37" s="4"/>
      <c r="H37" s="13" t="n">
        <f>'Расчёт'!$H$35-'Расчёт'!$H$32</f>
        <v>4.5</v>
      </c>
      <c r="I37" s="11"/>
      <c r="J37" s="11"/>
      <c r="K37" s="4" t="str">
        <v>m</v>
      </c>
      <c r="L37" s="4"/>
    </row>
    <row r="38" ht="17" customHeight="1">
      <c r="A38" s="4" t="str">
        <v>Высота твиндека</v>
      </c>
      <c r="B38" s="4"/>
      <c r="C38" s="4"/>
      <c r="D38" s="4"/>
      <c r="E38" s="4"/>
      <c r="F38" s="4"/>
      <c r="G38" s="4"/>
      <c r="H38" s="13" t="n">
        <f>'Расчёт'!$H$24-'Расчёт'!$H$35</f>
        <v>3.6000000000000005</v>
      </c>
      <c r="I38" s="11"/>
      <c r="J38" s="11"/>
      <c r="K38" s="4" t="str">
        <v>m</v>
      </c>
      <c r="L38" s="4"/>
    </row>
    <row r="39" ht="17" customHeight="1">
      <c r="A39" s="4" t="str">
        <v>Шпация</v>
      </c>
      <c r="B39" s="4"/>
      <c r="C39" s="4"/>
      <c r="D39" s="4"/>
      <c r="E39" s="4"/>
      <c r="F39" s="4"/>
      <c r="G39" s="4"/>
      <c r="H39" s="13" t="n">
        <v>0.75</v>
      </c>
      <c r="I39" s="11"/>
      <c r="J39" s="11"/>
      <c r="K39" s="4" t="str">
        <v>m</v>
      </c>
      <c r="L39" s="4"/>
    </row>
    <row r="40" ht="17" customHeight="1">
      <c r="A40" s="4" t="str">
        <v>Расстояние между флорами</v>
      </c>
      <c r="B40" s="4"/>
      <c r="C40" s="4"/>
      <c r="D40" s="4"/>
      <c r="E40" s="4"/>
      <c r="F40" s="4"/>
      <c r="G40" s="4"/>
      <c r="H40" s="13" t="n">
        <f>3*'Расчёт'!$H$39</f>
        <v>2.25</v>
      </c>
      <c r="I40" s="11"/>
      <c r="J40" s="11"/>
      <c r="K40" s="4" t="str">
        <v>m</v>
      </c>
      <c r="L40" s="4"/>
    </row>
    <row r="41" ht="17" customHeight="1">
      <c r="A41" s="4" t="str">
        <v>Расчётный шаг продольных балок днища</v>
      </c>
      <c r="B41" s="4"/>
      <c r="C41" s="4"/>
      <c r="D41" s="4"/>
      <c r="E41" s="4"/>
      <c r="F41" s="4"/>
      <c r="G41" s="4"/>
      <c r="H41" s="13" t="n">
        <v>0.7</v>
      </c>
      <c r="I41" s="11"/>
      <c r="J41" s="11"/>
      <c r="K41" s="4" t="str">
        <v>m</v>
      </c>
      <c r="L41" s="4"/>
    </row>
    <row r="42" ht="17" customHeight="1">
      <c r="A42" s="4" t="str">
        <v>Шаг продольных балок верхней палубы</v>
      </c>
      <c r="B42" s="4"/>
      <c r="C42" s="4"/>
      <c r="D42" s="4"/>
      <c r="E42" s="4"/>
      <c r="F42" s="4"/>
      <c r="G42" s="4"/>
      <c r="H42" s="13" t="n">
        <f>('Расчёт'!$H$23-'Расчёт'!$H$36)/2/7</f>
        <v>0.7000000000000001</v>
      </c>
      <c r="I42" s="11"/>
      <c r="J42" s="11"/>
      <c r="K42" s="4" t="str">
        <v>m</v>
      </c>
      <c r="L42" s="4"/>
    </row>
    <row r="43" ht="17" customHeight="1">
      <c r="A43" s="4" t="str">
        <v>Пролёт между продольными опорами днища</v>
      </c>
      <c r="B43" s="4"/>
      <c r="C43" s="4"/>
      <c r="D43" s="4"/>
      <c r="E43" s="4"/>
      <c r="F43" s="4"/>
      <c r="G43" s="4"/>
      <c r="H43" s="12" t="n">
        <v>4</v>
      </c>
      <c r="I43" s="11"/>
      <c r="J43" s="11"/>
      <c r="K43" s="4" t="str">
        <v>m</v>
      </c>
      <c r="L43" s="4"/>
    </row>
    <row r="44" ht="17" customHeight="1">
      <c r="A44" s="4" t="str">
        <v>Пролёт полубимса</v>
      </c>
      <c r="B44" s="4"/>
      <c r="C44" s="4"/>
      <c r="D44" s="4"/>
      <c r="E44" s="4"/>
      <c r="F44" s="4"/>
      <c r="G44" s="4"/>
      <c r="H44" s="13" t="n">
        <f>('Расчёт'!$H$23-'Расчёт'!$H$36)/2</f>
        <v>4.9</v>
      </c>
      <c r="I44" s="11"/>
      <c r="J44" s="11"/>
      <c r="K44" s="4" t="str">
        <v>m</v>
      </c>
      <c r="L44" s="4"/>
    </row>
    <row r="45" ht="17" customHeight="1">
      <c r="A45" s="4" t="str">
        <v>Длина расчётной цистерны</v>
      </c>
      <c r="B45" s="4"/>
      <c r="C45" s="4"/>
      <c r="D45" s="4"/>
      <c r="E45" s="4"/>
      <c r="F45" s="4"/>
      <c r="G45" s="4"/>
      <c r="H45" s="12" t="n">
        <v>18</v>
      </c>
      <c r="I45" s="11"/>
      <c r="J45" s="11"/>
      <c r="K45" s="4" t="str">
        <v>m</v>
      </c>
      <c r="L45" s="4"/>
    </row>
    <row r="46" ht="17" customHeight="1">
      <c r="A46" s="4" t="str">
        <v>Шаг пиллерсов вдоль люка</v>
      </c>
      <c r="B46" s="4"/>
      <c r="C46" s="4"/>
      <c r="D46" s="4"/>
      <c r="E46" s="4"/>
      <c r="F46" s="4"/>
      <c r="G46" s="4"/>
      <c r="H46" s="13" t="n">
        <v>4.5</v>
      </c>
      <c r="I46" s="11"/>
      <c r="J46" s="11"/>
      <c r="K46" s="4" t="str">
        <v>m</v>
      </c>
      <c r="L46" s="4"/>
    </row>
    <row r="47" ht="17" customHeight="1">
      <c r="A47" s="4" t="str">
        <v>Плотность сухого груза</v>
      </c>
      <c r="B47" s="4"/>
      <c r="C47" s="4"/>
      <c r="D47" s="4"/>
      <c r="E47" s="4"/>
      <c r="F47" s="4"/>
      <c r="G47" s="4"/>
      <c r="H47" s="13" t="n">
        <v>0.6</v>
      </c>
      <c r="I47" s="11"/>
      <c r="J47" s="11"/>
      <c r="K47" s="4" t="str">
        <v>t/m³</v>
      </c>
      <c r="L47" s="4"/>
    </row>
    <row r="48" ht="17" customHeight="1">
      <c r="A48" s="4" t="str">
        <v>Плотность балласта</v>
      </c>
      <c r="B48" s="4"/>
      <c r="C48" s="4"/>
      <c r="D48" s="4"/>
      <c r="E48" s="4"/>
      <c r="F48" s="4"/>
      <c r="G48" s="4"/>
      <c r="H48" s="13" t="n">
        <v>1.025</v>
      </c>
      <c r="I48" s="11"/>
      <c r="J48" s="11"/>
      <c r="K48" s="4" t="str">
        <v>t/m³</v>
      </c>
      <c r="L48" s="4"/>
    </row>
    <row r="49" ht="17" customHeight="1">
      <c r="A49" s="4" t="str">
        <v>Ускорение тяжести</v>
      </c>
      <c r="B49" s="4"/>
      <c r="C49" s="4"/>
      <c r="D49" s="4"/>
      <c r="E49" s="4"/>
      <c r="F49" s="4"/>
      <c r="G49" s="4"/>
      <c r="H49" s="13" t="n">
        <v>9.81</v>
      </c>
      <c r="I49" s="11"/>
      <c r="J49" s="11"/>
      <c r="K49" s="4" t="str">
        <v>m/s²</v>
      </c>
      <c r="L49" s="4"/>
    </row>
    <row r="50" ht="17" customHeight="1">
      <c r="A50" s="4" t="str">
        <v>Балластная осадка (принято 0.6d)</v>
      </c>
      <c r="B50" s="4"/>
      <c r="C50" s="4"/>
      <c r="D50" s="4"/>
      <c r="E50" s="4"/>
      <c r="F50" s="4"/>
      <c r="G50" s="4"/>
      <c r="H50" s="13" t="n">
        <f>0.6*'Расчёт'!$H$25</f>
        <v>4.08</v>
      </c>
      <c r="I50" s="11"/>
      <c r="J50" s="11"/>
      <c r="K50" s="4" t="str">
        <v>m</v>
      </c>
      <c r="L50" s="4"/>
    </row>
    <row r="51" ht="17" customHeight="1">
      <c r="A51" s="4" t="str">
        <v>Высота воздушной трубы над вторым дном</v>
      </c>
      <c r="B51" s="4"/>
      <c r="C51" s="4"/>
      <c r="D51" s="4"/>
      <c r="E51" s="4"/>
      <c r="F51" s="4"/>
      <c r="G51" s="4"/>
      <c r="H51" s="13" t="n">
        <f>'Расчёт'!$H$24-'Расчёт'!$H$32+0.76</f>
        <v>8.860000000000001</v>
      </c>
      <c r="I51" s="11"/>
      <c r="J51" s="11"/>
      <c r="K51" s="4" t="str">
        <v>m</v>
      </c>
      <c r="L51" s="4"/>
    </row>
    <row r="52" ht="17" customHeight="1">
      <c r="A52" s="4" t="str">
        <v>Давление клапана</v>
      </c>
      <c r="B52" s="4"/>
      <c r="C52" s="4"/>
      <c r="D52" s="4"/>
      <c r="E52" s="4"/>
      <c r="F52" s="4"/>
      <c r="G52" s="4"/>
      <c r="H52" s="12" t="n">
        <v>25</v>
      </c>
      <c r="I52" s="11"/>
      <c r="J52" s="11"/>
      <c r="K52" s="4" t="str">
        <v>kPa</v>
      </c>
      <c r="L52" s="4"/>
    </row>
    <row r="53" ht="17" customHeight="1">
      <c r="A53" s="4" t="str">
        <v>Предел текучести</v>
      </c>
      <c r="B53" s="4"/>
      <c r="C53" s="4"/>
      <c r="D53" s="4"/>
      <c r="E53" s="4"/>
      <c r="F53" s="4"/>
      <c r="G53" s="4"/>
      <c r="H53" s="12" t="n">
        <v>235</v>
      </c>
      <c r="I53" s="11"/>
      <c r="J53" s="11"/>
      <c r="K53" s="4" t="str">
        <v>MPa</v>
      </c>
      <c r="L53" s="4"/>
    </row>
    <row r="54" ht="17" customHeight="1">
      <c r="A54" s="4" t="str">
        <v>Коэффициент материала</v>
      </c>
      <c r="B54" s="4"/>
      <c r="C54" s="4"/>
      <c r="D54" s="4"/>
      <c r="E54" s="4"/>
      <c r="F54" s="4"/>
      <c r="G54" s="4"/>
      <c r="H54" s="12" t="n">
        <v>1</v>
      </c>
      <c r="I54" s="11"/>
      <c r="J54" s="11"/>
      <c r="K54" s="4" t="str">
        <v>—</v>
      </c>
      <c r="L54" s="4"/>
    </row>
    <row r="55" ht="17" customHeight="1">
      <c r="A55" s="4" t="str">
        <v>Срок службы</v>
      </c>
      <c r="B55" s="4"/>
      <c r="C55" s="4"/>
      <c r="D55" s="4"/>
      <c r="E55" s="4"/>
      <c r="F55" s="4"/>
      <c r="G55" s="4"/>
      <c r="H55" s="12" t="n">
        <v>25</v>
      </c>
      <c r="I55" s="11"/>
      <c r="J55" s="11"/>
      <c r="K55" s="4" t="str">
        <v>yr</v>
      </c>
      <c r="L55" s="4"/>
    </row>
    <row r="56" ht="17" customHeight="1">
      <c r="A56" s="4" t="str">
        <v>Начало коррозионной прибавки</v>
      </c>
      <c r="B56" s="4"/>
      <c r="C56" s="4"/>
      <c r="D56" s="4"/>
      <c r="E56" s="4"/>
      <c r="F56" s="4"/>
      <c r="G56" s="4"/>
      <c r="H56" s="12" t="n">
        <v>12</v>
      </c>
      <c r="I56" s="11"/>
      <c r="J56" s="11"/>
      <c r="K56" s="4" t="str">
        <v>yr</v>
      </c>
      <c r="L56" s="4"/>
    </row>
    <row r="57" ht="17" customHeight="1">
      <c r="A57" s="4" t="str">
        <v>Толщина палубы по общей прочности</v>
      </c>
      <c r="B57" s="4"/>
      <c r="C57" s="4"/>
      <c r="D57" s="4"/>
      <c r="E57" s="4"/>
      <c r="F57" s="4"/>
      <c r="G57" s="4"/>
      <c r="H57" s="12" t="n">
        <v>19</v>
      </c>
      <c r="I57" s="11"/>
      <c r="J57" s="11"/>
      <c r="K57" s="4" t="str">
        <v>mm</v>
      </c>
      <c r="L57" s="4"/>
    </row>
    <row r="58" ht="17" customHeight="1">
      <c r="A58" s="4" t="str">
        <v>Ширина горизонтального киля и ширстрека</v>
      </c>
      <c r="B58" s="4"/>
      <c r="C58" s="4"/>
      <c r="D58" s="4"/>
      <c r="E58" s="4"/>
      <c r="F58" s="4"/>
      <c r="G58" s="4"/>
      <c r="H58" s="13" t="n">
        <f>(800+5*'Расчёт'!$H$22)/1000</f>
        <v>1.345</v>
      </c>
      <c r="I58" s="11"/>
      <c r="J58" s="11"/>
      <c r="K58" s="4" t="str">
        <v>m</v>
      </c>
      <c r="L58" s="4"/>
    </row>
    <row r="59" ht="17" customHeight="1">
      <c r="A59" s="4" t="str">
        <v>Полуширина второго дна</v>
      </c>
      <c r="B59" s="4"/>
      <c r="C59" s="4"/>
      <c r="D59" s="4"/>
      <c r="E59" s="4"/>
      <c r="F59" s="4"/>
      <c r="G59" s="4"/>
      <c r="H59" s="13" t="n">
        <f>'Расчёт'!$H$23/2-'Расчёт'!$H$33+SQRT('Расчёт'!$H$33^2-('Расчёт'!$H$33-'Расчёт'!$H$32)^2)</f>
        <v>8.849193338482968</v>
      </c>
      <c r="I59" s="11"/>
      <c r="J59" s="11"/>
      <c r="K59" s="4" t="str">
        <v>m</v>
      </c>
      <c r="L59" s="4"/>
    </row>
    <row r="60" ht="17" customHeight="1">
      <c r="A60" s="4" t="str">
        <v>Высота палубы у кромки люка</v>
      </c>
      <c r="B60" s="4"/>
      <c r="C60" s="4"/>
      <c r="D60" s="4"/>
      <c r="E60" s="4"/>
      <c r="F60" s="4"/>
      <c r="G60" s="4"/>
      <c r="H60" s="13" t="n">
        <f>'Расчёт'!$H$24+'Расчёт'!$H$34*(1-('Расчёт'!$H$36/'Расчёт'!$H$23)^2)</f>
        <v>9.58408988764045</v>
      </c>
      <c r="I60" s="11"/>
      <c r="J60" s="11"/>
      <c r="K60" s="4" t="str">
        <v>m</v>
      </c>
      <c r="L60" s="4"/>
    </row>
    <row r="61" ht="25" customHeight="1">
      <c r="A61" s="7" t="str">
        <v>2. Нагрузки и расчётные состояния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ht="28" customHeight="1">
      <c r="A62" s="10" t="str">
        <v>Параметр</v>
      </c>
      <c r="B62" s="10"/>
      <c r="C62" s="10"/>
      <c r="D62" s="10"/>
      <c r="E62" s="10"/>
      <c r="F62" s="10"/>
      <c r="G62" s="10"/>
      <c r="H62" s="10" t="str">
        <v>Значение</v>
      </c>
      <c r="I62" s="10"/>
      <c r="J62" s="10"/>
      <c r="K62" s="10" t="str">
        <v>Ед.</v>
      </c>
      <c r="L62" s="10"/>
    </row>
    <row r="63" ht="17" customHeight="1">
      <c r="A63" s="4" t="str">
        <v>Волновой коэффициент</v>
      </c>
      <c r="B63" s="4"/>
      <c r="C63" s="4"/>
      <c r="D63" s="4"/>
      <c r="E63" s="4"/>
      <c r="F63" s="4"/>
      <c r="G63" s="4"/>
      <c r="H63" s="13" t="n">
        <f>IF('Расчёт'!$H$22&lt;=90,0.0856*'Расчёт'!$H$22,10.75-((300-'Расчёт'!$H$22)/100)^1.5)</f>
        <v>8.110327482432716</v>
      </c>
      <c r="I63" s="11"/>
      <c r="J63" s="11"/>
      <c r="K63" s="4" t="str">
        <v>m</v>
      </c>
      <c r="L63" s="4"/>
    </row>
    <row r="64" ht="17" customHeight="1">
      <c r="A64" s="4" t="str">
        <v>Коэффициент ax</v>
      </c>
      <c r="B64" s="4"/>
      <c r="C64" s="4"/>
      <c r="D64" s="4"/>
      <c r="E64" s="4"/>
      <c r="F64" s="4"/>
      <c r="G64" s="4"/>
      <c r="H64" s="13" t="n">
        <v>0.267</v>
      </c>
      <c r="I64" s="11"/>
      <c r="J64" s="11"/>
      <c r="K64" s="4"/>
      <c r="L64" s="4"/>
    </row>
    <row r="65" ht="17" customHeight="1">
      <c r="A65" s="4" t="str">
        <v>Коэффициент av/ax</v>
      </c>
      <c r="B65" s="4"/>
      <c r="C65" s="4"/>
      <c r="D65" s="4"/>
      <c r="E65" s="4"/>
      <c r="F65" s="4"/>
      <c r="G65" s="4"/>
      <c r="H65" s="13" t="n">
        <v>0.6</v>
      </c>
      <c r="I65" s="11"/>
      <c r="J65" s="11"/>
      <c r="K65" s="4"/>
      <c r="L65" s="4"/>
    </row>
    <row r="66" ht="17" customHeight="1">
      <c r="A66" s="4" t="str">
        <v>Волновое давление на ватерлинии</v>
      </c>
      <c r="B66" s="4"/>
      <c r="C66" s="4"/>
      <c r="D66" s="4"/>
      <c r="E66" s="4"/>
      <c r="F66" s="4"/>
      <c r="G66" s="4"/>
      <c r="H66" s="13" t="n">
        <f>5*'Расчёт'!$H$63*'Расчёт'!$H$65</f>
        <v>24.330982447298148</v>
      </c>
      <c r="I66" s="11"/>
      <c r="J66" s="11"/>
      <c r="K66" s="4" t="str">
        <v>kPa</v>
      </c>
      <c r="L66" s="4"/>
    </row>
    <row r="67" ht="17" customHeight="1">
      <c r="A67" s="4" t="str">
        <v>Вертикальное ускорение</v>
      </c>
      <c r="B67" s="4"/>
      <c r="C67" s="4"/>
      <c r="D67" s="4"/>
      <c r="E67" s="4"/>
      <c r="F67" s="4"/>
      <c r="G67" s="4"/>
      <c r="H67" s="13" t="n">
        <f>'Расчёт'!$H$49*0.9/'Расчёт'!$H$22^0.333</f>
        <v>1.8511793327259352</v>
      </c>
      <c r="I67" s="11"/>
      <c r="J67" s="11"/>
      <c r="K67" s="4" t="str">
        <v>m/s²</v>
      </c>
      <c r="L67" s="4"/>
    </row>
    <row r="68" ht="17" customHeight="1">
      <c r="A68" s="4" t="str">
        <v>Амплитуда бортовой качки</v>
      </c>
      <c r="B68" s="4"/>
      <c r="C68" s="4"/>
      <c r="D68" s="4"/>
      <c r="E68" s="4"/>
      <c r="F68" s="4"/>
      <c r="G68" s="4"/>
      <c r="H68" s="13" t="n">
        <f>0.6/(1+0.005*'Расчёт'!$H$22)</f>
        <v>0.3883495145631068</v>
      </c>
      <c r="I68" s="11"/>
      <c r="J68" s="11"/>
      <c r="K68" s="4" t="str">
        <v>rad</v>
      </c>
      <c r="L68" s="4"/>
    </row>
    <row r="69" ht="17" customHeight="1">
      <c r="A69" s="4" t="str">
        <v>Амплитуда килевой качки</v>
      </c>
      <c r="B69" s="4"/>
      <c r="C69" s="4"/>
      <c r="D69" s="4"/>
      <c r="E69" s="4"/>
      <c r="F69" s="4"/>
      <c r="G69" s="4"/>
      <c r="H69" s="13" t="n">
        <f>0.23/(1+0.01*'Расчёт'!$H$22)</f>
        <v>0.11004784688995217</v>
      </c>
      <c r="I69" s="11"/>
      <c r="J69" s="11"/>
      <c r="K69" s="4" t="str">
        <v>rad</v>
      </c>
      <c r="L69" s="4"/>
    </row>
    <row r="70" ht="25" customHeight="1">
      <c r="A70" s="7" t="str">
        <v>Расчётные давления: море, балласт и груз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 ht="28" customHeight="1">
      <c r="A71" s="10" t="str">
        <v>Параметр</v>
      </c>
      <c r="B71" s="10"/>
      <c r="C71" s="10"/>
      <c r="D71" s="10"/>
      <c r="E71" s="10"/>
      <c r="F71" s="10"/>
      <c r="G71" s="10"/>
      <c r="H71" s="10" t="str">
        <v>Значение</v>
      </c>
      <c r="I71" s="10"/>
      <c r="J71" s="10"/>
      <c r="K71" s="10" t="str">
        <v>Ед.</v>
      </c>
      <c r="L71" s="10"/>
    </row>
    <row r="72" ht="17" customHeight="1">
      <c r="A72" s="4" t="str">
        <v>Внешнее противодавление при балласте</v>
      </c>
      <c r="B72" s="4"/>
      <c r="C72" s="4"/>
      <c r="D72" s="4"/>
      <c r="E72" s="4"/>
      <c r="F72" s="4"/>
      <c r="G72" s="4"/>
      <c r="H72" s="13" t="n">
        <f>MAX('Расчёт'!$G$90-'Расчёт'!$I$90,0)</f>
        <v>28.634508776350923</v>
      </c>
      <c r="I72" s="11"/>
      <c r="J72" s="11"/>
      <c r="K72" s="4" t="str">
        <v>kPa</v>
      </c>
      <c r="L72" s="4"/>
    </row>
    <row r="73" ht="17" customHeight="1">
      <c r="A73" s="4" t="str">
        <v>Нетто-давление на днище при балласте</v>
      </c>
      <c r="B73" s="4"/>
      <c r="C73" s="4"/>
      <c r="D73" s="4"/>
      <c r="E73" s="4"/>
      <c r="F73" s="4"/>
      <c r="G73" s="4"/>
      <c r="H73" s="13" t="n">
        <f>MAX('Расчёт'!$J$93-'Расчёт'!$H$72,ABS('Расчёт'!$J$93-'Расчёт'!$K$90))</f>
        <v>47.23235247364907</v>
      </c>
      <c r="I73" s="11"/>
      <c r="J73" s="11"/>
      <c r="K73" s="4" t="str">
        <v>kPa</v>
      </c>
      <c r="L73" s="4"/>
    </row>
    <row r="74" ht="17" customHeight="1">
      <c r="A74" s="4" t="str">
        <v>Расчётное давление днища</v>
      </c>
      <c r="B74" s="4"/>
      <c r="C74" s="4"/>
      <c r="D74" s="4"/>
      <c r="E74" s="4"/>
      <c r="F74" s="4"/>
      <c r="G74" s="4"/>
      <c r="H74" s="13" t="n">
        <f>MAX('Расчёт'!$K$82,'Расчёт'!$H$73)</f>
        <v>80.16549122364907</v>
      </c>
      <c r="I74" s="11"/>
      <c r="J74" s="11"/>
      <c r="K74" s="4" t="str">
        <v>kPa</v>
      </c>
      <c r="L74" s="4"/>
    </row>
    <row r="75" ht="17" customHeight="1">
      <c r="A75" s="4" t="str">
        <v>Давление груза на второе дно</v>
      </c>
      <c r="B75" s="4"/>
      <c r="C75" s="4"/>
      <c r="D75" s="4"/>
      <c r="E75" s="4"/>
      <c r="F75" s="4"/>
      <c r="G75" s="4"/>
      <c r="H75" s="13" t="n">
        <f>'Расчёт'!$H$47*('Расчёт'!$H$49+'Расчёт'!$H$67)*'Расчёт'!$H$37</f>
        <v>31.485184198360027</v>
      </c>
      <c r="I75" s="11"/>
      <c r="J75" s="11"/>
      <c r="K75" s="4" t="str">
        <v>kPa</v>
      </c>
      <c r="L75" s="4"/>
    </row>
    <row r="76" ht="17" customHeight="1">
      <c r="A76" s="4" t="str">
        <v>Расчётное давление второго дна</v>
      </c>
      <c r="B76" s="4"/>
      <c r="C76" s="4"/>
      <c r="D76" s="4"/>
      <c r="E76" s="4"/>
      <c r="F76" s="4"/>
      <c r="G76" s="4"/>
      <c r="H76" s="13" t="n">
        <f>MAX('Расчёт'!$J$94,'Расчёт'!$H$75)</f>
        <v>66.81713625</v>
      </c>
      <c r="I76" s="11"/>
      <c r="J76" s="11"/>
      <c r="K76" s="4" t="str">
        <v>kPa</v>
      </c>
      <c r="L76" s="4"/>
    </row>
    <row r="77" ht="17" customHeight="1">
      <c r="A77" s="4" t="str">
        <v>Давление груза на нижнюю палубу</v>
      </c>
      <c r="B77" s="4"/>
      <c r="C77" s="4"/>
      <c r="D77" s="4"/>
      <c r="E77" s="4"/>
      <c r="F77" s="4"/>
      <c r="G77" s="4"/>
      <c r="H77" s="13" t="n">
        <f>'Расчёт'!$H$47*('Расчёт'!$H$49+'Расчёт'!$H$67)*'Расчёт'!$H$38</f>
        <v>25.188147358688024</v>
      </c>
      <c r="I77" s="11"/>
      <c r="J77" s="11"/>
      <c r="K77" s="4" t="str">
        <v>kPa</v>
      </c>
      <c r="L77" s="4"/>
    </row>
    <row r="78" ht="17" customHeight="1">
      <c r="A78" s="4" t="str">
        <v>Давление на верхнюю палубу</v>
      </c>
      <c r="B78" s="4"/>
      <c r="C78" s="4"/>
      <c r="D78" s="4"/>
      <c r="E78" s="4"/>
      <c r="F78" s="4"/>
      <c r="G78" s="4"/>
      <c r="H78" s="13" t="n">
        <f>MAX(0.7*'Расчёт'!$K$87,0.015*'Расчёт'!$H$22+7)</f>
        <v>13.527312713108701</v>
      </c>
      <c r="I78" s="11"/>
      <c r="J78" s="11"/>
      <c r="K78" s="4" t="str">
        <v>kPa</v>
      </c>
      <c r="L78" s="4"/>
    </row>
    <row r="79" ht="17" customHeight="1">
      <c r="A79" s="4" t="str">
        <v>Давление на шпангоут трюма</v>
      </c>
      <c r="B79" s="4"/>
      <c r="C79" s="4"/>
      <c r="D79" s="4"/>
      <c r="E79" s="4"/>
      <c r="F79" s="4"/>
      <c r="G79" s="4"/>
      <c r="H79" s="13" t="n">
        <f>MAX('Расчёт'!$K$88,10*MAX('Расчёт'!$H$25-'Расчёт'!$E$88,0)+0.15*'Расчёт'!$H$22+10)</f>
        <v>59.849999999999994</v>
      </c>
      <c r="I79" s="11"/>
      <c r="J79" s="11"/>
      <c r="K79" s="4" t="str">
        <v>kPa</v>
      </c>
      <c r="L79" s="4"/>
    </row>
    <row r="80" ht="25" customHeight="1" collapsed="1">
      <c r="A80" s="7" t="str">
        <v>Давление моря: расчёт в контрольных точках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</row>
    <row r="81" ht="28" customHeight="1" outlineLevel="1" hidden="1">
      <c r="A81" s="10" t="str">
        <v>Точка</v>
      </c>
      <c r="B81" s="10"/>
      <c r="C81" s="10"/>
      <c r="D81" s="10"/>
      <c r="E81" s="10" t="str">
        <v>z, м</v>
      </c>
      <c r="F81" s="10"/>
      <c r="G81" s="10" t="str">
        <v>pst, кПа</v>
      </c>
      <c r="H81" s="10"/>
      <c r="I81" s="10" t="str">
        <v>pw, кПа</v>
      </c>
      <c r="J81" s="10"/>
      <c r="K81" s="10" t="str">
        <v>p, кПа</v>
      </c>
      <c r="L81" s="10"/>
    </row>
    <row r="82" ht="17" customHeight="1" outlineLevel="1" hidden="1">
      <c r="A82" s="4" t="str">
        <v>SEA0 — море</v>
      </c>
      <c r="B82" s="4"/>
      <c r="C82" s="4"/>
      <c r="D82" s="4"/>
      <c r="E82" s="12" t="n">
        <f>0</f>
        <v>0</v>
      </c>
      <c r="F82" s="11"/>
      <c r="G82" s="12" t="n">
        <f>10*MAX('Расчёт'!$H$25-'Расчёт'!$E$82,0)</f>
        <v>68</v>
      </c>
      <c r="H82" s="11"/>
      <c r="I82" s="13" t="n">
        <f>MAX(0,IF('Расчёт'!$E$82&lt;='Расчёт'!$H$25,'Расчёт'!$H$66-1.5*'Расчёт'!$H$63*('Расчёт'!$H$25-'Расчёт'!$E$82)/'Расчёт'!$H$25,'Расчёт'!$H$66-7.5*'Расчёт'!$H$64*('Расчёт'!$E$82-'Расчёт'!$H$25)))</f>
        <v>12.165491223649074</v>
      </c>
      <c r="J82" s="11"/>
      <c r="K82" s="13" t="n">
        <f>'Расчёт'!$G$82+'Расчёт'!$I$82</f>
        <v>80.16549122364907</v>
      </c>
      <c r="L82" s="11"/>
    </row>
    <row r="83" ht="17" customHeight="1" outlineLevel="1" hidden="1">
      <c r="A83" s="4" t="str">
        <v>SEAE — море</v>
      </c>
      <c r="B83" s="4"/>
      <c r="C83" s="4"/>
      <c r="D83" s="4"/>
      <c r="E83" s="13" t="n">
        <f>'Расчёт'!$H$33</f>
        <v>1.6</v>
      </c>
      <c r="F83" s="11"/>
      <c r="G83" s="13" t="n">
        <f>10*MAX('Расчёт'!$H$25-'Расчёт'!$E$83,0)</f>
        <v>51.99999999999999</v>
      </c>
      <c r="H83" s="11"/>
      <c r="I83" s="13" t="n">
        <f>MAX(0,IF('Расчёт'!$E$83&lt;='Расчёт'!$H$25,'Расчёт'!$H$66-1.5*'Расчёт'!$H$63*('Расчёт'!$H$25-'Расчёт'!$E$83)/'Расчёт'!$H$25,'Расчёт'!$H$66-7.5*'Расчёт'!$H$64*('Расчёт'!$E$83-'Расчёт'!$H$25)))</f>
        <v>15.02795974686062</v>
      </c>
      <c r="J83" s="11"/>
      <c r="K83" s="13" t="n">
        <f>'Расчёт'!$G$83+'Расчёт'!$I$83</f>
        <v>67.02795974686062</v>
      </c>
      <c r="L83" s="11"/>
    </row>
    <row r="84" ht="17" customHeight="1" outlineLevel="1" hidden="1">
      <c r="A84" s="4" t="str">
        <v>SEAF — море</v>
      </c>
      <c r="B84" s="4"/>
      <c r="C84" s="4"/>
      <c r="D84" s="4"/>
      <c r="E84" s="13" t="n">
        <f>'Расчёт'!$H$33+2</f>
        <v>3.6</v>
      </c>
      <c r="F84" s="11"/>
      <c r="G84" s="13" t="n">
        <f>10*MAX('Расчёт'!$H$25-'Расчёт'!$E$84,0)</f>
        <v>31.999999999999996</v>
      </c>
      <c r="H84" s="11"/>
      <c r="I84" s="13" t="n">
        <f>MAX(0,IF('Расчёт'!$E$84&lt;='Расчёт'!$H$25,'Расчёт'!$H$66-1.5*'Расчёт'!$H$63*('Расчёт'!$H$25-'Расчёт'!$E$84)/'Расчёт'!$H$25,'Расчёт'!$H$66-7.5*'Расчёт'!$H$64*('Расчёт'!$E$84-'Расчёт'!$H$25)))</f>
        <v>18.606045400875054</v>
      </c>
      <c r="J84" s="11"/>
      <c r="K84" s="13" t="n">
        <f>'Расчёт'!$G$84+'Расчёт'!$I$84</f>
        <v>50.60604540087505</v>
      </c>
      <c r="L84" s="11"/>
    </row>
    <row r="85" ht="17" customHeight="1" outlineLevel="1" hidden="1">
      <c r="A85" s="4" t="str">
        <v>SEAG — море</v>
      </c>
      <c r="B85" s="4"/>
      <c r="C85" s="4"/>
      <c r="D85" s="4"/>
      <c r="E85" s="13" t="n">
        <f>'Расчёт'!$H$33+4</f>
        <v>5.6</v>
      </c>
      <c r="F85" s="11"/>
      <c r="G85" s="13" t="n">
        <f>10*MAX('Расчёт'!$H$25-'Расчёт'!$E$85,0)</f>
        <v>12.000000000000002</v>
      </c>
      <c r="H85" s="11"/>
      <c r="I85" s="13" t="n">
        <f>MAX(0,IF('Расчёт'!$E$85&lt;='Расчёт'!$H$25,'Расчёт'!$H$66-1.5*'Расчёт'!$H$63*('Расчёт'!$H$25-'Расчёт'!$E$85)/'Расчёт'!$H$25,'Расчёт'!$H$66-7.5*'Расчёт'!$H$64*('Расчёт'!$E$85-'Расчёт'!$H$25)))</f>
        <v>22.184131054889487</v>
      </c>
      <c r="J85" s="11"/>
      <c r="K85" s="13" t="n">
        <f>'Расчёт'!$G$85+'Расчёт'!$I$85</f>
        <v>34.18413105488949</v>
      </c>
      <c r="L85" s="11"/>
    </row>
    <row r="86" ht="17" customHeight="1" outlineLevel="1" hidden="1">
      <c r="A86" s="4" t="str">
        <v>SEAH — море</v>
      </c>
      <c r="B86" s="4"/>
      <c r="C86" s="4"/>
      <c r="D86" s="4"/>
      <c r="E86" s="13" t="n">
        <f>'Расчёт'!$H$24-'Расчёт'!$H$58</f>
        <v>7.955000000000001</v>
      </c>
      <c r="F86" s="11"/>
      <c r="G86" s="12" t="n">
        <f>10*MAX('Расчёт'!$H$25-'Расчёт'!$E$86,0)</f>
        <v>0</v>
      </c>
      <c r="H86" s="11"/>
      <c r="I86" s="13" t="n">
        <f>MAX(0,IF('Расчёт'!$E$86&lt;='Расчёт'!$H$25,'Расчёт'!$H$66-1.5*'Расчёт'!$H$63*('Расчёт'!$H$25-'Расчёт'!$E$86)/'Расчёт'!$H$25,'Расчёт'!$H$66-7.5*'Расчёт'!$H$64*('Расчёт'!$E$86-'Расчёт'!$H$25)))</f>
        <v>22.018094947298145</v>
      </c>
      <c r="J86" s="11"/>
      <c r="K86" s="13" t="n">
        <f>'Расчёт'!$G$86+'Расчёт'!$I$86</f>
        <v>22.018094947298145</v>
      </c>
      <c r="L86" s="11"/>
    </row>
    <row r="87" ht="17" customHeight="1" outlineLevel="1" hidden="1">
      <c r="A87" s="4" t="str">
        <v>SEAD — море</v>
      </c>
      <c r="B87" s="4"/>
      <c r="C87" s="4"/>
      <c r="D87" s="4"/>
      <c r="E87" s="13" t="n">
        <f>'Расчёт'!$H$24</f>
        <v>9.3</v>
      </c>
      <c r="F87" s="11"/>
      <c r="G87" s="12" t="n">
        <f>10*MAX('Расчёт'!$H$25-'Расчёт'!$E$87,0)</f>
        <v>0</v>
      </c>
      <c r="H87" s="11"/>
      <c r="I87" s="13" t="n">
        <f>MAX(0,IF('Расчёт'!$E$87&lt;='Расчёт'!$H$25,'Расчёт'!$H$66-1.5*'Расчёт'!$H$63*('Расчёт'!$H$25-'Расчёт'!$E$87)/'Расчёт'!$H$25,'Расчёт'!$H$66-7.5*'Расчёт'!$H$64*('Расчёт'!$E$87-'Расчёт'!$H$25)))</f>
        <v>19.324732447298146</v>
      </c>
      <c r="J87" s="11"/>
      <c r="K87" s="13" t="n">
        <f>'Расчёт'!$G$87+'Расчёт'!$I$87</f>
        <v>19.324732447298146</v>
      </c>
      <c r="L87" s="11"/>
    </row>
    <row r="88" ht="17" customHeight="1" outlineLevel="1" hidden="1">
      <c r="A88" s="4" t="str">
        <v>SEAFR — море</v>
      </c>
      <c r="B88" s="4"/>
      <c r="C88" s="4"/>
      <c r="D88" s="4"/>
      <c r="E88" s="13" t="n">
        <f>('Расчёт'!$H$32+'Расчёт'!$H$35)/2</f>
        <v>3.45</v>
      </c>
      <c r="F88" s="11"/>
      <c r="G88" s="13" t="n">
        <f>10*MAX('Расчёт'!$H$25-'Расчёт'!$E$88,0)</f>
        <v>33.5</v>
      </c>
      <c r="H88" s="11"/>
      <c r="I88" s="13" t="n">
        <f>MAX(0,IF('Расчёт'!$E$88&lt;='Расчёт'!$H$25,'Расчёт'!$H$66-1.5*'Расчёт'!$H$63*('Расчёт'!$H$25-'Расчёт'!$E$88)/'Расчёт'!$H$25,'Расчёт'!$H$66-7.5*'Расчёт'!$H$64*('Расчёт'!$E$88-'Расчёт'!$H$25)))</f>
        <v>18.337688976823973</v>
      </c>
      <c r="J88" s="11"/>
      <c r="K88" s="13" t="n">
        <f>'Расчёт'!$G$88+'Расчёт'!$I$88</f>
        <v>51.83768897682397</v>
      </c>
      <c r="L88" s="11"/>
    </row>
    <row r="89" ht="17" customHeight="1" outlineLevel="1" hidden="1">
      <c r="A89" s="4" t="str">
        <v>SEATW — море</v>
      </c>
      <c r="B89" s="4"/>
      <c r="C89" s="4"/>
      <c r="D89" s="4"/>
      <c r="E89" s="13" t="n">
        <f>('Расчёт'!$H$35+'Расчёт'!$H$24)/2</f>
        <v>7.5</v>
      </c>
      <c r="F89" s="11"/>
      <c r="G89" s="12" t="n">
        <f>10*MAX('Расчёт'!$H$25-'Расчёт'!$E$89,0)</f>
        <v>0</v>
      </c>
      <c r="H89" s="11"/>
      <c r="I89" s="13" t="n">
        <f>MAX(0,IF('Расчёт'!$E$89&lt;='Расчёт'!$H$25,'Расчёт'!$H$66-1.5*'Расчёт'!$H$63*('Расчёт'!$H$25-'Расчёт'!$E$89)/'Расчёт'!$H$25,'Расчёт'!$H$66-7.5*'Расчёт'!$H$64*('Расчёт'!$E$89-'Расчёт'!$H$25)))</f>
        <v>22.929232447298148</v>
      </c>
      <c r="J89" s="11"/>
      <c r="K89" s="13" t="n">
        <f>'Расчёт'!$G$89+'Расчёт'!$I$89</f>
        <v>22.929232447298148</v>
      </c>
      <c r="L89" s="11"/>
    </row>
    <row r="90" ht="17" customHeight="1" outlineLevel="1" hidden="1">
      <c r="A90" s="4" t="str">
        <v>Днище, балласт</v>
      </c>
      <c r="B90" s="4"/>
      <c r="C90" s="4"/>
      <c r="D90" s="4"/>
      <c r="E90" s="12" t="n">
        <f>0</f>
        <v>0</v>
      </c>
      <c r="F90" s="11"/>
      <c r="G90" s="13" t="n">
        <f>10*MAX('Расчёт'!$H$50-'Расчёт'!$E$90,0)</f>
        <v>40.8</v>
      </c>
      <c r="H90" s="11"/>
      <c r="I90" s="13" t="n">
        <f>MAX(0,IF('Расчёт'!$E$90&lt;='Расчёт'!$H$50,'Расчёт'!$H$66-1.5*'Расчёт'!$H$63*('Расчёт'!$H$50-'Расчёт'!$E$90)/'Расчёт'!$H$50,'Расчёт'!$H$66-7.5*'Расчёт'!$H$64*('Расчёт'!$E$90-'Расчёт'!$H$50)))</f>
        <v>12.165491223649074</v>
      </c>
      <c r="J90" s="11"/>
      <c r="K90" s="13" t="n">
        <f>'Расчёт'!$G$90+'Расчёт'!$I$90</f>
        <v>52.96549122364907</v>
      </c>
      <c r="L90" s="11"/>
    </row>
    <row r="91" ht="25" customHeight="1" collapsed="1">
      <c r="A91" s="7" t="str">
        <v>Двойное дно: внутреннее давление, случаи 1–5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</row>
    <row r="92" ht="28" customHeight="1" outlineLevel="1" hidden="1">
      <c r="A92" s="10" t="str">
        <v>Точка</v>
      </c>
      <c r="B92" s="10"/>
      <c r="C92" s="10" t="str">
        <v>h, м</v>
      </c>
      <c r="D92" s="10" t="str">
        <v>p1, кПа</v>
      </c>
      <c r="E92" s="10" t="str">
        <v>p2, кПа</v>
      </c>
      <c r="F92" s="10" t="str">
        <v>p3, кПа</v>
      </c>
      <c r="G92" s="10" t="str">
        <v>p4, кПа</v>
      </c>
      <c r="H92" s="10" t="str">
        <v>p5, кПа</v>
      </c>
      <c r="I92" s="10"/>
      <c r="J92" s="10" t="str">
        <v>pmax, кПа</v>
      </c>
      <c r="K92" s="10"/>
      <c r="L92" s="10"/>
    </row>
    <row r="93" ht="17" customHeight="1" outlineLevel="1" hidden="1">
      <c r="A93" s="4" t="str">
        <v>Днище</v>
      </c>
      <c r="B93" s="4"/>
      <c r="C93" s="13" t="n">
        <f>'Расчёт'!$H$32</f>
        <v>1.2</v>
      </c>
      <c r="D93" s="13" t="n">
        <f>'Расчёт'!$H$48*('Расчёт'!$H$49+'Расчёт'!$H$67)*'Расчёт'!$C$93</f>
        <v>14.3432505792529</v>
      </c>
      <c r="E93" s="13" t="n">
        <f>'Расчёт'!$H$48*'Расчёт'!$H$49*('Расчёт'!$C$93+'Расчёт'!$H$23/2*'Расчёт'!$H$68)</f>
        <v>46.82036796116505</v>
      </c>
      <c r="F93" s="13" t="n">
        <f>'Расчёт'!$H$48*'Расчёт'!$H$49*('Расчёт'!$C$93+'Расчёт'!$H$45*'Расчёт'!$H$69)</f>
        <v>31.98435502392345</v>
      </c>
      <c r="G93" s="13" t="n">
        <f>0.75*'Расчёт'!$H$48*'Расчёт'!$H$49*('Расчёт'!$C$93+'Расчёт'!$H$51)</f>
        <v>75.86686125</v>
      </c>
      <c r="H93" s="13" t="n">
        <f>'Расчёт'!$H$48*'Расчёт'!$H$49*'Расчёт'!$C$93+'Расчёт'!$H$52</f>
        <v>37.0663</v>
      </c>
      <c r="I93" s="11"/>
      <c r="J93" s="13" t="n">
        <f>MAX('Расчёт'!$D$93,'Расчёт'!$E$93,'Расчёт'!$F$93,'Расчёт'!$G$93,'Расчёт'!$H$93)</f>
        <v>75.86686125</v>
      </c>
      <c r="K93" s="11"/>
      <c r="L93" s="11"/>
    </row>
    <row r="94" ht="17" customHeight="1" outlineLevel="1" hidden="1">
      <c r="A94" s="4" t="str">
        <v>Второе дно</v>
      </c>
      <c r="B94" s="4"/>
      <c r="C94" s="12" t="n">
        <f>0</f>
        <v>0</v>
      </c>
      <c r="D94" s="12" t="n">
        <f>'Расчёт'!$H$48*('Расчёт'!$H$49+'Расчёт'!$H$67)*'Расчёт'!$C$94</f>
        <v>0</v>
      </c>
      <c r="E94" s="13" t="n">
        <f>'Расчёт'!$H$48*'Расчёт'!$H$49*('Расчёт'!$C$94+'Расчёт'!$H$23/2*'Расчёт'!$H$68)</f>
        <v>34.75406796116505</v>
      </c>
      <c r="F94" s="13" t="n">
        <f>'Расчёт'!$H$48*'Расчёт'!$H$49*('Расчёт'!$C$94+'Расчёт'!$H$45*'Расчёт'!$H$69)</f>
        <v>19.918055023923447</v>
      </c>
      <c r="G94" s="13" t="n">
        <f>0.75*'Расчёт'!$H$48*'Расчёт'!$H$49*('Расчёт'!$C$94+'Расчёт'!$H$51)</f>
        <v>66.81713625</v>
      </c>
      <c r="H94" s="12" t="n">
        <f>'Расчёт'!$H$48*'Расчёт'!$H$49*'Расчёт'!$C$94+'Расчёт'!$H$52</f>
        <v>25</v>
      </c>
      <c r="I94" s="11"/>
      <c r="J94" s="13" t="n">
        <f>MAX('Расчёт'!$D$94,'Расчёт'!$E$94,'Расчёт'!$F$94,'Расчёт'!$G$94,'Расчёт'!$H$94)</f>
        <v>66.81713625</v>
      </c>
      <c r="K94" s="11"/>
      <c r="L94" s="11"/>
    </row>
    <row r="95" ht="25" customHeight="1">
      <c r="A95" s="7" t="str">
        <v>3. Изгибающие моменты и требуемые W, I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</row>
    <row r="96" ht="28" customHeight="1">
      <c r="A96" s="10" t="str">
        <v>Параметр</v>
      </c>
      <c r="B96" s="10"/>
      <c r="C96" s="10"/>
      <c r="D96" s="10"/>
      <c r="E96" s="10"/>
      <c r="F96" s="10"/>
      <c r="G96" s="10"/>
      <c r="H96" s="10" t="str">
        <v>Значение</v>
      </c>
      <c r="I96" s="10"/>
      <c r="J96" s="10"/>
      <c r="K96" s="10" t="str">
        <v>Ед.</v>
      </c>
      <c r="L96" s="10"/>
    </row>
    <row r="97" ht="17" customHeight="1">
      <c r="A97" s="4" t="str">
        <v>Водоизмещение</v>
      </c>
      <c r="B97" s="4"/>
      <c r="C97" s="4"/>
      <c r="D97" s="4"/>
      <c r="E97" s="4"/>
      <c r="F97" s="4"/>
      <c r="G97" s="4"/>
      <c r="H97" s="13" t="n">
        <f>1.025*'Расчёт'!$H$22*'Расчёт'!$H$23*'Расчёт'!$H$25*'Расчёт'!$H$26</f>
        <v>9466.235799999999</v>
      </c>
      <c r="I97" s="11"/>
      <c r="J97" s="11"/>
      <c r="K97" s="4" t="str">
        <v>t</v>
      </c>
      <c r="L97" s="4"/>
    </row>
    <row r="98" ht="17" customHeight="1">
      <c r="A98" s="4" t="str">
        <v>Коэффициент тихой воды</v>
      </c>
      <c r="B98" s="4"/>
      <c r="C98" s="4"/>
      <c r="D98" s="4"/>
      <c r="E98" s="4"/>
      <c r="F98" s="4"/>
      <c r="G98" s="4"/>
      <c r="H98" s="12" t="n">
        <v>60</v>
      </c>
      <c r="I98" s="11"/>
      <c r="J98" s="11"/>
      <c r="K98" s="4"/>
      <c r="L98" s="4"/>
    </row>
    <row r="99" ht="17" customHeight="1">
      <c r="A99" s="4" t="str">
        <v>Статический момент, перегиб</v>
      </c>
      <c r="B99" s="4"/>
      <c r="C99" s="4"/>
      <c r="D99" s="4"/>
      <c r="E99" s="4"/>
      <c r="F99" s="4"/>
      <c r="G99" s="4"/>
      <c r="H99" s="13" t="n">
        <f>'Расчёт'!$H$49*'Расчёт'!$H$22*'Расчёт'!$H$97/'Расчёт'!$H$98</f>
        <v>168702.52130969995</v>
      </c>
      <c r="I99" s="11"/>
      <c r="J99" s="11"/>
      <c r="K99" s="4" t="str">
        <v>kN·m</v>
      </c>
      <c r="L99" s="4"/>
    </row>
    <row r="100" ht="17" customHeight="1">
      <c r="A100" s="4" t="str">
        <v>Статический момент, прогиб</v>
      </c>
      <c r="B100" s="4"/>
      <c r="C100" s="4"/>
      <c r="D100" s="4"/>
      <c r="E100" s="4"/>
      <c r="F100" s="4"/>
      <c r="G100" s="4"/>
      <c r="H100" s="13" t="n">
        <f>-0.75*'Расчёт'!$H$99</f>
        <v>-126526.89098227496</v>
      </c>
      <c r="I100" s="11"/>
      <c r="J100" s="11"/>
      <c r="K100" s="4" t="str">
        <v>kN·m</v>
      </c>
      <c r="L100" s="4"/>
    </row>
    <row r="101" ht="17" customHeight="1">
      <c r="A101" s="4" t="str">
        <v>Волновой момент, перегиб</v>
      </c>
      <c r="B101" s="4"/>
      <c r="C101" s="4"/>
      <c r="D101" s="4"/>
      <c r="E101" s="4"/>
      <c r="F101" s="4"/>
      <c r="G101" s="4"/>
      <c r="H101" s="13" t="n">
        <f>190*'Расчёт'!$H$63*'Расчёт'!$H$23*'Расчёт'!$H$22^2*'Расчёт'!$H$26*0.001</f>
        <v>228119.82505838707</v>
      </c>
      <c r="I101" s="11"/>
      <c r="J101" s="11"/>
      <c r="K101" s="4" t="str">
        <v>kN·m</v>
      </c>
      <c r="L101" s="4"/>
    </row>
    <row r="102" ht="17" customHeight="1">
      <c r="A102" s="4" t="str">
        <v>Волновой момент, прогиб</v>
      </c>
      <c r="B102" s="4"/>
      <c r="C102" s="4"/>
      <c r="D102" s="4"/>
      <c r="E102" s="4"/>
      <c r="F102" s="4"/>
      <c r="G102" s="4"/>
      <c r="H102" s="13" t="n">
        <f>-110*'Расчёт'!$H$63*'Расчёт'!$H$23*'Расчёт'!$H$22^2*('Расчёт'!$H$26+0.7)*0.001</f>
        <v>-264138.7448044482</v>
      </c>
      <c r="I102" s="11"/>
      <c r="J102" s="11"/>
      <c r="K102" s="4" t="str">
        <v>kN·m</v>
      </c>
      <c r="L102" s="4"/>
    </row>
    <row r="103" ht="17" customHeight="1">
      <c r="A103" s="4" t="str">
        <v>Суммарный момент, перегиб</v>
      </c>
      <c r="B103" s="4"/>
      <c r="C103" s="4"/>
      <c r="D103" s="4"/>
      <c r="E103" s="4"/>
      <c r="F103" s="4"/>
      <c r="G103" s="4"/>
      <c r="H103" s="13" t="n">
        <f>'Расчёт'!$H$99+'Расчёт'!$H$101</f>
        <v>396822.346368087</v>
      </c>
      <c r="I103" s="11"/>
      <c r="J103" s="11"/>
      <c r="K103" s="4" t="str">
        <v>kN·m</v>
      </c>
      <c r="L103" s="4"/>
    </row>
    <row r="104" ht="17" customHeight="1">
      <c r="A104" s="4" t="str">
        <v>Суммарный момент, прогиб</v>
      </c>
      <c r="B104" s="4"/>
      <c r="C104" s="4"/>
      <c r="D104" s="4"/>
      <c r="E104" s="4"/>
      <c r="F104" s="4"/>
      <c r="G104" s="4"/>
      <c r="H104" s="13" t="n">
        <f>'Расчёт'!$H$100+'Расчёт'!$H$102</f>
        <v>-390665.63578672317</v>
      </c>
      <c r="I104" s="11"/>
      <c r="J104" s="11"/>
      <c r="K104" s="4" t="str">
        <v>kN·m</v>
      </c>
      <c r="L104" s="4"/>
    </row>
    <row r="105" ht="17" customHeight="1">
      <c r="A105" s="4" t="str">
        <v>Расчётный момент</v>
      </c>
      <c r="B105" s="4"/>
      <c r="C105" s="4"/>
      <c r="D105" s="4"/>
      <c r="E105" s="4"/>
      <c r="F105" s="4"/>
      <c r="G105" s="4"/>
      <c r="H105" s="13" t="n">
        <f>MAX('Расчёт'!$H$103,ABS('Расчёт'!$H$104))</f>
        <v>396822.346368087</v>
      </c>
      <c r="I105" s="11"/>
      <c r="J105" s="11"/>
      <c r="K105" s="4" t="str">
        <v>kN·m</v>
      </c>
      <c r="L105" s="4"/>
    </row>
    <row r="106" ht="17" customHeight="1">
      <c r="A106" s="4" t="str">
        <v>Допускаемое напряжение</v>
      </c>
      <c r="B106" s="4"/>
      <c r="C106" s="4"/>
      <c r="D106" s="4"/>
      <c r="E106" s="4"/>
      <c r="F106" s="4"/>
      <c r="G106" s="4"/>
      <c r="H106" s="12" t="n">
        <f>175/'Расчёт'!$H$54</f>
        <v>175</v>
      </c>
      <c r="I106" s="11"/>
      <c r="J106" s="11"/>
      <c r="K106" s="4" t="str">
        <v>MPa</v>
      </c>
      <c r="L106" s="4"/>
    </row>
    <row r="107" ht="17" customHeight="1">
      <c r="A107" s="4" t="str">
        <v>W по напряжениям</v>
      </c>
      <c r="B107" s="4"/>
      <c r="C107" s="4"/>
      <c r="D107" s="4"/>
      <c r="E107" s="4"/>
      <c r="F107" s="4"/>
      <c r="G107" s="4"/>
      <c r="H107" s="14" t="n">
        <f>'Расчёт'!$H$105/'Расчёт'!$H$106*1000</f>
        <v>2267556.264960497</v>
      </c>
      <c r="I107" s="11"/>
      <c r="J107" s="11"/>
      <c r="K107" s="4" t="str">
        <v>cm³</v>
      </c>
      <c r="L107" s="4"/>
    </row>
    <row r="108" ht="17" customHeight="1">
      <c r="A108" s="4" t="str">
        <v>Минимальный W</v>
      </c>
      <c r="B108" s="4"/>
      <c r="C108" s="4"/>
      <c r="D108" s="4"/>
      <c r="E108" s="4"/>
      <c r="F108" s="4"/>
      <c r="G108" s="4"/>
      <c r="H108" s="14" t="n">
        <f>'Расчёт'!$H$63*'Расчёт'!$H$23*'Расчёт'!$H$22^2*('Расчёт'!$H$26+0.7)*'Расчёт'!$H$54</f>
        <v>2401261.3164040744</v>
      </c>
      <c r="I108" s="11"/>
      <c r="J108" s="11"/>
      <c r="K108" s="4" t="str">
        <v>cm³</v>
      </c>
      <c r="L108" s="4"/>
    </row>
    <row r="109" ht="17" customHeight="1">
      <c r="A109" s="4" t="str">
        <v>Требуемый W палубы и днища</v>
      </c>
      <c r="B109" s="4"/>
      <c r="C109" s="4"/>
      <c r="D109" s="4"/>
      <c r="E109" s="4"/>
      <c r="F109" s="4"/>
      <c r="G109" s="4"/>
      <c r="H109" s="14" t="n">
        <f>MAX('Расчёт'!$H$107,'Расчёт'!$H$108)</f>
        <v>2401261.3164040744</v>
      </c>
      <c r="I109" s="11"/>
      <c r="J109" s="11"/>
      <c r="K109" s="4" t="str">
        <v>cm³</v>
      </c>
      <c r="L109" s="4"/>
    </row>
    <row r="110" ht="17" customHeight="1">
      <c r="A110" s="4" t="str">
        <v>Минимальный I</v>
      </c>
      <c r="B110" s="4"/>
      <c r="C110" s="4"/>
      <c r="D110" s="4"/>
      <c r="E110" s="4"/>
      <c r="F110" s="4"/>
      <c r="G110" s="4"/>
      <c r="H110" s="14" t="n">
        <f>'Расчёт'!$H$63*'Расчёт'!$H$23*'Расчёт'!$H$22^3*('Расчёт'!$H$26+0.7)</f>
        <v>261737483.48804414</v>
      </c>
      <c r="I110" s="11"/>
      <c r="J110" s="11"/>
      <c r="K110" s="4" t="str">
        <v>cm⁴</v>
      </c>
      <c r="L110" s="4"/>
    </row>
    <row r="111" ht="25" customHeight="1">
      <c r="A111" s="7" t="str">
        <v>4. Толщины листов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</row>
    <row r="112" ht="29" customHeight="1">
      <c r="A112" s="10" t="str">
        <v>Элемент</v>
      </c>
      <c r="B112" s="10"/>
      <c r="C112" s="10"/>
      <c r="D112" s="10"/>
      <c r="E112" s="10" t="str">
        <v>a, м</v>
      </c>
      <c r="F112" s="10"/>
      <c r="G112" s="10" t="str">
        <v>b, м</v>
      </c>
      <c r="H112" s="10"/>
      <c r="I112" s="10" t="str">
        <v>p, кПа</v>
      </c>
      <c r="J112" s="10"/>
      <c r="K112" s="10" t="str">
        <v>kσ</v>
      </c>
      <c r="L112" s="10" t="str">
        <v>u, мм/год</v>
      </c>
    </row>
    <row r="113" ht="17" customHeight="1">
      <c r="A113" s="4" t="str">
        <v>K — Горизонтальный киль</v>
      </c>
      <c r="B113" s="4"/>
      <c r="C113" s="4"/>
      <c r="D113" s="4"/>
      <c r="E113" s="13" t="n">
        <f>'Расчёт'!$H$41</f>
        <v>0.7</v>
      </c>
      <c r="F113" s="11"/>
      <c r="G113" s="13" t="n">
        <f>'Расчёт'!$H$40</f>
        <v>2.25</v>
      </c>
      <c r="H113" s="11"/>
      <c r="I113" s="13" t="n">
        <f>'Расчёт'!$H$74</f>
        <v>80.16549122364907</v>
      </c>
      <c r="J113" s="11"/>
      <c r="K113" s="13" t="n">
        <v>0.6</v>
      </c>
      <c r="L113" s="13" t="n">
        <v>0.2</v>
      </c>
    </row>
    <row r="114" ht="17" customHeight="1">
      <c r="A114" s="4" t="str">
        <v>A — Днище A–D</v>
      </c>
      <c r="B114" s="4"/>
      <c r="C114" s="4"/>
      <c r="D114" s="4"/>
      <c r="E114" s="13" t="n">
        <f>'Расчёт'!$H$41</f>
        <v>0.7</v>
      </c>
      <c r="F114" s="11"/>
      <c r="G114" s="13" t="n">
        <f>'Расчёт'!$H$40</f>
        <v>2.25</v>
      </c>
      <c r="H114" s="11"/>
      <c r="I114" s="13" t="n">
        <f>'Расчёт'!$H$74</f>
        <v>80.16549122364907</v>
      </c>
      <c r="J114" s="11"/>
      <c r="K114" s="13" t="n">
        <v>0.6</v>
      </c>
      <c r="L114" s="13" t="n">
        <v>0.2</v>
      </c>
    </row>
    <row r="115" ht="17" customHeight="1">
      <c r="A115" s="4" t="str">
        <v>E — Обшивка борта E</v>
      </c>
      <c r="B115" s="4"/>
      <c r="C115" s="4"/>
      <c r="D115" s="4"/>
      <c r="E115" s="13" t="n">
        <f>'Расчёт'!$H$39</f>
        <v>0.75</v>
      </c>
      <c r="F115" s="11"/>
      <c r="G115" s="13" t="n">
        <f>'Расчёт'!$H$37</f>
        <v>4.5</v>
      </c>
      <c r="H115" s="11"/>
      <c r="I115" s="13" t="n">
        <f>'Расчёт'!$K$83</f>
        <v>67.02795974686062</v>
      </c>
      <c r="J115" s="11"/>
      <c r="K115" s="13" t="n">
        <v>0.6</v>
      </c>
      <c r="L115" s="13" t="n">
        <v>0.17</v>
      </c>
    </row>
    <row r="116" ht="17" customHeight="1">
      <c r="A116" s="4" t="str">
        <v>F — Обшивка борта F</v>
      </c>
      <c r="B116" s="4"/>
      <c r="C116" s="4"/>
      <c r="D116" s="4"/>
      <c r="E116" s="13" t="n">
        <f>'Расчёт'!$H$39</f>
        <v>0.75</v>
      </c>
      <c r="F116" s="11"/>
      <c r="G116" s="13" t="n">
        <f>'Расчёт'!$H$37</f>
        <v>4.5</v>
      </c>
      <c r="H116" s="11"/>
      <c r="I116" s="13" t="n">
        <f>'Расчёт'!$K$84</f>
        <v>50.60604540087505</v>
      </c>
      <c r="J116" s="11"/>
      <c r="K116" s="13" t="n">
        <v>0.6</v>
      </c>
      <c r="L116" s="13" t="n">
        <v>0.17</v>
      </c>
    </row>
    <row r="117" ht="17" customHeight="1">
      <c r="A117" s="4" t="str">
        <v>G — Обшивка борта G</v>
      </c>
      <c r="B117" s="4"/>
      <c r="C117" s="4"/>
      <c r="D117" s="4"/>
      <c r="E117" s="13" t="n">
        <f>'Расчёт'!$H$39</f>
        <v>0.75</v>
      </c>
      <c r="F117" s="11"/>
      <c r="G117" s="13" t="n">
        <f>'Расчёт'!$H$37</f>
        <v>4.5</v>
      </c>
      <c r="H117" s="11"/>
      <c r="I117" s="13" t="n">
        <f>'Расчёт'!$K$85</f>
        <v>34.18413105488949</v>
      </c>
      <c r="J117" s="11"/>
      <c r="K117" s="13" t="n">
        <v>0.6</v>
      </c>
      <c r="L117" s="13" t="n">
        <v>0.1</v>
      </c>
    </row>
    <row r="118" ht="17" customHeight="1">
      <c r="A118" s="4" t="str">
        <v>H — Обшивка борта H</v>
      </c>
      <c r="B118" s="4"/>
      <c r="C118" s="4"/>
      <c r="D118" s="4"/>
      <c r="E118" s="13" t="n">
        <f>'Расчёт'!$H$39</f>
        <v>0.75</v>
      </c>
      <c r="F118" s="11"/>
      <c r="G118" s="13" t="n">
        <f>'Расчёт'!$H$38</f>
        <v>3.6000000000000005</v>
      </c>
      <c r="H118" s="11"/>
      <c r="I118" s="13" t="n">
        <f>'Расчёт'!$K$86</f>
        <v>22.018094947298145</v>
      </c>
      <c r="J118" s="11"/>
      <c r="K118" s="13" t="n">
        <v>0.6</v>
      </c>
      <c r="L118" s="13" t="n">
        <v>0.1</v>
      </c>
    </row>
    <row r="119" ht="17" customHeight="1">
      <c r="A119" s="4" t="str">
        <v>IB — Настил второго дна</v>
      </c>
      <c r="B119" s="4"/>
      <c r="C119" s="4"/>
      <c r="D119" s="4"/>
      <c r="E119" s="13" t="n">
        <f>'Расчёт'!$H$41</f>
        <v>0.7</v>
      </c>
      <c r="F119" s="11"/>
      <c r="G119" s="13" t="n">
        <f>'Расчёт'!$H$40</f>
        <v>2.25</v>
      </c>
      <c r="H119" s="11"/>
      <c r="I119" s="13" t="n">
        <f>'Расчёт'!$H$76</f>
        <v>66.81713625</v>
      </c>
      <c r="J119" s="11"/>
      <c r="K119" s="13" t="n">
        <v>0.8</v>
      </c>
      <c r="L119" s="13" t="n">
        <v>0.15</v>
      </c>
    </row>
    <row r="120" ht="17" customHeight="1">
      <c r="A120" s="4" t="str">
        <v>IM — Крайний междудонный лист</v>
      </c>
      <c r="B120" s="4"/>
      <c r="C120" s="4"/>
      <c r="D120" s="4"/>
      <c r="E120" s="13" t="n">
        <f>'Расчёт'!$H$41</f>
        <v>0.7</v>
      </c>
      <c r="F120" s="11"/>
      <c r="G120" s="13" t="n">
        <f>'Расчёт'!$H$40</f>
        <v>2.25</v>
      </c>
      <c r="H120" s="11"/>
      <c r="I120" s="13" t="n">
        <f>'Расчёт'!$H$76</f>
        <v>66.81713625</v>
      </c>
      <c r="J120" s="11"/>
      <c r="K120" s="13" t="n">
        <v>0.8</v>
      </c>
      <c r="L120" s="13" t="n">
        <v>0.2</v>
      </c>
    </row>
    <row r="121" ht="17" customHeight="1">
      <c r="A121" s="4" t="str">
        <v>DK — Верхняя палуба</v>
      </c>
      <c r="B121" s="4"/>
      <c r="C121" s="4"/>
      <c r="D121" s="4"/>
      <c r="E121" s="13" t="n">
        <f>'Расчёт'!$H$42</f>
        <v>0.7000000000000001</v>
      </c>
      <c r="F121" s="11"/>
      <c r="G121" s="13" t="n">
        <f>'Расчёт'!$H$40</f>
        <v>2.25</v>
      </c>
      <c r="H121" s="11"/>
      <c r="I121" s="13" t="n">
        <f>'Расчёт'!$H$78</f>
        <v>13.527312713108701</v>
      </c>
      <c r="J121" s="11"/>
      <c r="K121" s="13" t="n">
        <v>0.6</v>
      </c>
      <c r="L121" s="13" t="n">
        <v>0.1</v>
      </c>
    </row>
    <row r="122" ht="17" customHeight="1">
      <c r="A122" s="4" t="str">
        <v>LD — Нижняя палуба</v>
      </c>
      <c r="B122" s="4"/>
      <c r="C122" s="4"/>
      <c r="D122" s="4"/>
      <c r="E122" s="13" t="n">
        <f>'Расчёт'!$H$39</f>
        <v>0.75</v>
      </c>
      <c r="F122" s="11"/>
      <c r="G122" s="13" t="n">
        <f>'Расчёт'!$H$44</f>
        <v>4.9</v>
      </c>
      <c r="H122" s="11"/>
      <c r="I122" s="13" t="n">
        <f>'Расчёт'!$H$77</f>
        <v>25.188147358688024</v>
      </c>
      <c r="J122" s="11"/>
      <c r="K122" s="13" t="n">
        <v>0.9</v>
      </c>
      <c r="L122" s="13" t="n">
        <v>0.11</v>
      </c>
    </row>
    <row r="123" ht="28" customHeight="1">
      <c r="A123" s="10" t="str">
        <v>Марка</v>
      </c>
      <c r="B123" s="10"/>
      <c r="C123" s="10" t="str">
        <v>k</v>
      </c>
      <c r="D123" s="10" t="str">
        <v>Δs, мм</v>
      </c>
      <c r="E123" s="10"/>
      <c r="F123" s="10" t="str">
        <v>s′, мм</v>
      </c>
      <c r="G123" s="10"/>
      <c r="H123" s="10" t="str">
        <v>smin, мм</v>
      </c>
      <c r="I123" s="10"/>
      <c r="J123" s="10" t="str">
        <v>sreq, мм</v>
      </c>
      <c r="K123" s="10"/>
      <c r="L123" s="10" t="str">
        <v>s, мм</v>
      </c>
    </row>
    <row r="124" ht="17" customHeight="1">
      <c r="A124" s="4" t="str">
        <v>K</v>
      </c>
      <c r="B124" s="4"/>
      <c r="C124" s="12" t="n">
        <f>MIN(1.2-0.5*'Расчёт'!$E$113/'Расчёт'!$G$113,1)</f>
        <v>1</v>
      </c>
      <c r="D124" s="13" t="n">
        <f>'Расчёт'!$L$113*('Расчёт'!$H$55-'Расчёт'!$H$56)</f>
        <v>2.6</v>
      </c>
      <c r="E124" s="11"/>
      <c r="F124" s="13" t="n">
        <f>15.8*'Расчёт'!$E$113*'Расчёт'!$C$124*SQRT('Расчёт'!$I$113/('Расчёт'!$K$113*'Расчёт'!$H$53))</f>
        <v>8.339486302463285</v>
      </c>
      <c r="G124" s="11"/>
      <c r="H124" s="13" t="n">
        <f>5.5+0.04*'Расчёт'!$H$22</f>
        <v>9.86</v>
      </c>
      <c r="I124" s="11"/>
      <c r="J124" s="13" t="n">
        <f>MAX('Расчёт'!$F$124+'Расчёт'!$D$124,'Расчёт'!$H$124)</f>
        <v>10.939486302463285</v>
      </c>
      <c r="K124" s="11"/>
      <c r="L124" s="12" t="n">
        <f>CEILING('Расчёт'!$J$124,1)+2</f>
        <v>13</v>
      </c>
    </row>
    <row r="125" ht="17" customHeight="1">
      <c r="A125" s="4" t="str">
        <v>A</v>
      </c>
      <c r="B125" s="4"/>
      <c r="C125" s="12" t="n">
        <f>MIN(1.2-0.5*'Расчёт'!$E$114/'Расчёт'!$G$114,1)</f>
        <v>1</v>
      </c>
      <c r="D125" s="13" t="n">
        <f>'Расчёт'!$L$114*('Расчёт'!$H$55-'Расчёт'!$H$56)</f>
        <v>2.6</v>
      </c>
      <c r="E125" s="11"/>
      <c r="F125" s="13" t="n">
        <f>15.8*'Расчёт'!$E$114*'Расчёт'!$C$125*SQRT('Расчёт'!$I$114/('Расчёт'!$K$114*'Расчёт'!$H$53))</f>
        <v>8.339486302463285</v>
      </c>
      <c r="G125" s="11"/>
      <c r="H125" s="13" t="n">
        <f>5.5+0.04*'Расчёт'!$H$22</f>
        <v>9.86</v>
      </c>
      <c r="I125" s="11"/>
      <c r="J125" s="13" t="n">
        <f>MAX('Расчёт'!$F$125+'Расчёт'!$D$125,'Расчёт'!$H$125)</f>
        <v>10.939486302463285</v>
      </c>
      <c r="K125" s="11"/>
      <c r="L125" s="12" t="n">
        <f>CEILING('Расчёт'!$J$125,1)+0</f>
        <v>11</v>
      </c>
    </row>
    <row r="126" ht="17" customHeight="1">
      <c r="A126" s="4" t="str">
        <v>E</v>
      </c>
      <c r="B126" s="4"/>
      <c r="C126" s="12" t="n">
        <f>MIN(1.2-0.5*'Расчёт'!$E$115/'Расчёт'!$G$115,1)</f>
        <v>1</v>
      </c>
      <c r="D126" s="13" t="n">
        <f>'Расчёт'!$L$115*('Расчёт'!$H$55-'Расчёт'!$H$56)</f>
        <v>2.21</v>
      </c>
      <c r="E126" s="11"/>
      <c r="F126" s="13" t="n">
        <f>15.8*'Расчёт'!$E$115*'Расчёт'!$C$126*SQRT('Расчёт'!$I$115/('Расчёт'!$K$115*'Расчёт'!$H$53))</f>
        <v>8.170277249717975</v>
      </c>
      <c r="G126" s="11"/>
      <c r="H126" s="13" t="n">
        <f>5.5+0.04*'Расчёт'!$H$22</f>
        <v>9.86</v>
      </c>
      <c r="I126" s="11"/>
      <c r="J126" s="13" t="n">
        <f>MAX('Расчёт'!$F$126+'Расчёт'!$D$126,'Расчёт'!$H$126)</f>
        <v>10.380277249717974</v>
      </c>
      <c r="K126" s="11"/>
      <c r="L126" s="12" t="n">
        <f>CEILING('Расчёт'!$J$126,1)+0</f>
        <v>11</v>
      </c>
    </row>
    <row r="127" ht="17" customHeight="1">
      <c r="A127" s="4" t="str">
        <v>F</v>
      </c>
      <c r="B127" s="4"/>
      <c r="C127" s="12" t="n">
        <f>MIN(1.2-0.5*'Расчёт'!$E$116/'Расчёт'!$G$116,1)</f>
        <v>1</v>
      </c>
      <c r="D127" s="13" t="n">
        <f>'Расчёт'!$L$116*('Расчёт'!$H$55-'Расчёт'!$H$56)</f>
        <v>2.21</v>
      </c>
      <c r="E127" s="11"/>
      <c r="F127" s="13" t="n">
        <f>15.8*'Расчёт'!$E$116*'Расчёт'!$C$127*SQRT('Расчёт'!$I$116/('Расчёт'!$K$116*'Расчёт'!$H$53))</f>
        <v>7.09920953061716</v>
      </c>
      <c r="G127" s="11"/>
      <c r="H127" s="13" t="n">
        <f>5.5+0.04*'Расчёт'!$H$22</f>
        <v>9.86</v>
      </c>
      <c r="I127" s="11"/>
      <c r="J127" s="13" t="n">
        <f>MAX('Расчёт'!$F$127+'Расчёт'!$D$127,'Расчёт'!$H$127)</f>
        <v>9.86</v>
      </c>
      <c r="K127" s="11"/>
      <c r="L127" s="12" t="n">
        <f>CEILING('Расчёт'!$J$127,1)+0</f>
        <v>10</v>
      </c>
    </row>
    <row r="128" ht="17" customHeight="1">
      <c r="A128" s="4" t="str">
        <v>G</v>
      </c>
      <c r="B128" s="4"/>
      <c r="C128" s="12" t="n">
        <f>MIN(1.2-0.5*'Расчёт'!$E$117/'Расчёт'!$G$117,1)</f>
        <v>1</v>
      </c>
      <c r="D128" s="13" t="n">
        <f>'Расчёт'!$L$117*('Расчёт'!$H$55-'Расчёт'!$H$56)</f>
        <v>1.3</v>
      </c>
      <c r="E128" s="11"/>
      <c r="F128" s="13" t="n">
        <f>15.8*'Расчёт'!$E$117*'Расчёт'!$C$128*SQRT('Расчёт'!$I$117/('Расчёт'!$K$117*'Расчёт'!$H$53))</f>
        <v>5.834734062658891</v>
      </c>
      <c r="G128" s="11"/>
      <c r="H128" s="13" t="n">
        <f>5.5+0.04*'Расчёт'!$H$22</f>
        <v>9.86</v>
      </c>
      <c r="I128" s="11"/>
      <c r="J128" s="13" t="n">
        <f>MAX('Расчёт'!$F$128+'Расчёт'!$D$128,'Расчёт'!$H$128)</f>
        <v>9.86</v>
      </c>
      <c r="K128" s="11"/>
      <c r="L128" s="12" t="n">
        <f>CEILING('Расчёт'!$J$128,1)+0</f>
        <v>10</v>
      </c>
    </row>
    <row r="129" ht="17" customHeight="1">
      <c r="A129" s="4" t="str">
        <v>H</v>
      </c>
      <c r="B129" s="4"/>
      <c r="C129" s="12" t="n">
        <f>MIN(1.2-0.5*'Расчёт'!$E$118/'Расчёт'!$G$118,1)</f>
        <v>1</v>
      </c>
      <c r="D129" s="13" t="n">
        <f>'Расчёт'!$L$118*('Расчёт'!$H$55-'Расчёт'!$H$56)</f>
        <v>1.3</v>
      </c>
      <c r="E129" s="11"/>
      <c r="F129" s="13" t="n">
        <f>15.8*'Расчёт'!$E$118*'Расчёт'!$C$129*SQRT('Расчёт'!$I$118/('Расчёт'!$K$118*'Расчёт'!$H$53))</f>
        <v>4.682725109595403</v>
      </c>
      <c r="G129" s="11"/>
      <c r="H129" s="13" t="n">
        <f>5.5+0.04*'Расчёт'!$H$22</f>
        <v>9.86</v>
      </c>
      <c r="I129" s="11"/>
      <c r="J129" s="13" t="n">
        <f>MAX('Расчёт'!$F$129+'Расчёт'!$D$129,'Расчёт'!$H$129)</f>
        <v>9.86</v>
      </c>
      <c r="K129" s="11"/>
      <c r="L129" s="12" t="n">
        <f>CEILING('Расчёт'!$J$129,1)+0</f>
        <v>10</v>
      </c>
    </row>
    <row r="130" ht="17" customHeight="1">
      <c r="A130" s="4" t="str">
        <v>IB</v>
      </c>
      <c r="B130" s="4"/>
      <c r="C130" s="12" t="n">
        <f>MIN(1.2-0.5*'Расчёт'!$E$119/'Расчёт'!$G$119,1)</f>
        <v>1</v>
      </c>
      <c r="D130" s="13" t="n">
        <f>'Расчёт'!$L$119*('Расчёт'!$H$55-'Расчёт'!$H$56)</f>
        <v>1.95</v>
      </c>
      <c r="E130" s="11"/>
      <c r="F130" s="13" t="n">
        <f>15.8*'Расчёт'!$E$119*'Расчёт'!$C$130*SQRT('Расчёт'!$I$119/('Расчёт'!$K$119*'Расчёт'!$H$53))</f>
        <v>6.593562563249202</v>
      </c>
      <c r="G130" s="11"/>
      <c r="H130" s="13" t="n">
        <f>5+0.035*'Расчёт'!$H$22</f>
        <v>8.815000000000001</v>
      </c>
      <c r="I130" s="11"/>
      <c r="J130" s="13" t="n">
        <f>MAX('Расчёт'!$F$130+'Расчёт'!$D$130,'Расчёт'!$H$130)</f>
        <v>8.815000000000001</v>
      </c>
      <c r="K130" s="11"/>
      <c r="L130" s="12" t="n">
        <f>CEILING('Расчёт'!$J$130,1)+0</f>
        <v>9</v>
      </c>
    </row>
    <row r="131" ht="17" customHeight="1">
      <c r="A131" s="4" t="str">
        <v>IM</v>
      </c>
      <c r="B131" s="4"/>
      <c r="C131" s="12" t="n">
        <f>MIN(1.2-0.5*'Расчёт'!$E$120/'Расчёт'!$G$120,1)</f>
        <v>1</v>
      </c>
      <c r="D131" s="13" t="n">
        <f>'Расчёт'!$L$120*('Расчёт'!$H$55-'Расчёт'!$H$56)</f>
        <v>2.6</v>
      </c>
      <c r="E131" s="11"/>
      <c r="F131" s="13" t="n">
        <f>15.8*'Расчёт'!$E$120*'Расчёт'!$C$131*SQRT('Расчёт'!$I$120/('Расчёт'!$K$120*'Расчёт'!$H$53))</f>
        <v>6.593562563249202</v>
      </c>
      <c r="G131" s="11"/>
      <c r="H131" s="13" t="n">
        <f>5+0.035*'Расчёт'!$H$22</f>
        <v>8.815000000000001</v>
      </c>
      <c r="I131" s="11"/>
      <c r="J131" s="13" t="n">
        <f>MAX('Расчёт'!$F$131+'Расчёт'!$D$131,'Расчёт'!$H$131)</f>
        <v>9.193562563249202</v>
      </c>
      <c r="K131" s="11"/>
      <c r="L131" s="12" t="n">
        <f>CEILING('Расчёт'!$J$131,1)+0</f>
        <v>10</v>
      </c>
    </row>
    <row r="132" ht="17" customHeight="1">
      <c r="A132" s="4" t="str">
        <v>DK</v>
      </c>
      <c r="B132" s="4"/>
      <c r="C132" s="12" t="n">
        <f>MIN(1.2-0.5*'Расчёт'!$E$121/'Расчёт'!$G$121,1)</f>
        <v>1</v>
      </c>
      <c r="D132" s="13" t="n">
        <f>'Расчёт'!$L$121*('Расчёт'!$H$55-'Расчёт'!$H$56)</f>
        <v>1.3</v>
      </c>
      <c r="E132" s="11"/>
      <c r="F132" s="13" t="n">
        <f>15.8*'Расчёт'!$E$121*'Расчёт'!$C$132*SQRT('Расчёт'!$I$121/('Расчёт'!$K$121*'Расчёт'!$H$53))</f>
        <v>3.425715838009455</v>
      </c>
      <c r="G132" s="11"/>
      <c r="H132" s="13" t="n">
        <f>4+0.05*'Расчёт'!$H$22</f>
        <v>9.45</v>
      </c>
      <c r="I132" s="11"/>
      <c r="J132" s="13" t="n">
        <f>MAX('Расчёт'!$F$132+'Расчёт'!$D$132,'Расчёт'!$H$132)</f>
        <v>9.45</v>
      </c>
      <c r="K132" s="11"/>
      <c r="L132" s="12" t="n">
        <f>MAX(CEILING('Расчёт'!$J$132,1),'Расчёт'!$H$57)</f>
        <v>19</v>
      </c>
    </row>
    <row r="133" ht="17" customHeight="1">
      <c r="A133" s="4" t="str">
        <v>LD</v>
      </c>
      <c r="B133" s="4"/>
      <c r="C133" s="12" t="n">
        <f>MIN(1.2-0.5*'Расчёт'!$E$122/'Расчёт'!$G$122,1)</f>
        <v>1</v>
      </c>
      <c r="D133" s="13" t="n">
        <f>'Расчёт'!$L$122*('Расчёт'!$H$55-'Расчёт'!$H$56)</f>
        <v>1.43</v>
      </c>
      <c r="E133" s="11"/>
      <c r="F133" s="13" t="n">
        <f>15.8*'Расчёт'!$E$122*'Расчёт'!$C$133*SQRT('Расчёт'!$I$122/('Расчёт'!$K$122*'Расчёт'!$H$53))</f>
        <v>4.089415861963922</v>
      </c>
      <c r="G133" s="11"/>
      <c r="H133" s="13" t="n">
        <f>4+0.04*'Расчёт'!$H$22</f>
        <v>8.36</v>
      </c>
      <c r="I133" s="11"/>
      <c r="J133" s="13" t="n">
        <f>MAX('Расчёт'!$F$133+'Расчёт'!$D$133,'Расчёт'!$H$133)</f>
        <v>8.36</v>
      </c>
      <c r="K133" s="11"/>
      <c r="L133" s="12" t="n">
        <f>CEILING('Расчёт'!$J$133,1)+0</f>
        <v>9</v>
      </c>
    </row>
    <row r="134" ht="25" customHeight="1">
      <c r="A134" s="7" t="str">
        <v>5. Днище и второе дно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</row>
    <row r="135" ht="17" customHeight="1">
      <c r="A135" s="4" t="str">
        <v>BL — Продольная балка днища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ht="17" customHeight="1">
      <c r="A136" s="4" t="str">
        <v>IL — Продольная балка второго дна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ht="28" customHeight="1">
      <c r="A137" s="10" t="str">
        <v>Марка</v>
      </c>
      <c r="B137" s="10"/>
      <c r="C137" s="10" t="str">
        <v>a, м</v>
      </c>
      <c r="D137" s="10"/>
      <c r="E137" s="10" t="str">
        <v>l, м</v>
      </c>
      <c r="F137" s="10"/>
      <c r="G137" s="10" t="str">
        <v>p, кПа</v>
      </c>
      <c r="H137" s="10"/>
      <c r="I137" s="10" t="str">
        <v>kσ</v>
      </c>
      <c r="J137" s="10" t="str">
        <v>m</v>
      </c>
      <c r="K137" s="10" t="str">
        <v>u, мм/год</v>
      </c>
      <c r="L137" s="10"/>
    </row>
    <row r="138" ht="17" customHeight="1">
      <c r="A138" s="4" t="str">
        <v>BL</v>
      </c>
      <c r="B138" s="4"/>
      <c r="C138" s="13" t="n">
        <f>'Расчёт'!$H$41</f>
        <v>0.7</v>
      </c>
      <c r="D138" s="11"/>
      <c r="E138" s="13" t="n">
        <f>'Расчёт'!$H$40</f>
        <v>2.25</v>
      </c>
      <c r="F138" s="11"/>
      <c r="G138" s="13" t="n">
        <f>'Расчёт'!$H$74</f>
        <v>80.16549122364907</v>
      </c>
      <c r="H138" s="11"/>
      <c r="I138" s="13" t="n">
        <v>0.5</v>
      </c>
      <c r="J138" s="12" t="n">
        <v>12</v>
      </c>
      <c r="K138" s="13" t="n">
        <v>0.2</v>
      </c>
      <c r="L138" s="11"/>
    </row>
    <row r="139" ht="17" customHeight="1">
      <c r="A139" s="4" t="str">
        <v>IL</v>
      </c>
      <c r="B139" s="4"/>
      <c r="C139" s="13" t="n">
        <f>'Расчёт'!$H$41</f>
        <v>0.7</v>
      </c>
      <c r="D139" s="11"/>
      <c r="E139" s="13" t="n">
        <f>'Расчёт'!$H$40</f>
        <v>2.25</v>
      </c>
      <c r="F139" s="11"/>
      <c r="G139" s="13" t="n">
        <f>'Расчёт'!$H$76</f>
        <v>66.81713625</v>
      </c>
      <c r="H139" s="11"/>
      <c r="I139" s="13" t="n">
        <v>0.66</v>
      </c>
      <c r="J139" s="12" t="n">
        <v>12</v>
      </c>
      <c r="K139" s="13" t="n">
        <v>0.2</v>
      </c>
      <c r="L139" s="11"/>
    </row>
    <row r="140" ht="28" customHeight="1">
      <c r="A140" s="10" t="str">
        <v>Марка</v>
      </c>
      <c r="B140" s="10"/>
      <c r="C140" s="10" t="str">
        <v>W′, см³</v>
      </c>
      <c r="D140" s="10"/>
      <c r="E140" s="10" t="str">
        <v>αк</v>
      </c>
      <c r="F140" s="10"/>
      <c r="G140" s="10" t="str">
        <v>Wreq, см³</v>
      </c>
      <c r="H140" s="10"/>
      <c r="I140" s="10" t="str">
        <v>bп, см</v>
      </c>
      <c r="J140" s="10" t="str">
        <v>sп, см</v>
      </c>
      <c r="K140" s="10" t="str">
        <v>smin, мм</v>
      </c>
      <c r="L140" s="10"/>
    </row>
    <row r="141" ht="17" customHeight="1">
      <c r="A141" s="4" t="str">
        <v>BL</v>
      </c>
      <c r="B141" s="4"/>
      <c r="C141" s="13" t="n">
        <f>1000*'Расчёт'!$G$138*'Расчёт'!$C$138*'Расчёт'!$E$138^2/('Расчёт'!$J$138*'Расчёт'!$I$138*'Расчёт'!$H$53)</f>
        <v>201.47975852752222</v>
      </c>
      <c r="D141" s="11"/>
      <c r="E141" s="13" t="n">
        <f>IF('Расчёт'!$C$141&lt;200,MIN(0.07+6/'Расчёт'!$C$141,0.25),(0.01+1/'Расчёт'!$C$141)/0.15)</f>
        <v>0.09975518491479629</v>
      </c>
      <c r="F141" s="11"/>
      <c r="G141" s="13" t="n">
        <f>'Расчёт'!$C$141*(1+'Расчёт'!$E$141*'Расчёт'!$K$138*('Расчёт'!$H$55-'Расчёт'!$H$56))</f>
        <v>253.7362500056261</v>
      </c>
      <c r="H141" s="11"/>
      <c r="I141" s="13" t="n">
        <f>MIN('Расчёт'!$E$138/6,'Расчёт'!$C$138)*100</f>
        <v>37.5</v>
      </c>
      <c r="J141" s="13" t="n">
        <f>'Расчёт'!$L$125/10</f>
        <v>1.1</v>
      </c>
      <c r="K141" s="13" t="n">
        <f>5.5+0.025*'Расчёт'!$H$22</f>
        <v>8.225</v>
      </c>
      <c r="L141" s="11"/>
    </row>
    <row r="142" ht="17" customHeight="1">
      <c r="A142" s="4" t="str">
        <v>IL</v>
      </c>
      <c r="B142" s="4"/>
      <c r="C142" s="13" t="n">
        <f>1000*'Расчёт'!$G$139*'Расчёт'!$C$139*'Расчёт'!$E$139^2/('Расчёт'!$J$139*'Расчёт'!$I$139*'Расчёт'!$H$53)</f>
        <v>127.22073210076161</v>
      </c>
      <c r="D142" s="11"/>
      <c r="E142" s="13" t="n">
        <f>IF('Расчёт'!$C$142&lt;200,MIN(0.07+6/'Расчёт'!$C$142,0.25),(0.01+1/'Расчёт'!$C$142)/0.15)</f>
        <v>0.11716212445034406</v>
      </c>
      <c r="F142" s="11"/>
      <c r="G142" s="13" t="n">
        <f>'Расчёт'!$C$142*(1+'Расчёт'!$E$142*'Расчёт'!$K$139*('Расчёт'!$H$55-'Расчёт'!$H$56))</f>
        <v>165.97490534310023</v>
      </c>
      <c r="H142" s="11"/>
      <c r="I142" s="13" t="n">
        <f>MIN('Расчёт'!$E$139/6,'Расчёт'!$C$139)*100</f>
        <v>37.5</v>
      </c>
      <c r="J142" s="13" t="n">
        <f>'Расчёт'!$L$130/10</f>
        <v>0.9</v>
      </c>
      <c r="K142" s="13" t="n">
        <f>5.5+0.025*'Расчёт'!$H$22</f>
        <v>8.225</v>
      </c>
      <c r="L142" s="11"/>
    </row>
    <row r="143" ht="28" customHeight="1">
      <c r="A143" s="10" t="str">
        <v>Марка</v>
      </c>
      <c r="B143" s="10"/>
      <c r="C143" s="10" t="str">
        <v>Профиль</v>
      </c>
      <c r="D143" s="10"/>
      <c r="E143" s="10" t="str">
        <v>h, мм</v>
      </c>
      <c r="F143" s="10"/>
      <c r="G143" s="10" t="str">
        <v>s, мм</v>
      </c>
      <c r="H143" s="10"/>
      <c r="I143" s="10" t="str">
        <v>A, см²</v>
      </c>
      <c r="J143" s="10" t="str">
        <v>y₀, см</v>
      </c>
      <c r="K143" s="10" t="str">
        <v>I₀, см⁴</v>
      </c>
      <c r="L143" s="10"/>
    </row>
    <row r="144" ht="17" customHeight="1">
      <c r="A144" s="4" t="str">
        <v>BL</v>
      </c>
      <c r="B144" s="4"/>
      <c r="C144" s="4" t="str">
        <v>HP 220x10</v>
      </c>
      <c r="D144" s="4"/>
      <c r="E144" s="12" t="n">
        <f>'Сортамент HP'!$D$20</f>
        <v>220</v>
      </c>
      <c r="F144" s="11"/>
      <c r="G144" s="12" t="n">
        <f>'Сортамент HP'!$E$20</f>
        <v>10</v>
      </c>
      <c r="H144" s="11"/>
      <c r="I144" s="12" t="n">
        <f>'Сортамент HP'!$G$20</f>
        <v>29</v>
      </c>
      <c r="J144" s="13" t="n">
        <f>'Сортамент HP'!$I$20</f>
        <v>13.4</v>
      </c>
      <c r="K144" s="12" t="n">
        <f>'Сортамент HP'!$K$20</f>
        <v>1400</v>
      </c>
      <c r="L144" s="11"/>
    </row>
    <row r="145" ht="17" customHeight="1">
      <c r="A145" s="4" t="str">
        <v>IL</v>
      </c>
      <c r="B145" s="4"/>
      <c r="C145" s="4" t="str">
        <v>HP 180x10</v>
      </c>
      <c r="D145" s="4"/>
      <c r="E145" s="12" t="n">
        <f>'Сортамент HP'!$D$16</f>
        <v>180</v>
      </c>
      <c r="F145" s="11"/>
      <c r="G145" s="12" t="n">
        <f>'Сортамент HP'!$E$16</f>
        <v>10</v>
      </c>
      <c r="H145" s="11"/>
      <c r="I145" s="13" t="n">
        <f>'Сортамент HP'!$G$16</f>
        <v>22.5</v>
      </c>
      <c r="J145" s="13" t="n">
        <f>'Сортамент HP'!$I$16</f>
        <v>10.6</v>
      </c>
      <c r="K145" s="12" t="n">
        <f>'Сортамент HP'!$K$16</f>
        <v>717</v>
      </c>
      <c r="L145" s="11"/>
    </row>
    <row r="146" ht="28" customHeight="1">
      <c r="A146" s="10" t="str">
        <v>Марка</v>
      </c>
      <c r="B146" s="10"/>
      <c r="C146" s="10" t="str">
        <v>Aп, см²</v>
      </c>
      <c r="D146" s="10"/>
      <c r="E146" s="10" t="str">
        <v>e, см</v>
      </c>
      <c r="F146" s="10"/>
      <c r="G146" s="10" t="str">
        <v>IΣ, см⁴</v>
      </c>
      <c r="H146" s="10"/>
      <c r="I146" s="10" t="str">
        <v>Wmin, см³</v>
      </c>
      <c r="J146" s="10"/>
      <c r="K146" s="10" t="str">
        <v>W/Wreq</v>
      </c>
      <c r="L146" s="10"/>
    </row>
    <row r="147" ht="17" customHeight="1">
      <c r="A147" s="4" t="str">
        <v>BL</v>
      </c>
      <c r="B147" s="4"/>
      <c r="C147" s="13" t="n">
        <f>'Расчёт'!$I$141*'Расчёт'!$J$141</f>
        <v>41.25</v>
      </c>
      <c r="D147" s="11"/>
      <c r="E147" s="13" t="n">
        <f>'Расчёт'!$I$144*('Расчёт'!$J$144+'Расчёт'!$J$141/2)/('Расчёт'!$I$144+'Расчёт'!$C$147)</f>
        <v>5.758718861209965</v>
      </c>
      <c r="F147" s="11"/>
      <c r="G147" s="13" t="n">
        <f>'Расчёт'!$K$144+'Расчёт'!$I$141*'Расчёт'!$J$141^3/12+'Расчёт'!$I$144*('Расчёт'!$J$144+'Расчёт'!$J$141/2)^2-('Расчёт'!$I$144+'Расчёт'!$C$147)*'Расчёт'!$E$147^2</f>
        <v>4717.94215969751</v>
      </c>
      <c r="H147" s="11"/>
      <c r="I147" s="13" t="n">
        <f>MIN('Расчёт'!$G$147/('Расчёт'!$E$144/10+'Расчёт'!$J$141/2-'Расчёт'!$E$147),'Расчёт'!$G$147/('Расчёт'!$E$147+'Расчёт'!$J$141/2))</f>
        <v>280.9757111861138</v>
      </c>
      <c r="J147" s="11"/>
      <c r="K147" s="13" t="n">
        <f>'Расчёт'!$I$147/'Расчёт'!$G$141</f>
        <v>1.1073534474474331</v>
      </c>
      <c r="L147" s="11"/>
    </row>
    <row r="148" ht="17" customHeight="1">
      <c r="A148" s="4" t="str">
        <v>IL</v>
      </c>
      <c r="B148" s="4"/>
      <c r="C148" s="13" t="n">
        <f>'Расчёт'!$I$142*'Расчёт'!$J$142</f>
        <v>33.75</v>
      </c>
      <c r="D148" s="11"/>
      <c r="E148" s="13" t="n">
        <f>'Расчёт'!$I$145*('Расчёт'!$J$145+'Расчёт'!$J$142/2)/('Расчёт'!$I$145+'Расчёт'!$C$148)</f>
        <v>4.42</v>
      </c>
      <c r="F148" s="11"/>
      <c r="G148" s="13" t="n">
        <f>'Расчёт'!$K$145+'Расчёт'!$I$142*'Расчёт'!$J$142^3/12+'Расчёт'!$I$145*('Расчёт'!$J$145+'Расчёт'!$J$142/2)^2-('Расчёт'!$I$145+'Расчёт'!$C$148)*'Расчёт'!$E$148^2</f>
        <v>2367.6618749999993</v>
      </c>
      <c r="H148" s="11"/>
      <c r="I148" s="13" t="n">
        <f>MIN('Расчёт'!$G$148/('Расчёт'!$E$145/10+'Расчёт'!$J$142/2-'Расчёт'!$E$148),'Расчёт'!$G$148/('Расчёт'!$E$148+'Расчёт'!$J$142/2))</f>
        <v>168.75708303635065</v>
      </c>
      <c r="J148" s="11"/>
      <c r="K148" s="13" t="n">
        <f>'Расчёт'!$I$148/'Расчёт'!$G$142</f>
        <v>1.0167626406383492</v>
      </c>
      <c r="L148" s="11"/>
    </row>
    <row r="149" ht="25" customHeight="1">
      <c r="A149" s="7" t="str">
        <v>Флоры, вертикальный киль и стрингеры</v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</row>
    <row r="150" ht="28" customHeight="1">
      <c r="A150" s="10" t="str">
        <v>Параметр</v>
      </c>
      <c r="B150" s="10"/>
      <c r="C150" s="10"/>
      <c r="D150" s="10"/>
      <c r="E150" s="10"/>
      <c r="F150" s="10"/>
      <c r="G150" s="10"/>
      <c r="H150" s="10" t="str">
        <v>Значение</v>
      </c>
      <c r="I150" s="10"/>
      <c r="J150" s="10"/>
      <c r="K150" s="10" t="str">
        <v>Ед.</v>
      </c>
      <c r="L150" s="10"/>
    </row>
    <row r="151" ht="17" customHeight="1">
      <c r="A151" s="4" t="str">
        <v>Коэффициент флора α</v>
      </c>
      <c r="B151" s="4"/>
      <c r="C151" s="4"/>
      <c r="D151" s="4"/>
      <c r="E151" s="4"/>
      <c r="F151" s="4"/>
      <c r="G151" s="4"/>
      <c r="H151" s="13" t="n">
        <f>0.023*'Расчёт'!$H$22+5.8</f>
        <v>8.307</v>
      </c>
      <c r="I151" s="11"/>
      <c r="J151" s="11"/>
      <c r="K151" s="4"/>
      <c r="L151" s="4"/>
    </row>
    <row r="152" ht="17" customHeight="1">
      <c r="A152" s="4" t="str">
        <v>Коэффициент k1</v>
      </c>
      <c r="B152" s="4"/>
      <c r="C152" s="4"/>
      <c r="D152" s="4"/>
      <c r="E152" s="4"/>
      <c r="F152" s="4"/>
      <c r="G152" s="4"/>
      <c r="H152" s="13" t="n">
        <v>1.45</v>
      </c>
      <c r="I152" s="11"/>
      <c r="J152" s="11"/>
      <c r="K152" s="4"/>
      <c r="L152" s="4"/>
    </row>
    <row r="153" ht="17" customHeight="1">
      <c r="A153" s="4" t="str">
        <v>Коэффициент k2</v>
      </c>
      <c r="B153" s="4"/>
      <c r="C153" s="4"/>
      <c r="D153" s="4"/>
      <c r="E153" s="4"/>
      <c r="F153" s="4"/>
      <c r="G153" s="4"/>
      <c r="H153" s="13" t="n">
        <v>0.93</v>
      </c>
      <c r="I153" s="11"/>
      <c r="J153" s="11"/>
      <c r="K153" s="4"/>
      <c r="L153" s="4"/>
    </row>
    <row r="154" ht="17" customHeight="1">
      <c r="A154" s="4" t="str">
        <v>Расчётная толщина флора</v>
      </c>
      <c r="B154" s="4"/>
      <c r="C154" s="4"/>
      <c r="D154" s="4"/>
      <c r="E154" s="4"/>
      <c r="F154" s="4"/>
      <c r="G154" s="4"/>
      <c r="H154" s="13" t="n">
        <f>'Расчёт'!$H$151*'Расчёт'!$H$152*'Расчёт'!$H$153*'Расчёт'!$H$41*SQRT('Расчёт'!$H$54)+0.2*('Расчёт'!$H$55-'Расчёт'!$H$56)</f>
        <v>10.44139265</v>
      </c>
      <c r="I154" s="11"/>
      <c r="J154" s="11"/>
      <c r="K154" s="4" t="str">
        <v>mm</v>
      </c>
      <c r="L154" s="4"/>
    </row>
    <row r="155" ht="17" customHeight="1">
      <c r="A155" s="4" t="str">
        <v>Принятая толщина флора</v>
      </c>
      <c r="B155" s="4"/>
      <c r="C155" s="4"/>
      <c r="D155" s="4"/>
      <c r="E155" s="4"/>
      <c r="F155" s="4"/>
      <c r="G155" s="4"/>
      <c r="H155" s="12" t="n">
        <f>CEILING('Расчёт'!$H$154,1)</f>
        <v>11</v>
      </c>
      <c r="I155" s="11"/>
      <c r="J155" s="11"/>
      <c r="K155" s="4" t="str">
        <v>mm</v>
      </c>
      <c r="L155" s="4"/>
    </row>
    <row r="156" ht="17" customHeight="1">
      <c r="A156" s="4" t="str">
        <v>Коэффициент киля α</v>
      </c>
      <c r="B156" s="4"/>
      <c r="C156" s="4"/>
      <c r="D156" s="4"/>
      <c r="E156" s="4"/>
      <c r="F156" s="4"/>
      <c r="G156" s="4"/>
      <c r="H156" s="13" t="n">
        <f>MIN(0.03*'Расчёт'!$H$22+8.3,11.2)</f>
        <v>11.2</v>
      </c>
      <c r="I156" s="11"/>
      <c r="J156" s="11"/>
      <c r="K156" s="4"/>
      <c r="L156" s="4"/>
    </row>
    <row r="157" ht="17" customHeight="1">
      <c r="A157" s="4" t="str">
        <v>Расчётная толщина вертикального киля</v>
      </c>
      <c r="B157" s="4"/>
      <c r="C157" s="4"/>
      <c r="D157" s="4"/>
      <c r="E157" s="4"/>
      <c r="F157" s="4"/>
      <c r="G157" s="4"/>
      <c r="H157" s="13" t="n">
        <f>'Расчёт'!$H$156*'Расчёт'!$H$31^2/'Расчёт'!$H$32*SQRT('Расчёт'!$H$54)+0.2*('Расчёт'!$H$55-'Расчёт'!$H$56)</f>
        <v>12.917482932626978</v>
      </c>
      <c r="I157" s="11"/>
      <c r="J157" s="11"/>
      <c r="K157" s="4" t="str">
        <v>mm</v>
      </c>
      <c r="L157" s="4"/>
    </row>
    <row r="158" ht="17" customHeight="1">
      <c r="A158" s="4" t="str">
        <v>Принятая толщина вертикального киля</v>
      </c>
      <c r="B158" s="4"/>
      <c r="C158" s="4"/>
      <c r="D158" s="4"/>
      <c r="E158" s="4"/>
      <c r="F158" s="4"/>
      <c r="G158" s="4"/>
      <c r="H158" s="12" t="n">
        <f>MAX(CEILING('Расчёт'!$H$157,1),'Расчёт'!$H$155+1)</f>
        <v>13</v>
      </c>
      <c r="I158" s="11"/>
      <c r="J158" s="11"/>
      <c r="K158" s="4" t="str">
        <v>mm</v>
      </c>
      <c r="L158" s="4"/>
    </row>
    <row r="159" ht="17" customHeight="1">
      <c r="A159" s="4" t="str">
        <v>Толщина днищевых стрингеров</v>
      </c>
      <c r="B159" s="4"/>
      <c r="C159" s="4"/>
      <c r="D159" s="4"/>
      <c r="E159" s="4"/>
      <c r="F159" s="4"/>
      <c r="G159" s="4"/>
      <c r="H159" s="12" t="n">
        <f>'Расчёт'!$H$158</f>
        <v>13</v>
      </c>
      <c r="I159" s="11"/>
      <c r="J159" s="11"/>
      <c r="K159" s="4" t="str">
        <v>mm</v>
      </c>
      <c r="L159" s="4"/>
    </row>
    <row r="160" ht="17" customHeight="1">
      <c r="A160" s="4" t="str">
        <v>Отстояние стрингеров от ДП</v>
      </c>
      <c r="B160" s="4"/>
      <c r="C160" s="4"/>
      <c r="D160" s="4"/>
      <c r="E160" s="4"/>
      <c r="F160" s="4"/>
      <c r="G160" s="4"/>
      <c r="H160" s="12" t="n">
        <v>4</v>
      </c>
      <c r="I160" s="11"/>
      <c r="J160" s="11"/>
      <c r="K160" s="4" t="str">
        <v>m</v>
      </c>
      <c r="L160" s="4"/>
    </row>
    <row r="161" ht="17" customHeight="1">
      <c r="A161" s="4" t="str">
        <v>Ширина прохода во флоре</v>
      </c>
      <c r="B161" s="4"/>
      <c r="C161" s="4"/>
      <c r="D161" s="4"/>
      <c r="E161" s="4"/>
      <c r="F161" s="4"/>
      <c r="G161" s="4"/>
      <c r="H161" s="12" t="n">
        <v>600</v>
      </c>
      <c r="I161" s="11"/>
      <c r="J161" s="11"/>
      <c r="K161" s="4" t="str">
        <v>mm</v>
      </c>
      <c r="L161" s="4"/>
    </row>
    <row r="162" ht="17" customHeight="1">
      <c r="A162" s="4" t="str">
        <v>Высота прохода во флоре</v>
      </c>
      <c r="B162" s="4"/>
      <c r="C162" s="4"/>
      <c r="D162" s="4"/>
      <c r="E162" s="4"/>
      <c r="F162" s="4"/>
      <c r="G162" s="4"/>
      <c r="H162" s="12" t="n">
        <v>800</v>
      </c>
      <c r="I162" s="11"/>
      <c r="J162" s="11"/>
      <c r="K162" s="4" t="str">
        <v>mm</v>
      </c>
      <c r="L162" s="4"/>
    </row>
    <row r="163" ht="17" customHeight="1">
      <c r="A163" s="4" t="str">
        <v>Нижняя кромка прохода над днищем</v>
      </c>
      <c r="B163" s="4"/>
      <c r="C163" s="4"/>
      <c r="D163" s="4"/>
      <c r="E163" s="4"/>
      <c r="F163" s="4"/>
      <c r="G163" s="4"/>
      <c r="H163" s="12" t="n">
        <v>200</v>
      </c>
      <c r="I163" s="11"/>
      <c r="J163" s="11"/>
      <c r="K163" s="4" t="str">
        <v>mm</v>
      </c>
      <c r="L163" s="4"/>
    </row>
    <row r="164" ht="25" customHeight="1">
      <c r="A164" s="7" t="str">
        <v>6. Борт, палубы и рамные связи</v>
      </c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</row>
    <row r="165" ht="17" customHeight="1">
      <c r="A165" s="4" t="str">
        <v>DL — Продольная балка верхней палубы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ht="17" customHeight="1">
      <c r="A166" s="4" t="str">
        <v>FH — Шпангоут в трюме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ht="17" customHeight="1">
      <c r="A167" s="4" t="str">
        <v>FT — Шпангоут в твиндеке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ht="17" customHeight="1">
      <c r="A168" s="4" t="str">
        <v>LB — Бимс нижней палубы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ht="28" customHeight="1">
      <c r="A169" s="10" t="str">
        <v>Марка</v>
      </c>
      <c r="B169" s="10"/>
      <c r="C169" s="10" t="str">
        <v>a, м</v>
      </c>
      <c r="D169" s="10"/>
      <c r="E169" s="10" t="str">
        <v>l, м</v>
      </c>
      <c r="F169" s="10"/>
      <c r="G169" s="10" t="str">
        <v>p, кПа</v>
      </c>
      <c r="H169" s="10"/>
      <c r="I169" s="10" t="str">
        <v>kσ</v>
      </c>
      <c r="J169" s="10" t="str">
        <v>m</v>
      </c>
      <c r="K169" s="10" t="str">
        <v>u, мм/год</v>
      </c>
      <c r="L169" s="10"/>
    </row>
    <row r="170" ht="17" customHeight="1">
      <c r="A170" s="4" t="str">
        <v>DL</v>
      </c>
      <c r="B170" s="4"/>
      <c r="C170" s="13" t="n">
        <f>'Расчёт'!$H$42</f>
        <v>0.7000000000000001</v>
      </c>
      <c r="D170" s="11"/>
      <c r="E170" s="13" t="n">
        <f>'Расчёт'!$H$40</f>
        <v>2.25</v>
      </c>
      <c r="F170" s="11"/>
      <c r="G170" s="13" t="n">
        <f>'Расчёт'!$H$78</f>
        <v>13.527312713108701</v>
      </c>
      <c r="H170" s="11"/>
      <c r="I170" s="13" t="n">
        <v>0.45</v>
      </c>
      <c r="J170" s="12" t="n">
        <v>12</v>
      </c>
      <c r="K170" s="13" t="n">
        <v>0.1</v>
      </c>
      <c r="L170" s="11"/>
    </row>
    <row r="171" ht="17" customHeight="1">
      <c r="A171" s="4" t="str">
        <v>FH</v>
      </c>
      <c r="B171" s="4"/>
      <c r="C171" s="13" t="n">
        <f>'Расчёт'!$H$39</f>
        <v>0.75</v>
      </c>
      <c r="D171" s="11"/>
      <c r="E171" s="13" t="n">
        <f>'Расчёт'!$H$37</f>
        <v>4.5</v>
      </c>
      <c r="F171" s="11"/>
      <c r="G171" s="13" t="n">
        <f>'Расчёт'!$H$79</f>
        <v>59.849999999999994</v>
      </c>
      <c r="H171" s="11"/>
      <c r="I171" s="13" t="n">
        <v>0.65</v>
      </c>
      <c r="J171" s="12" t="n">
        <v>18</v>
      </c>
      <c r="K171" s="13" t="n">
        <v>0.1</v>
      </c>
      <c r="L171" s="11"/>
    </row>
    <row r="172" ht="17" customHeight="1">
      <c r="A172" s="4" t="str">
        <v>FT</v>
      </c>
      <c r="B172" s="4"/>
      <c r="C172" s="13" t="n">
        <f>'Расчёт'!$H$39</f>
        <v>0.75</v>
      </c>
      <c r="D172" s="11"/>
      <c r="E172" s="13" t="n">
        <f>'Расчёт'!$H$38</f>
        <v>3.6000000000000005</v>
      </c>
      <c r="F172" s="11"/>
      <c r="G172" s="13" t="n">
        <f>'Расчёт'!$K$89</f>
        <v>22.929232447298148</v>
      </c>
      <c r="H172" s="11"/>
      <c r="I172" s="13" t="n">
        <v>0.65</v>
      </c>
      <c r="J172" s="12" t="n">
        <v>10</v>
      </c>
      <c r="K172" s="13" t="n">
        <v>0.1</v>
      </c>
      <c r="L172" s="11"/>
    </row>
    <row r="173" ht="17" customHeight="1">
      <c r="A173" s="4" t="str">
        <v>LB</v>
      </c>
      <c r="B173" s="4"/>
      <c r="C173" s="13" t="n">
        <f>'Расчёт'!$H$39</f>
        <v>0.75</v>
      </c>
      <c r="D173" s="11"/>
      <c r="E173" s="13" t="n">
        <f>'Расчёт'!$H$44</f>
        <v>4.9</v>
      </c>
      <c r="F173" s="11"/>
      <c r="G173" s="13" t="n">
        <f>'Расчёт'!$H$77</f>
        <v>25.188147358688024</v>
      </c>
      <c r="H173" s="11"/>
      <c r="I173" s="13" t="n">
        <v>0.65</v>
      </c>
      <c r="J173" s="12" t="n">
        <v>10</v>
      </c>
      <c r="K173" s="13" t="n">
        <v>0.11</v>
      </c>
      <c r="L173" s="11"/>
    </row>
    <row r="174" ht="28" customHeight="1">
      <c r="A174" s="10" t="str">
        <v>Марка</v>
      </c>
      <c r="B174" s="10"/>
      <c r="C174" s="10" t="str">
        <v>W′, см³</v>
      </c>
      <c r="D174" s="10"/>
      <c r="E174" s="10" t="str">
        <v>αк</v>
      </c>
      <c r="F174" s="10"/>
      <c r="G174" s="10" t="str">
        <v>Wreq, см³</v>
      </c>
      <c r="H174" s="10"/>
      <c r="I174" s="10" t="str">
        <v>bп, см</v>
      </c>
      <c r="J174" s="10" t="str">
        <v>sп, см</v>
      </c>
      <c r="K174" s="10" t="str">
        <v>smin, мм</v>
      </c>
      <c r="L174" s="10"/>
    </row>
    <row r="175" ht="17" customHeight="1">
      <c r="A175" s="4" t="str">
        <v>DL</v>
      </c>
      <c r="B175" s="4"/>
      <c r="C175" s="13" t="n">
        <f>1000*'Расчёт'!$G$170*'Расчёт'!$C$170*'Расчёт'!$E$170^2/('Расчёт'!$J$170*'Расчёт'!$I$170*'Расчёт'!$H$53)</f>
        <v>37.775740289266324</v>
      </c>
      <c r="D175" s="11"/>
      <c r="E175" s="13" t="n">
        <f>IF('Расчёт'!$C$175&lt;200,MIN(0.07+6/'Расчёт'!$C$175,0.25),(0.01+1/'Расчёт'!$C$175)/0.15)</f>
        <v>0.22883209578568742</v>
      </c>
      <c r="F175" s="11"/>
      <c r="G175" s="13" t="n">
        <f>'Расчёт'!$C$175*(1+'Расчёт'!$E$175*'Расчёт'!$K$170*('Расчёт'!$H$55-'Расчёт'!$H$56))</f>
        <v>49.01333265558956</v>
      </c>
      <c r="H175" s="11"/>
      <c r="I175" s="13" t="n">
        <f>MIN('Расчёт'!$E$170/6,'Расчёт'!$C$170)*100</f>
        <v>37.5</v>
      </c>
      <c r="J175" s="13" t="n">
        <f>'Расчёт'!$L$132/10</f>
        <v>1.9</v>
      </c>
      <c r="K175" s="12" t="n">
        <f>0</f>
        <v>0</v>
      </c>
      <c r="L175" s="11"/>
    </row>
    <row r="176" ht="17" customHeight="1">
      <c r="A176" s="4" t="str">
        <v>FH</v>
      </c>
      <c r="B176" s="4"/>
      <c r="C176" s="13" t="n">
        <f>1000*'Расчёт'!$G$171*'Расчёт'!$C$171*'Расчёт'!$E$171^2/('Расчёт'!$J$171*'Расчёт'!$I$171*'Расчёт'!$H$53)</f>
        <v>330.5953355155482</v>
      </c>
      <c r="D176" s="11"/>
      <c r="E176" s="13" t="n">
        <f>IF('Расчёт'!$C$176&lt;200,MIN(0.07+6/'Расчёт'!$C$176,0.25),(0.01+1/'Расчёт'!$C$176)/0.15)</f>
        <v>0.0868323071052116</v>
      </c>
      <c r="F176" s="11"/>
      <c r="G176" s="13" t="n">
        <f>'Расчёт'!$C$176*(1+'Расчёт'!$E$176*'Расчёт'!$K$171*('Расчёт'!$H$55-'Расчёт'!$H$56))</f>
        <v>367.9135979268957</v>
      </c>
      <c r="H176" s="11"/>
      <c r="I176" s="12" t="n">
        <f>MIN('Расчёт'!$E$171/6,'Расчёт'!$C$171)*100</f>
        <v>75</v>
      </c>
      <c r="J176" s="12" t="n">
        <f>MIN('Расчёт'!$L$126,'Расчёт'!$L$127,'Расчёт'!$L$128)/10</f>
        <v>1</v>
      </c>
      <c r="K176" s="12" t="n">
        <f>0</f>
        <v>0</v>
      </c>
      <c r="L176" s="11"/>
    </row>
    <row r="177" ht="17" customHeight="1">
      <c r="A177" s="4" t="str">
        <v>FT</v>
      </c>
      <c r="B177" s="4"/>
      <c r="C177" s="13" t="n">
        <f>1000*'Расчёт'!$G$172*'Расчёт'!$C$172*'Расчёт'!$E$172^2/('Расчёт'!$J$172*'Расчёт'!$I$172*'Расчёт'!$H$53)</f>
        <v>145.90647423092508</v>
      </c>
      <c r="D177" s="11"/>
      <c r="E177" s="13" t="n">
        <f>IF('Расчёт'!$C$177&lt;200,MIN(0.07+6/'Расчёт'!$C$177,0.25),(0.01+1/'Расчёт'!$C$177)/0.15)</f>
        <v>0.11112223279759229</v>
      </c>
      <c r="F177" s="11"/>
      <c r="G177" s="13" t="n">
        <f>'Расчёт'!$C$177*(1+'Расчёт'!$E$177*'Расчёт'!$K$172*('Расчёт'!$H$55-'Расчёт'!$H$56))</f>
        <v>166.98396338593926</v>
      </c>
      <c r="H177" s="11"/>
      <c r="I177" s="13" t="n">
        <f>MIN('Расчёт'!$E$172/6,'Расчёт'!$C$172)*100</f>
        <v>60.00000000000001</v>
      </c>
      <c r="J177" s="12" t="n">
        <f>MIN('Расчёт'!$L$128,'Расчёт'!$L$129)/10</f>
        <v>1</v>
      </c>
      <c r="K177" s="12" t="n">
        <f>0</f>
        <v>0</v>
      </c>
      <c r="L177" s="11"/>
    </row>
    <row r="178" ht="17" customHeight="1">
      <c r="A178" s="4" t="str">
        <v>LB</v>
      </c>
      <c r="B178" s="4"/>
      <c r="C178" s="13" t="n">
        <f>1000*'Расчёт'!$G$173*'Расчёт'!$C$173*'Расчёт'!$E$173^2/('Расчёт'!$J$173*'Расчёт'!$I$173*'Расчёт'!$H$53)</f>
        <v>296.9398124789359</v>
      </c>
      <c r="D178" s="11"/>
      <c r="E178" s="13" t="n">
        <f>IF('Расчёт'!$C$178&lt;200,MIN(0.07+6/'Расчёт'!$C$178,0.25),(0.01+1/'Расчёт'!$C$178)/0.15)</f>
        <v>0.08911790555919336</v>
      </c>
      <c r="F178" s="11"/>
      <c r="G178" s="13" t="n">
        <f>'Расчёт'!$C$178*(1+'Расчёт'!$E$178*'Расчёт'!$K$173*('Расчёт'!$H$55-'Расчёт'!$H$56))</f>
        <v>334.78140793526114</v>
      </c>
      <c r="H178" s="11"/>
      <c r="I178" s="12" t="n">
        <f>MIN('Расчёт'!$E$173/6,'Расчёт'!$C$173)*100</f>
        <v>75</v>
      </c>
      <c r="J178" s="13" t="n">
        <f>'Расчёт'!$L$133/10</f>
        <v>0.9</v>
      </c>
      <c r="K178" s="12" t="n">
        <f>0</f>
        <v>0</v>
      </c>
      <c r="L178" s="11"/>
    </row>
    <row r="179" ht="28" customHeight="1">
      <c r="A179" s="10" t="str">
        <v>Марка</v>
      </c>
      <c r="B179" s="10"/>
      <c r="C179" s="10" t="str">
        <v>Профиль</v>
      </c>
      <c r="D179" s="10"/>
      <c r="E179" s="10" t="str">
        <v>h, мм</v>
      </c>
      <c r="F179" s="10"/>
      <c r="G179" s="10" t="str">
        <v>s, мм</v>
      </c>
      <c r="H179" s="10"/>
      <c r="I179" s="10" t="str">
        <v>A, см²</v>
      </c>
      <c r="J179" s="10" t="str">
        <v>y₀, см</v>
      </c>
      <c r="K179" s="10" t="str">
        <v>I₀, см⁴</v>
      </c>
      <c r="L179" s="10"/>
    </row>
    <row r="180" ht="17" customHeight="1">
      <c r="A180" s="4" t="str">
        <v>DL</v>
      </c>
      <c r="B180" s="4"/>
      <c r="C180" s="4" t="str">
        <v>HP 100x8</v>
      </c>
      <c r="D180" s="4"/>
      <c r="E180" s="12" t="n">
        <f>'Сортамент HP'!$D$6</f>
        <v>100</v>
      </c>
      <c r="F180" s="11"/>
      <c r="G180" s="12" t="n">
        <f>'Сортамент HP'!$E$6</f>
        <v>8</v>
      </c>
      <c r="H180" s="11"/>
      <c r="I180" s="13" t="n">
        <f>'Сортамент HP'!$G$6</f>
        <v>9.74</v>
      </c>
      <c r="J180" s="13" t="n">
        <f>'Сортамент HP'!$I$6</f>
        <v>5.78</v>
      </c>
      <c r="K180" s="13" t="n">
        <f>'Сортамент HP'!$K$6</f>
        <v>94.3</v>
      </c>
      <c r="L180" s="11"/>
    </row>
    <row r="181" ht="17" customHeight="1">
      <c r="A181" s="4" t="str">
        <v>FH</v>
      </c>
      <c r="B181" s="4"/>
      <c r="C181" s="4" t="str">
        <v>HP 240x11</v>
      </c>
      <c r="D181" s="4"/>
      <c r="E181" s="12" t="n">
        <f>'Сортамент HP'!$D$23</f>
        <v>240</v>
      </c>
      <c r="F181" s="11"/>
      <c r="G181" s="12" t="n">
        <f>'Сортамент HP'!$E$23</f>
        <v>11</v>
      </c>
      <c r="H181" s="11"/>
      <c r="I181" s="13" t="n">
        <f>'Сортамент HP'!$G$23</f>
        <v>34.9</v>
      </c>
      <c r="J181" s="13" t="n">
        <f>'Сортамент HP'!$I$23</f>
        <v>14.6</v>
      </c>
      <c r="K181" s="12" t="n">
        <f>'Сортамент HP'!$K$23</f>
        <v>2000</v>
      </c>
      <c r="L181" s="11"/>
    </row>
    <row r="182" ht="17" customHeight="1">
      <c r="A182" s="4" t="str">
        <v>FT</v>
      </c>
      <c r="B182" s="4"/>
      <c r="C182" s="4" t="str">
        <v>HP 180x10</v>
      </c>
      <c r="D182" s="4"/>
      <c r="E182" s="12" t="n">
        <f>'Сортамент HP'!$D$16</f>
        <v>180</v>
      </c>
      <c r="F182" s="11"/>
      <c r="G182" s="12" t="n">
        <f>'Сортамент HP'!$E$16</f>
        <v>10</v>
      </c>
      <c r="H182" s="11"/>
      <c r="I182" s="13" t="n">
        <f>'Сортамент HP'!$G$16</f>
        <v>22.5</v>
      </c>
      <c r="J182" s="13" t="n">
        <f>'Сортамент HP'!$I$16</f>
        <v>10.6</v>
      </c>
      <c r="K182" s="12" t="n">
        <f>'Сортамент HP'!$K$16</f>
        <v>717</v>
      </c>
      <c r="L182" s="11"/>
    </row>
    <row r="183" ht="17" customHeight="1">
      <c r="A183" s="4" t="str">
        <v>LB</v>
      </c>
      <c r="B183" s="4"/>
      <c r="C183" s="4" t="str">
        <v>HP 240x10</v>
      </c>
      <c r="D183" s="4"/>
      <c r="E183" s="12" t="n">
        <f>'Сортамент HP'!$D$22</f>
        <v>240</v>
      </c>
      <c r="F183" s="11"/>
      <c r="G183" s="12" t="n">
        <f>'Сортамент HP'!$E$22</f>
        <v>10</v>
      </c>
      <c r="H183" s="11"/>
      <c r="I183" s="13" t="n">
        <f>'Сортамент HP'!$G$22</f>
        <v>32.4</v>
      </c>
      <c r="J183" s="13" t="n">
        <f>'Сортамент HP'!$I$22</f>
        <v>14.7</v>
      </c>
      <c r="K183" s="12" t="n">
        <f>'Сортамент HP'!$K$22</f>
        <v>1860</v>
      </c>
      <c r="L183" s="11"/>
    </row>
    <row r="184" ht="28" customHeight="1">
      <c r="A184" s="10" t="str">
        <v>Марка</v>
      </c>
      <c r="B184" s="10"/>
      <c r="C184" s="10" t="str">
        <v>Aп, см²</v>
      </c>
      <c r="D184" s="10"/>
      <c r="E184" s="10" t="str">
        <v>e, см</v>
      </c>
      <c r="F184" s="10"/>
      <c r="G184" s="10" t="str">
        <v>IΣ, см⁴</v>
      </c>
      <c r="H184" s="10"/>
      <c r="I184" s="10" t="str">
        <v>Wmin, см³</v>
      </c>
      <c r="J184" s="10"/>
      <c r="K184" s="10" t="str">
        <v>W/Wreq</v>
      </c>
      <c r="L184" s="10"/>
    </row>
    <row r="185" ht="17" customHeight="1">
      <c r="A185" s="4" t="str">
        <v>DL</v>
      </c>
      <c r="B185" s="4"/>
      <c r="C185" s="13" t="n">
        <f>'Расчёт'!$I$175*'Расчёт'!$J$175</f>
        <v>71.25</v>
      </c>
      <c r="D185" s="11"/>
      <c r="E185" s="13" t="n">
        <f>'Расчёт'!$I$180*('Расчёт'!$J$180+'Расчёт'!$J$175/2)/('Расчёт'!$I$180+'Расчёт'!$C$185)</f>
        <v>0.8093616495863688</v>
      </c>
      <c r="F185" s="11"/>
      <c r="G185" s="13" t="n">
        <f>'Расчёт'!$K$180+'Расчёт'!$I$175*'Расчёт'!$J$175^3/12+'Расчёт'!$I$180*('Расчёт'!$J$180+'Расчёт'!$J$175/2)^2-('Расчёт'!$I$180+'Расчёт'!$C$185)*'Расчёт'!$E$185^2</f>
        <v>503.83340299728354</v>
      </c>
      <c r="H185" s="11"/>
      <c r="I185" s="13" t="n">
        <f>MIN('Расчёт'!$G$185/('Расчёт'!$E$180/10+'Расчёт'!$J$175/2-'Расчёт'!$E$185),'Расчёт'!$G$185/('Расчёт'!$E$185+'Расчёт'!$J$175/2))</f>
        <v>49.684584499232486</v>
      </c>
      <c r="J185" s="11"/>
      <c r="K185" s="13" t="n">
        <f>'Расчёт'!$I$185/'Расчёт'!$G$175</f>
        <v>1.0136952907968884</v>
      </c>
      <c r="L185" s="11"/>
    </row>
    <row r="186" ht="17" customHeight="1">
      <c r="A186" s="4" t="str">
        <v>FH</v>
      </c>
      <c r="B186" s="4"/>
      <c r="C186" s="12" t="n">
        <f>'Расчёт'!$I$176*'Расчёт'!$J$176</f>
        <v>75</v>
      </c>
      <c r="D186" s="11"/>
      <c r="E186" s="13" t="n">
        <f>'Расчёт'!$I$181*('Расчёт'!$J$181+'Расчёт'!$J$176/2)/('Расчёт'!$I$181+'Расчёт'!$C$186)</f>
        <v>4.795177434030937</v>
      </c>
      <c r="F186" s="11"/>
      <c r="G186" s="13" t="n">
        <f>'Расчёт'!$K$181+'Расчёт'!$I$176*'Расчёт'!$J$176^3/12+'Расчёт'!$I$181*('Расчёт'!$J$181+'Расчёт'!$J$176/2)^2-('Расчёт'!$I$181+'Расчёт'!$C$186)*'Расчёт'!$E$186^2</f>
        <v>7436.788444040036</v>
      </c>
      <c r="H186" s="11"/>
      <c r="I186" s="13" t="n">
        <f>MIN('Расчёт'!$G$186/('Расчёт'!$E$181/10+'Расчёт'!$J$176/2-'Расчёт'!$E$186),'Расчёт'!$G$186/('Расчёт'!$E$186+'Расчёт'!$J$176/2))</f>
        <v>377.4095614991041</v>
      </c>
      <c r="J186" s="11"/>
      <c r="K186" s="13" t="n">
        <f>'Расчёт'!$I$186/'Расчёт'!$G$176</f>
        <v>1.0258103087945536</v>
      </c>
      <c r="L186" s="11"/>
    </row>
    <row r="187" ht="17" customHeight="1">
      <c r="A187" s="4" t="str">
        <v>FT</v>
      </c>
      <c r="B187" s="4"/>
      <c r="C187" s="13" t="n">
        <f>'Расчёт'!$I$177*'Расчёт'!$J$177</f>
        <v>60.00000000000001</v>
      </c>
      <c r="D187" s="11"/>
      <c r="E187" s="13" t="n">
        <f>'Расчёт'!$I$182*('Расчёт'!$J$182+'Расчёт'!$J$177/2)/('Расчёт'!$I$182+'Расчёт'!$C$187)</f>
        <v>3.0272727272727273</v>
      </c>
      <c r="F187" s="11"/>
      <c r="G187" s="13" t="n">
        <f>'Расчёт'!$K$182+'Расчёт'!$I$177*'Расчёт'!$J$177^3/12+'Расчёт'!$I$182*('Расчёт'!$J$182+'Расчёт'!$J$177/2)^2-('Расчёт'!$I$182+'Расчёт'!$C$187)*'Расчёт'!$E$187^2</f>
        <v>2738.163636363636</v>
      </c>
      <c r="H187" s="11"/>
      <c r="I187" s="13" t="n">
        <f>MIN('Расчёт'!$G$187/('Расчёт'!$E$182/10+'Расчёт'!$J$177/2-'Расчёт'!$E$187),'Расчёт'!$G$187/('Расчёт'!$E$187+'Расчёт'!$J$177/2))</f>
        <v>176.9670975323149</v>
      </c>
      <c r="J187" s="11"/>
      <c r="K187" s="13" t="n">
        <f>'Расчёт'!$I$187/'Расчёт'!$G$177</f>
        <v>1.0597849873960787</v>
      </c>
      <c r="L187" s="11"/>
    </row>
    <row r="188" ht="17" customHeight="1">
      <c r="A188" s="4" t="str">
        <v>LB</v>
      </c>
      <c r="B188" s="4"/>
      <c r="C188" s="13" t="n">
        <f>'Расчёт'!$I$178*'Расчёт'!$J$178</f>
        <v>67.5</v>
      </c>
      <c r="D188" s="11"/>
      <c r="E188" s="13" t="n">
        <f>'Расчёт'!$I$183*('Расчёт'!$J$183+'Расчёт'!$J$178/2)/('Расчёт'!$I$183+'Расчёт'!$C$188)</f>
        <v>4.913513513513513</v>
      </c>
      <c r="F188" s="11"/>
      <c r="G188" s="13" t="n">
        <f>'Расчёт'!$K$183+'Расчёт'!$I$178*'Расчёт'!$J$178^3/12+'Расчёт'!$I$183*('Расчёт'!$J$183+'Расчёт'!$J$178/2)^2-('Расчёт'!$I$183+'Расчёт'!$C$188)*'Расчёт'!$E$188^2</f>
        <v>6889.238006756756</v>
      </c>
      <c r="H188" s="11"/>
      <c r="I188" s="13" t="n">
        <f>MIN('Расчёт'!$G$188/('Расчёт'!$E$183/10+'Расчёт'!$J$178/2-'Расчёт'!$E$188),'Расчёт'!$G$188/('Расчёт'!$E$188+'Расчёт'!$J$178/2))</f>
        <v>352.634441792903</v>
      </c>
      <c r="J188" s="11"/>
      <c r="K188" s="13" t="n">
        <f>'Расчёт'!$I$188/'Расчёт'!$G$178</f>
        <v>1.0533274352591713</v>
      </c>
      <c r="L188" s="11"/>
    </row>
    <row r="189" ht="25" customHeight="1">
      <c r="A189" s="7" t="str">
        <v>Карлингсы и рамные полубимсы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</row>
    <row r="190" ht="17" customHeight="1">
      <c r="A190" s="4" t="str">
        <v>DG — Карлингс верхней палубы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ht="17" customHeight="1">
      <c r="A191" s="4" t="str">
        <v>LG — Карлингс нижней палубы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ht="17" customHeight="1">
      <c r="A192" s="4" t="str">
        <v>RB — Рамный полубимс верхней палубы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ht="28" customHeight="1">
      <c r="A193" s="10" t="str">
        <v>Марка</v>
      </c>
      <c r="B193" s="10"/>
      <c r="C193" s="10" t="str">
        <v>a, м</v>
      </c>
      <c r="D193" s="10"/>
      <c r="E193" s="10" t="str">
        <v>l, м</v>
      </c>
      <c r="F193" s="10"/>
      <c r="G193" s="10" t="str">
        <v>p, кПа</v>
      </c>
      <c r="H193" s="10"/>
      <c r="I193" s="10" t="str">
        <v>sп, см</v>
      </c>
      <c r="J193" s="10" t="str">
        <v>n стенок</v>
      </c>
      <c r="K193" s="10" t="str">
        <v>u, мм/год</v>
      </c>
      <c r="L193" s="10"/>
    </row>
    <row r="194" ht="17" customHeight="1">
      <c r="A194" s="4" t="str">
        <v>DG</v>
      </c>
      <c r="B194" s="4"/>
      <c r="C194" s="13" t="n">
        <f>'Расчёт'!$H$44/2</f>
        <v>2.45</v>
      </c>
      <c r="D194" s="11"/>
      <c r="E194" s="13" t="n">
        <f>'Расчёт'!$H$46</f>
        <v>4.5</v>
      </c>
      <c r="F194" s="11"/>
      <c r="G194" s="13" t="n">
        <f>'Расчёт'!$H$78</f>
        <v>13.527312713108701</v>
      </c>
      <c r="H194" s="11"/>
      <c r="I194" s="13" t="n">
        <f>'Расчёт'!$L$132/10</f>
        <v>1.9</v>
      </c>
      <c r="J194" s="12" t="n">
        <v>1</v>
      </c>
      <c r="K194" s="13" t="n">
        <v>0.1</v>
      </c>
      <c r="L194" s="11"/>
    </row>
    <row r="195" ht="17" customHeight="1">
      <c r="A195" s="4" t="str">
        <v>LG</v>
      </c>
      <c r="B195" s="4"/>
      <c r="C195" s="13" t="n">
        <f>'Расчёт'!$H$44/2</f>
        <v>2.45</v>
      </c>
      <c r="D195" s="11"/>
      <c r="E195" s="13" t="n">
        <f>'Расчёт'!$H$46</f>
        <v>4.5</v>
      </c>
      <c r="F195" s="11"/>
      <c r="G195" s="13" t="n">
        <f>'Расчёт'!$H$77</f>
        <v>25.188147358688024</v>
      </c>
      <c r="H195" s="11"/>
      <c r="I195" s="13" t="n">
        <f>'Расчёт'!$L$133/10</f>
        <v>0.9</v>
      </c>
      <c r="J195" s="12" t="n">
        <v>2</v>
      </c>
      <c r="K195" s="13" t="n">
        <v>0.11</v>
      </c>
      <c r="L195" s="11"/>
    </row>
    <row r="196" ht="17" customHeight="1">
      <c r="A196" s="4" t="str">
        <v>RB</v>
      </c>
      <c r="B196" s="4"/>
      <c r="C196" s="13" t="n">
        <f>'Расчёт'!$H$40</f>
        <v>2.25</v>
      </c>
      <c r="D196" s="11"/>
      <c r="E196" s="13" t="n">
        <f>'Расчёт'!$H$44</f>
        <v>4.9</v>
      </c>
      <c r="F196" s="11"/>
      <c r="G196" s="13" t="n">
        <f>'Расчёт'!$H$78</f>
        <v>13.527312713108701</v>
      </c>
      <c r="H196" s="11"/>
      <c r="I196" s="13" t="n">
        <f>'Расчёт'!$L$132/10</f>
        <v>1.9</v>
      </c>
      <c r="J196" s="12" t="n">
        <v>1</v>
      </c>
      <c r="K196" s="13" t="n">
        <v>0.1</v>
      </c>
      <c r="L196" s="11"/>
    </row>
    <row r="197" ht="28" customHeight="1">
      <c r="A197" s="10" t="str">
        <v>Марка</v>
      </c>
      <c r="B197" s="10"/>
      <c r="C197" s="10" t="str">
        <v>W′, см³</v>
      </c>
      <c r="D197" s="10"/>
      <c r="E197" s="10" t="str">
        <v>αк</v>
      </c>
      <c r="F197" s="10"/>
      <c r="G197" s="10" t="str">
        <v>Wreq, см³</v>
      </c>
      <c r="H197" s="10"/>
      <c r="I197" s="10" t="str">
        <v>bп, см</v>
      </c>
      <c r="J197" s="10" t="str">
        <v>h, см</v>
      </c>
      <c r="K197" s="10" t="str">
        <v>s, см</v>
      </c>
      <c r="L197" s="10"/>
    </row>
    <row r="198" ht="17" customHeight="1">
      <c r="A198" s="4" t="str">
        <v>DG</v>
      </c>
      <c r="B198" s="4"/>
      <c r="C198" s="13" t="n">
        <f>1000*'Расчёт'!$C$194*'Расчёт'!$G$194*'Расчёт'!$E$194^2/(10*0.65*'Расчёт'!$H$53)</f>
        <v>439.3609178259283</v>
      </c>
      <c r="D198" s="11"/>
      <c r="E198" s="13" t="n">
        <f>IF('Расчёт'!$C$198&lt;200,MIN(0.07+6/'Расчёт'!$C$198,0.25),(0.01+1/'Расчёт'!$C$198)/0.15)</f>
        <v>0.08184022079081377</v>
      </c>
      <c r="F198" s="11"/>
      <c r="G198" s="13" t="n">
        <f>'Расчёт'!$C$198*(1+'Расчёт'!$E$198*'Расчёт'!$K$194*('Расчёт'!$H$55-'Расчёт'!$H$56))</f>
        <v>486.1055307041754</v>
      </c>
      <c r="H198" s="11"/>
      <c r="I198" s="12" t="n">
        <f>MIN('Расчёт'!$E$194/6,'Расчёт'!$C$194)*100</f>
        <v>75</v>
      </c>
      <c r="J198" s="12" t="n">
        <v>50</v>
      </c>
      <c r="K198" s="12" t="n">
        <v>1</v>
      </c>
      <c r="L198" s="11"/>
    </row>
    <row r="199" ht="17" customHeight="1">
      <c r="A199" s="4" t="str">
        <v>LG</v>
      </c>
      <c r="B199" s="4"/>
      <c r="C199" s="13" t="n">
        <f>1000*'Расчёт'!$C$195*'Расчёт'!$G$195*'Расчёт'!$E$195^2/(10*0.65*'Расчёт'!$H$53)</f>
        <v>818.0994833603335</v>
      </c>
      <c r="D199" s="11"/>
      <c r="E199" s="13" t="n">
        <f>IF('Расчёт'!$C$199&lt;200,MIN(0.07+6/'Расчёт'!$C$199,0.25),(0.01+1/'Расчёт'!$C$199)/0.15)</f>
        <v>0.07481563485728747</v>
      </c>
      <c r="F199" s="11"/>
      <c r="G199" s="13" t="n">
        <f>'Расчёт'!$C$199*(1+'Расчёт'!$E$199*'Расчёт'!$K$195*('Расчёт'!$H$55-'Расчёт'!$H$56))</f>
        <v>905.6249674406853</v>
      </c>
      <c r="H199" s="11"/>
      <c r="I199" s="12" t="n">
        <f>MIN('Расчёт'!$E$195/6,'Расчёт'!$C$195)*100</f>
        <v>75</v>
      </c>
      <c r="J199" s="12" t="n">
        <v>55</v>
      </c>
      <c r="K199" s="13" t="n">
        <v>1.2</v>
      </c>
      <c r="L199" s="11"/>
    </row>
    <row r="200" ht="17" customHeight="1">
      <c r="A200" s="4" t="str">
        <v>RB</v>
      </c>
      <c r="B200" s="4"/>
      <c r="C200" s="13" t="n">
        <f>1000*'Расчёт'!$C$196*'Расчёт'!$G$196*'Расчёт'!$E$196^2/(10*0.65*'Расчёт'!$H$53)</f>
        <v>478.4152216326775</v>
      </c>
      <c r="D200" s="11"/>
      <c r="E200" s="13" t="n">
        <f>IF('Расчёт'!$C$200&lt;200,MIN(0.07+6/'Расчёт'!$C$200,0.25),(0.01+1/'Расчёт'!$C$200)/0.15)</f>
        <v>0.08060156331129156</v>
      </c>
      <c r="F200" s="11"/>
      <c r="G200" s="13" t="n">
        <f>'Расчёт'!$C$200*(1+'Расчёт'!$E$200*'Расчёт'!$K$196*('Расчёт'!$H$55-'Расчёт'!$H$56))</f>
        <v>528.544540840843</v>
      </c>
      <c r="H200" s="11"/>
      <c r="I200" s="13" t="n">
        <f>MIN('Расчёт'!$E$196/6,'Расчёт'!$C$196)*100</f>
        <v>81.66666666666667</v>
      </c>
      <c r="J200" s="12" t="n">
        <v>30</v>
      </c>
      <c r="K200" s="13" t="n">
        <v>0.8</v>
      </c>
      <c r="L200" s="11"/>
    </row>
    <row r="201" ht="28" customHeight="1">
      <c r="A201" s="10" t="str">
        <v>Марка</v>
      </c>
      <c r="B201" s="10"/>
      <c r="C201" s="10" t="str">
        <v>b, см</v>
      </c>
      <c r="D201" s="10"/>
      <c r="E201" s="10" t="str">
        <v>t, см</v>
      </c>
      <c r="F201" s="10"/>
      <c r="G201" s="10" t="str">
        <v>Aст, см²</v>
      </c>
      <c r="H201" s="10"/>
      <c r="I201" s="10" t="str">
        <v>Aпояс, см²</v>
      </c>
      <c r="J201" s="10"/>
      <c r="K201" s="10" t="str">
        <v>Aп, см²</v>
      </c>
      <c r="L201" s="10"/>
    </row>
    <row r="202" ht="17" customHeight="1">
      <c r="A202" s="4" t="str">
        <v>DG</v>
      </c>
      <c r="B202" s="4"/>
      <c r="C202" s="12" t="n">
        <v>25</v>
      </c>
      <c r="D202" s="11"/>
      <c r="E202" s="13" t="n">
        <v>2.5</v>
      </c>
      <c r="F202" s="11"/>
      <c r="G202" s="12" t="n">
        <f>'Расчёт'!$J$194*'Расчёт'!$J$198*'Расчёт'!$K$198</f>
        <v>50</v>
      </c>
      <c r="H202" s="11"/>
      <c r="I202" s="13" t="n">
        <f>'Расчёт'!$C$202*'Расчёт'!$E$202</f>
        <v>62.5</v>
      </c>
      <c r="J202" s="11"/>
      <c r="K202" s="13" t="n">
        <f>'Расчёт'!$I$198*'Расчёт'!$I$194</f>
        <v>142.5</v>
      </c>
      <c r="L202" s="11"/>
    </row>
    <row r="203" ht="17" customHeight="1">
      <c r="A203" s="4" t="str">
        <v>LG</v>
      </c>
      <c r="B203" s="4"/>
      <c r="C203" s="12" t="n">
        <v>77</v>
      </c>
      <c r="D203" s="11"/>
      <c r="E203" s="13" t="n">
        <v>2.5</v>
      </c>
      <c r="F203" s="11"/>
      <c r="G203" s="12" t="n">
        <f>'Расчёт'!$J$195*'Расчёт'!$J$199*'Расчёт'!$K$199</f>
        <v>132</v>
      </c>
      <c r="H203" s="11"/>
      <c r="I203" s="13" t="n">
        <f>'Расчёт'!$C$203*'Расчёт'!$E$203</f>
        <v>192.5</v>
      </c>
      <c r="J203" s="11"/>
      <c r="K203" s="13" t="n">
        <f>'Расчёт'!$I$199*'Расчёт'!$I$195</f>
        <v>67.5</v>
      </c>
      <c r="L203" s="11"/>
    </row>
    <row r="204" ht="17" customHeight="1">
      <c r="A204" s="4" t="str">
        <v>RB</v>
      </c>
      <c r="B204" s="4"/>
      <c r="C204" s="12" t="n">
        <v>12</v>
      </c>
      <c r="D204" s="11"/>
      <c r="E204" s="13" t="n">
        <v>1.2</v>
      </c>
      <c r="F204" s="11"/>
      <c r="G204" s="12" t="n">
        <f>'Расчёт'!$J$196*'Расчёт'!$J$200*'Расчёт'!$K$200</f>
        <v>24</v>
      </c>
      <c r="H204" s="11"/>
      <c r="I204" s="13" t="n">
        <f>'Расчёт'!$C$204*'Расчёт'!$E$204</f>
        <v>14.399999999999999</v>
      </c>
      <c r="J204" s="11"/>
      <c r="K204" s="13" t="n">
        <f>'Расчёт'!$I$200*'Расчёт'!$I$196</f>
        <v>155.16666666666666</v>
      </c>
      <c r="L204" s="11"/>
    </row>
    <row r="205" ht="28" customHeight="1">
      <c r="A205" s="10" t="str">
        <v>Марка</v>
      </c>
      <c r="B205" s="10"/>
      <c r="C205" s="10" t="str">
        <v>AΣ, см²</v>
      </c>
      <c r="D205" s="10"/>
      <c r="E205" s="10" t="str">
        <v>e, см</v>
      </c>
      <c r="F205" s="10"/>
      <c r="G205" s="10" t="str">
        <v>IΣ, см⁴</v>
      </c>
      <c r="H205" s="10"/>
      <c r="I205" s="10" t="str">
        <v>Wmin, см³</v>
      </c>
      <c r="J205" s="10"/>
      <c r="K205" s="10" t="str">
        <v>W/Wreq</v>
      </c>
      <c r="L205" s="10"/>
    </row>
    <row r="206" ht="17" customHeight="1">
      <c r="A206" s="4" t="str">
        <v>DG</v>
      </c>
      <c r="B206" s="4"/>
      <c r="C206" s="12" t="n">
        <f>'Расчёт'!$G$202+'Расчёт'!$I$202+'Расчёт'!$K$202</f>
        <v>255</v>
      </c>
      <c r="D206" s="11"/>
      <c r="E206" s="13" t="n">
        <f>('Расчёт'!$G$202*'Расчёт'!$J$198/2+'Расчёт'!$I$202*('Расчёт'!$J$198+'Расчёт'!$E$202/2)-'Расчёт'!$K$202*'Расчёт'!$I$194/2)/'Расчёт'!$C$206</f>
        <v>16.93235294117647</v>
      </c>
      <c r="F206" s="11"/>
      <c r="G206" s="13" t="n">
        <f>'Расчёт'!$J$194*'Расчёт'!$J$198^3*'Расчёт'!$K$198/12+'Расчёт'!$C$202*'Расчёт'!$E$202^3/12+'Расчёт'!$I$198*'Расчёт'!$I$194^3/12+'Расчёт'!$G$202*('Расчёт'!$J$198/2-'Расчёт'!$E$206)^2+'Расчёт'!$I$202*('Расчёт'!$J$198+'Расчёт'!$E$202/2-'Расчёт'!$E$206)^2+'Расчёт'!$K$202*(-'Расчёт'!$I$194/2-'Расчёт'!$E$206)^2</f>
        <v>132921.18308823527</v>
      </c>
      <c r="H206" s="11"/>
      <c r="I206" s="13" t="n">
        <f>'Расчёт'!$G$206/MAX('Расчёт'!$E$206+'Расчёт'!$I$194,'Расчёт'!$J$198+'Расчёт'!$E$202-'Расчёт'!$E$206)</f>
        <v>3737.137372860332</v>
      </c>
      <c r="J206" s="11"/>
      <c r="K206" s="13" t="n">
        <f>'Расчёт'!$I$206/'Расчёт'!$G$198</f>
        <v>7.687913707640175</v>
      </c>
      <c r="L206" s="11"/>
    </row>
    <row r="207" ht="17" customHeight="1">
      <c r="A207" s="4" t="str">
        <v>LG</v>
      </c>
      <c r="B207" s="4"/>
      <c r="C207" s="12" t="n">
        <f>'Расчёт'!$G$203+'Расчёт'!$I$203+'Расчёт'!$K$203</f>
        <v>392</v>
      </c>
      <c r="D207" s="11"/>
      <c r="E207" s="13" t="n">
        <f>('Расчёт'!$G$203*'Расчёт'!$J$199/2+'Расчёт'!$I$203*('Расчёт'!$J$199+'Расчёт'!$E$203/2)-'Расчёт'!$K$203*'Расчёт'!$I$195/2)/'Расчёт'!$C$207</f>
        <v>36.80548469387755</v>
      </c>
      <c r="F207" s="11"/>
      <c r="G207" s="13" t="n">
        <f>'Расчёт'!$J$195*'Расчёт'!$J$199^3*'Расчёт'!$K$199/12+'Расчёт'!$C$203*'Расчёт'!$E$203^3/12+'Расчёт'!$I$199*'Расчёт'!$I$195^3/12+'Расчёт'!$G$203*('Расчёт'!$J$199/2-'Расчёт'!$E$207)^2+'Расчёт'!$I$203*('Расчёт'!$J$199+'Расчёт'!$E$203/2-'Расчёт'!$E$207)^2+'Расчёт'!$K$203*(-'Расчёт'!$I$195/2-'Расчёт'!$E$207)^2</f>
        <v>211280.18487457483</v>
      </c>
      <c r="H207" s="11"/>
      <c r="I207" s="13" t="n">
        <f>'Расчёт'!$G$207/MAX('Расчёт'!$E$207+'Расчёт'!$I$195,'Расчёт'!$J$199+'Расчёт'!$E$203-'Расчёт'!$E$207)</f>
        <v>5603.433733577799</v>
      </c>
      <c r="J207" s="11"/>
      <c r="K207" s="13" t="n">
        <f>'Расчёт'!$I$207/'Расчёт'!$G$199</f>
        <v>6.1873666639439255</v>
      </c>
      <c r="L207" s="11"/>
    </row>
    <row r="208" ht="17" customHeight="1">
      <c r="A208" s="4" t="str">
        <v>RB</v>
      </c>
      <c r="B208" s="4"/>
      <c r="C208" s="13" t="n">
        <f>'Расчёт'!$G$204+'Расчёт'!$I$204+'Расчёт'!$K$204</f>
        <v>193.56666666666666</v>
      </c>
      <c r="D208" s="11"/>
      <c r="E208" s="13" t="n">
        <f>('Расчёт'!$G$204*'Расчёт'!$J$200/2+'Расчёт'!$I$204*('Расчёт'!$J$200+'Расчёт'!$E$204/2)-'Расчёт'!$K$204*'Расчёт'!$I$196/2)/'Расчёт'!$C$208</f>
        <v>3.374711555019804</v>
      </c>
      <c r="F208" s="11"/>
      <c r="G208" s="13" t="n">
        <f>'Расчёт'!$J$196*'Расчёт'!$J$200^3*'Расчёт'!$K$200/12+'Расчёт'!$C$204*'Расчёт'!$E$204^3/12+'Расчёт'!$I$200*'Расчёт'!$I$196^3/12+'Расчёт'!$G$204*('Расчёт'!$J$200/2-'Расчёт'!$E$208)^2+'Расчёт'!$I$204*('Расчёт'!$J$200+'Расчёт'!$E$204/2-'Расчёт'!$E$208)^2+'Расчёт'!$K$204*(-'Расчёт'!$I$196/2-'Расчёт'!$E$208)^2</f>
        <v>18667.56076861738</v>
      </c>
      <c r="H208" s="11"/>
      <c r="I208" s="13" t="n">
        <f>'Расчёт'!$G$208/MAX('Расчёт'!$E$208+'Расчёт'!$I$196,'Расчёт'!$J$200+'Расчёт'!$E$204-'Расчёт'!$E$208)</f>
        <v>670.8847171711922</v>
      </c>
      <c r="J208" s="11"/>
      <c r="K208" s="13" t="n">
        <f>'Расчёт'!$I$208/'Расчёт'!$G$200</f>
        <v>1.2693059247266185</v>
      </c>
      <c r="L208" s="11"/>
    </row>
    <row r="209" ht="25" customHeight="1">
      <c r="A209" s="7" t="str">
        <v>Кницы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</row>
    <row r="210" ht="28" customHeight="1">
      <c r="A210" s="10" t="str">
        <v>Параметр</v>
      </c>
      <c r="B210" s="10"/>
      <c r="C210" s="10"/>
      <c r="D210" s="10"/>
      <c r="E210" s="10"/>
      <c r="F210" s="10"/>
      <c r="G210" s="10"/>
      <c r="H210" s="10" t="str">
        <v>Значение</v>
      </c>
      <c r="I210" s="10"/>
      <c r="J210" s="10"/>
      <c r="K210" s="10" t="str">
        <v>Ед.</v>
      </c>
      <c r="L210" s="10"/>
    </row>
    <row r="211" ht="17" customHeight="1">
      <c r="A211" s="4" t="str">
        <v>Кница верхней палубы — расчётный катет</v>
      </c>
      <c r="B211" s="4"/>
      <c r="C211" s="4"/>
      <c r="D211" s="4"/>
      <c r="E211" s="4"/>
      <c r="F211" s="4"/>
      <c r="G211" s="4"/>
      <c r="H211" s="13" t="n">
        <f>50*SQRT(MIN('Расчёт'!$G$200,'Расчёт'!$G$177)/MIN('Расчёт'!$K$200*10,'Расчёт'!$G$182))</f>
        <v>228.43486721187293</v>
      </c>
      <c r="I211" s="11"/>
      <c r="J211" s="11"/>
      <c r="K211" s="4" t="str">
        <v>mm</v>
      </c>
      <c r="L211" s="4"/>
    </row>
    <row r="212" ht="17" customHeight="1">
      <c r="A212" s="4" t="str">
        <v>Кница верхней палубы — принятый катет</v>
      </c>
      <c r="B212" s="4"/>
      <c r="C212" s="4"/>
      <c r="D212" s="4"/>
      <c r="E212" s="4"/>
      <c r="F212" s="4"/>
      <c r="G212" s="4"/>
      <c r="H212" s="12" t="n">
        <v>300</v>
      </c>
      <c r="I212" s="11"/>
      <c r="J212" s="11"/>
      <c r="K212" s="4" t="str">
        <v>mm</v>
      </c>
      <c r="L212" s="4"/>
    </row>
    <row r="213" ht="17" customHeight="1">
      <c r="A213" s="4" t="str">
        <v>Кница верхней палубы — толщина</v>
      </c>
      <c r="B213" s="4"/>
      <c r="C213" s="4"/>
      <c r="D213" s="4"/>
      <c r="E213" s="4"/>
      <c r="F213" s="4"/>
      <c r="G213" s="4"/>
      <c r="H213" s="12" t="n">
        <f>MIN('Расчёт'!$K$200*10,'Расчёт'!$G$182)</f>
        <v>8</v>
      </c>
      <c r="I213" s="11"/>
      <c r="J213" s="11"/>
      <c r="K213" s="4" t="str">
        <v>mm</v>
      </c>
      <c r="L213" s="4"/>
    </row>
    <row r="214" ht="17" customHeight="1">
      <c r="A214" s="4" t="str">
        <v>Кница нижней палубы — расчётный катет</v>
      </c>
      <c r="B214" s="4"/>
      <c r="C214" s="4"/>
      <c r="D214" s="4"/>
      <c r="E214" s="4"/>
      <c r="F214" s="4"/>
      <c r="G214" s="4"/>
      <c r="H214" s="13" t="n">
        <f>50*SQRT(MIN('Расчёт'!$G$178,'Расчёт'!$G$176)/MIN('Расчёт'!$G$183,'Расчёт'!$G$181))</f>
        <v>289.30148977116465</v>
      </c>
      <c r="I214" s="11"/>
      <c r="J214" s="11"/>
      <c r="K214" s="4" t="str">
        <v>mm</v>
      </c>
      <c r="L214" s="4"/>
    </row>
    <row r="215" ht="17" customHeight="1">
      <c r="A215" s="4" t="str">
        <v>Кница нижней палубы — принятый катет</v>
      </c>
      <c r="B215" s="4"/>
      <c r="C215" s="4"/>
      <c r="D215" s="4"/>
      <c r="E215" s="4"/>
      <c r="F215" s="4"/>
      <c r="G215" s="4"/>
      <c r="H215" s="12" t="n">
        <v>350</v>
      </c>
      <c r="I215" s="11"/>
      <c r="J215" s="11"/>
      <c r="K215" s="4" t="str">
        <v>mm</v>
      </c>
      <c r="L215" s="4"/>
    </row>
    <row r="216" ht="17" customHeight="1">
      <c r="A216" s="4" t="str">
        <v>Кница нижней палубы — толщина</v>
      </c>
      <c r="B216" s="4"/>
      <c r="C216" s="4"/>
      <c r="D216" s="4"/>
      <c r="E216" s="4"/>
      <c r="F216" s="4"/>
      <c r="G216" s="4"/>
      <c r="H216" s="12" t="n">
        <f>MIN('Расчёт'!$G$183,'Расчёт'!$G$181)</f>
        <v>10</v>
      </c>
      <c r="I216" s="11"/>
      <c r="J216" s="11"/>
      <c r="K216" s="4" t="str">
        <v>mm</v>
      </c>
      <c r="L216" s="4"/>
    </row>
    <row r="217" ht="17" customHeight="1">
      <c r="A217" s="4" t="str">
        <v>Кница бракетного флора — расчётный катет</v>
      </c>
      <c r="B217" s="4"/>
      <c r="C217" s="4"/>
      <c r="D217" s="4"/>
      <c r="E217" s="4"/>
      <c r="F217" s="4"/>
      <c r="G217" s="4"/>
      <c r="H217" s="13" t="n">
        <f>50*SQRT(MAX('Расчёт'!$G$141,'Расчёт'!$G$142)/'Расчёт'!$H$155)</f>
        <v>240.14022892204713</v>
      </c>
      <c r="I217" s="11"/>
      <c r="J217" s="11"/>
      <c r="K217" s="4" t="str">
        <v>mm</v>
      </c>
      <c r="L217" s="4"/>
    </row>
    <row r="218" ht="17" customHeight="1">
      <c r="A218" s="4" t="str">
        <v>Кница бракетного флора — принятый катет</v>
      </c>
      <c r="B218" s="4"/>
      <c r="C218" s="4"/>
      <c r="D218" s="4"/>
      <c r="E218" s="4"/>
      <c r="F218" s="4"/>
      <c r="G218" s="4"/>
      <c r="H218" s="12" t="n">
        <v>500</v>
      </c>
      <c r="I218" s="11"/>
      <c r="J218" s="11"/>
      <c r="K218" s="4" t="str">
        <v>mm</v>
      </c>
      <c r="L218" s="4"/>
    </row>
    <row r="219" ht="17" customHeight="1">
      <c r="A219" s="4" t="str">
        <v>Кница бракетного флора — толщина</v>
      </c>
      <c r="B219" s="4"/>
      <c r="C219" s="4"/>
      <c r="D219" s="4"/>
      <c r="E219" s="4"/>
      <c r="F219" s="4"/>
      <c r="G219" s="4"/>
      <c r="H219" s="12" t="n">
        <f>'Расчёт'!$H$155</f>
        <v>11</v>
      </c>
      <c r="I219" s="11"/>
      <c r="J219" s="11"/>
      <c r="K219" s="4" t="str">
        <v>mm</v>
      </c>
      <c r="L219" s="4"/>
    </row>
    <row r="220" ht="25" customHeight="1">
      <c r="A220" s="7" t="str">
        <v>7. Эквивалентный брус и общая продольная прочность</v>
      </c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</row>
    <row r="221" ht="28" customHeight="1">
      <c r="A221" s="10" t="str">
        <v>Элемент</v>
      </c>
      <c r="B221" s="10"/>
      <c r="C221" s="10"/>
      <c r="D221" s="10"/>
      <c r="E221" s="10" t="str">
        <v>n</v>
      </c>
      <c r="F221" s="10"/>
      <c r="G221" s="10" t="str">
        <v>Ai, см²</v>
      </c>
      <c r="H221" s="10"/>
      <c r="I221" s="10" t="str">
        <v>z, см</v>
      </c>
      <c r="J221" s="10"/>
      <c r="K221" s="10" t="str">
        <v>I₀, см⁴</v>
      </c>
      <c r="L221" s="10"/>
    </row>
    <row r="222" ht="17" customHeight="1">
      <c r="A222" s="4" t="str">
        <v>EK Горизонтальный киль</v>
      </c>
      <c r="B222" s="4"/>
      <c r="C222" s="4"/>
      <c r="D222" s="4"/>
      <c r="E222" s="12" t="n">
        <v>1</v>
      </c>
      <c r="F222" s="11"/>
      <c r="G222" s="13" t="n">
        <f>'Расчёт'!$H$58*100*'Расчёт'!$L$124/10</f>
        <v>174.85</v>
      </c>
      <c r="H222" s="11"/>
      <c r="I222" s="12" t="n">
        <f>0</f>
        <v>0</v>
      </c>
      <c r="J222" s="11"/>
      <c r="K222" s="13" t="n">
        <f>'Расчёт'!$H$58*100*('Расчёт'!$L$124/10)^3/12</f>
        <v>24.624708333333334</v>
      </c>
      <c r="L222" s="11"/>
    </row>
    <row r="223" ht="17" customHeight="1">
      <c r="A223" s="4" t="str">
        <v>EB Плоское днище без киля</v>
      </c>
      <c r="B223" s="4"/>
      <c r="C223" s="4"/>
      <c r="D223" s="4"/>
      <c r="E223" s="12" t="n">
        <v>2</v>
      </c>
      <c r="F223" s="11"/>
      <c r="G223" s="13" t="n">
        <f>('Расчёт'!$H$23/2-'Расчёт'!$H$33-'Расчёт'!$H$58/2)*100*'Расчёт'!$L$125/10</f>
        <v>729.025</v>
      </c>
      <c r="H223" s="11"/>
      <c r="I223" s="12" t="n">
        <f>0</f>
        <v>0</v>
      </c>
      <c r="J223" s="11"/>
      <c r="K223" s="13" t="n">
        <f>('Расчёт'!$H$23/2-'Расчёт'!$H$33-'Расчёт'!$H$58/2)*100*('Расчёт'!$L$125/10)^3/12</f>
        <v>73.51002083333336</v>
      </c>
      <c r="L223" s="11"/>
    </row>
    <row r="224" ht="17" customHeight="1">
      <c r="A224" s="4" t="str">
        <v>ER Скуловой пояс</v>
      </c>
      <c r="B224" s="4"/>
      <c r="C224" s="4"/>
      <c r="D224" s="4"/>
      <c r="E224" s="12" t="n">
        <v>2</v>
      </c>
      <c r="F224" s="11"/>
      <c r="G224" s="13" t="n">
        <f>'Расчёт'!$H$33*100*PI()/2*'Расчёт'!$L$125/10</f>
        <v>276.4601535159018</v>
      </c>
      <c r="H224" s="11"/>
      <c r="I224" s="13" t="n">
        <f>'Расчёт'!$H$33*100*(1-2/PI())</f>
        <v>58.140836421186975</v>
      </c>
      <c r="J224" s="11"/>
      <c r="K224" s="13" t="n">
        <f>'Расчёт'!$H$33*100*PI()/2*'Расчёт'!$L$125/10*(('Расчёт'!$H$33*100)^2*(0.5-4/PI()^2)+('Расчёт'!$L$125/10)^2/24)</f>
        <v>670349.8568235749</v>
      </c>
      <c r="L224" s="11"/>
    </row>
    <row r="225" ht="17" customHeight="1">
      <c r="A225" s="4" t="str">
        <v>ESE Обшивка борта E</v>
      </c>
      <c r="B225" s="4"/>
      <c r="C225" s="4"/>
      <c r="D225" s="4"/>
      <c r="E225" s="12" t="n">
        <v>2</v>
      </c>
      <c r="F225" s="11"/>
      <c r="G225" s="12" t="n">
        <f>(('Расчёт'!$H$33+2)-('Расчёт'!$H$33))*100*'Расчёт'!$L$126/10</f>
        <v>220</v>
      </c>
      <c r="H225" s="11"/>
      <c r="I225" s="12" t="n">
        <f>(('Расчёт'!$H$33+2)+('Расчёт'!$H$33))*50</f>
        <v>260</v>
      </c>
      <c r="J225" s="11"/>
      <c r="K225" s="13" t="n">
        <f>((('Расчёт'!$H$33+2)-('Расчёт'!$H$33))*100)^3*'Расчёт'!$L$126/10/12</f>
        <v>733333.3333333334</v>
      </c>
      <c r="L225" s="11"/>
    </row>
    <row r="226" ht="17" customHeight="1">
      <c r="A226" s="4" t="str">
        <v>ESF Обшивка борта F</v>
      </c>
      <c r="B226" s="4"/>
      <c r="C226" s="4"/>
      <c r="D226" s="4"/>
      <c r="E226" s="12" t="n">
        <v>2</v>
      </c>
      <c r="F226" s="11"/>
      <c r="G226" s="13" t="n">
        <f>(('Расчёт'!$H$33+4)-('Расчёт'!$H$33+2))*100*'Расчёт'!$L$127/10</f>
        <v>199.99999999999994</v>
      </c>
      <c r="H226" s="11"/>
      <c r="I226" s="13" t="n">
        <f>(('Расчёт'!$H$33+4)+('Расчёт'!$H$33+2))*50</f>
        <v>459.99999999999994</v>
      </c>
      <c r="J226" s="11"/>
      <c r="K226" s="13" t="n">
        <f>((('Расчёт'!$H$33+4)-('Расчёт'!$H$33+2))*100)^3*'Расчёт'!$L$127/10/12</f>
        <v>666666.6666666662</v>
      </c>
      <c r="L226" s="11"/>
    </row>
    <row r="227" ht="17" customHeight="1">
      <c r="A227" s="4" t="str">
        <v>ESG Обшивка борта G</v>
      </c>
      <c r="B227" s="4"/>
      <c r="C227" s="4"/>
      <c r="D227" s="4"/>
      <c r="E227" s="12" t="n">
        <v>2</v>
      </c>
      <c r="F227" s="11"/>
      <c r="G227" s="13" t="n">
        <f>(('Расчёт'!$H$24-'Расчёт'!$H$58)-('Расчёт'!$H$33+4))*100*'Расчёт'!$L$128/10</f>
        <v>235.50000000000014</v>
      </c>
      <c r="H227" s="11"/>
      <c r="I227" s="13" t="n">
        <f>(('Расчёт'!$H$24-'Расчёт'!$H$58)+('Расчёт'!$H$33+4))*50</f>
        <v>677.75</v>
      </c>
      <c r="J227" s="11"/>
      <c r="K227" s="14" t="n">
        <f>((('Расчёт'!$H$24-'Расчёт'!$H$58)-('Расчёт'!$H$33+4))*100)^3*'Расчёт'!$L$128/10/12</f>
        <v>1088407.406250002</v>
      </c>
      <c r="L227" s="11"/>
    </row>
    <row r="228" ht="17" customHeight="1">
      <c r="A228" s="4" t="str">
        <v>ESH Обшивка борта H</v>
      </c>
      <c r="B228" s="4"/>
      <c r="C228" s="4"/>
      <c r="D228" s="4"/>
      <c r="E228" s="12" t="n">
        <v>2</v>
      </c>
      <c r="F228" s="11"/>
      <c r="G228" s="13" t="n">
        <f>(('Расчёт'!$H$24)-('Расчёт'!$H$24-'Расчёт'!$H$58))*100*'Расчёт'!$L$129/10</f>
        <v>134.49999999999997</v>
      </c>
      <c r="H228" s="11"/>
      <c r="I228" s="13" t="n">
        <f>(('Расчёт'!$H$24)+('Расчёт'!$H$24-'Расчёт'!$H$58))*50</f>
        <v>862.7500000000001</v>
      </c>
      <c r="J228" s="11"/>
      <c r="K228" s="13" t="n">
        <f>((('Расчёт'!$H$24)-('Расчёт'!$H$24-'Расчёт'!$H$58))*100)^3*'Расчёт'!$L$129/10/12</f>
        <v>202761.55208333323</v>
      </c>
      <c r="L228" s="11"/>
    </row>
    <row r="229" ht="17" customHeight="1">
      <c r="A229" s="4" t="str">
        <v>EI Настил второго дна</v>
      </c>
      <c r="B229" s="4"/>
      <c r="C229" s="4"/>
      <c r="D229" s="4"/>
      <c r="E229" s="12" t="n">
        <v>2</v>
      </c>
      <c r="F229" s="11"/>
      <c r="G229" s="13" t="n">
        <f>('Расчёт'!$H$59-1)*100*'Расчёт'!$L$130/10</f>
        <v>706.427400463467</v>
      </c>
      <c r="H229" s="11"/>
      <c r="I229" s="12" t="n">
        <f>'Расчёт'!$H$32*100</f>
        <v>120</v>
      </c>
      <c r="J229" s="11"/>
      <c r="K229" s="13" t="n">
        <f>('Расчёт'!$H$59-1)*100*('Расчёт'!$L$130/10)^3/12</f>
        <v>47.68384953128404</v>
      </c>
      <c r="L229" s="11"/>
    </row>
    <row r="230" ht="17" customHeight="1">
      <c r="A230" s="4" t="str">
        <v>EM Крайний междудонный лист</v>
      </c>
      <c r="B230" s="4"/>
      <c r="C230" s="4"/>
      <c r="D230" s="4"/>
      <c r="E230" s="12" t="n">
        <v>2</v>
      </c>
      <c r="F230" s="11"/>
      <c r="G230" s="12" t="n">
        <f>100*'Расчёт'!$L$131/10</f>
        <v>100</v>
      </c>
      <c r="H230" s="11"/>
      <c r="I230" s="12" t="n">
        <f>'Расчёт'!$H$32*100</f>
        <v>120</v>
      </c>
      <c r="J230" s="11"/>
      <c r="K230" s="13" t="n">
        <f>100*('Расчёт'!$L$131/10)^3/12</f>
        <v>8.333333333333334</v>
      </c>
      <c r="L230" s="11"/>
    </row>
    <row r="231" ht="17" customHeight="1">
      <c r="A231" s="4" t="str">
        <v>EV Вертикальный киль</v>
      </c>
      <c r="B231" s="4"/>
      <c r="C231" s="4"/>
      <c r="D231" s="4"/>
      <c r="E231" s="12" t="n">
        <v>1</v>
      </c>
      <c r="F231" s="11"/>
      <c r="G231" s="12" t="n">
        <f>'Расчёт'!$H$32*100*'Расчёт'!$H$158/10</f>
        <v>156</v>
      </c>
      <c r="H231" s="11"/>
      <c r="I231" s="12" t="n">
        <f>'Расчёт'!$H$32*50</f>
        <v>60</v>
      </c>
      <c r="J231" s="11"/>
      <c r="K231" s="12" t="n">
        <f>('Расчёт'!$H$32*100)^3*'Расчёт'!$H$158/10/12</f>
        <v>187200</v>
      </c>
      <c r="L231" s="11"/>
    </row>
    <row r="232" ht="17" customHeight="1">
      <c r="A232" s="4" t="str">
        <v>EG Днищевые стрингеры</v>
      </c>
      <c r="B232" s="4"/>
      <c r="C232" s="4"/>
      <c r="D232" s="4"/>
      <c r="E232" s="12" t="n">
        <v>2</v>
      </c>
      <c r="F232" s="11"/>
      <c r="G232" s="12" t="n">
        <f>'Расчёт'!$H$32*100*'Расчёт'!$H$159/10</f>
        <v>156</v>
      </c>
      <c r="H232" s="11"/>
      <c r="I232" s="12" t="n">
        <f>'Расчёт'!$H$32*50</f>
        <v>60</v>
      </c>
      <c r="J232" s="11"/>
      <c r="K232" s="12" t="n">
        <f>('Расчёт'!$H$32*100)^3*'Расчёт'!$H$159/10/12</f>
        <v>187200</v>
      </c>
      <c r="L232" s="11"/>
    </row>
    <row r="233" ht="29" customHeight="1">
      <c r="A233" s="4" t="str">
        <v>ELD Настил нижней палубы за вычетом люка</v>
      </c>
      <c r="B233" s="4"/>
      <c r="C233" s="4"/>
      <c r="D233" s="4"/>
      <c r="E233" s="12" t="n">
        <v>2</v>
      </c>
      <c r="F233" s="11"/>
      <c r="G233" s="13" t="n">
        <f>'Расчёт'!$H$44*100*'Расчёт'!$L$133/10</f>
        <v>441.0000000000001</v>
      </c>
      <c r="H233" s="11"/>
      <c r="I233" s="12" t="n">
        <f>'Расчёт'!$H$35*100</f>
        <v>570</v>
      </c>
      <c r="J233" s="11"/>
      <c r="K233" s="13" t="n">
        <f>'Расчёт'!$H$44*100*('Расчёт'!$L$133/10)^3/12</f>
        <v>29.76750000000001</v>
      </c>
      <c r="L233" s="11"/>
    </row>
    <row r="234" ht="17" customHeight="1">
      <c r="A234" s="4" t="str">
        <v>ED1 Верхняя палуба 1</v>
      </c>
      <c r="B234" s="4"/>
      <c r="C234" s="4"/>
      <c r="D234" s="4"/>
      <c r="E234" s="12" t="n">
        <v>2</v>
      </c>
      <c r="F234" s="11"/>
      <c r="G234" s="13" t="n">
        <f>'Расчёт'!$K$302*100*'Расчёт'!$L$132/10</f>
        <v>66.54681141189073</v>
      </c>
      <c r="H234" s="11"/>
      <c r="I234" s="13" t="n">
        <f>('Расчёт'!$G$302+'Расчёт'!$I$302)*50</f>
        <v>957.7522471910115</v>
      </c>
      <c r="J234" s="11"/>
      <c r="K234" s="13" t="n">
        <f>'Расчёт'!$K$302*100*'Расчёт'!$L$132/10*((('Расчёт'!$I$302-'Расчёт'!$G$302)*100)^2+('Расчёт'!$L$132/10)^2*(('Расчёт'!$E$302-'Расчёт'!$C$302)/'Расчёт'!$K$302)^2)/12</f>
        <v>29.558767986607396</v>
      </c>
      <c r="L234" s="11"/>
    </row>
    <row r="235" ht="17" customHeight="1">
      <c r="A235" s="4" t="str">
        <v>ED2 Верхняя палуба 2</v>
      </c>
      <c r="B235" s="4"/>
      <c r="C235" s="4"/>
      <c r="D235" s="4"/>
      <c r="E235" s="12" t="n">
        <v>2</v>
      </c>
      <c r="F235" s="11"/>
      <c r="G235" s="13" t="n">
        <f>'Расчёт'!$K$303*100*'Расчёт'!$L$132/10</f>
        <v>66.55498563767155</v>
      </c>
      <c r="H235" s="11"/>
      <c r="I235" s="13" t="n">
        <f>('Расчёт'!$G$303+'Расчёт'!$I$303)*50</f>
        <v>956.3837078651687</v>
      </c>
      <c r="J235" s="11"/>
      <c r="K235" s="13" t="n">
        <f>'Расчёт'!$K$303*100*'Расчёт'!$L$132/10*((('Расчёт'!$I$303-'Расчёт'!$G$303)*100)^2+('Расчёт'!$L$132/10)^2*(('Расчёт'!$E$303-'Расчёт'!$C$303)/'Расчёт'!$K$303)^2)/12</f>
        <v>31.22905066194725</v>
      </c>
      <c r="L235" s="11"/>
    </row>
    <row r="236" ht="17" customHeight="1">
      <c r="A236" s="4" t="str">
        <v>ED3 Верхняя палуба 3</v>
      </c>
      <c r="B236" s="4"/>
      <c r="C236" s="4"/>
      <c r="D236" s="4"/>
      <c r="E236" s="12" t="n">
        <v>2</v>
      </c>
      <c r="F236" s="11"/>
      <c r="G236" s="13" t="n">
        <f>'Расчёт'!$K$304*100*'Расчёт'!$L$132/10</f>
        <v>66.56381643156132</v>
      </c>
      <c r="H236" s="11"/>
      <c r="I236" s="13" t="n">
        <f>('Расчёт'!$G$304+'Расчёт'!$I$304)*50</f>
        <v>954.9050561797752</v>
      </c>
      <c r="J236" s="11"/>
      <c r="K236" s="13" t="n">
        <f>'Расчёт'!$K$304*100*'Расчёт'!$L$132/10*((('Расчёт'!$I$304-'Расчёт'!$G$304)*100)^2+('Расчёт'!$L$132/10)^2*(('Расчёт'!$E$304-'Расчёт'!$C$304)/'Расчёт'!$K$304)^2)/12</f>
        <v>33.03418617674371</v>
      </c>
      <c r="L236" s="11"/>
    </row>
    <row r="237" ht="17" customHeight="1">
      <c r="A237" s="4" t="str">
        <v>ED4 Верхняя палуба 4</v>
      </c>
      <c r="B237" s="4"/>
      <c r="C237" s="4"/>
      <c r="D237" s="4"/>
      <c r="E237" s="12" t="n">
        <v>2</v>
      </c>
      <c r="F237" s="11"/>
      <c r="G237" s="13" t="n">
        <f>'Расчёт'!$K$305*100*'Расчёт'!$L$132/10</f>
        <v>66.57330353228409</v>
      </c>
      <c r="H237" s="11"/>
      <c r="I237" s="13" t="n">
        <f>('Расчёт'!$G$305+'Расчёт'!$I$305)*50</f>
        <v>953.3162921348315</v>
      </c>
      <c r="J237" s="11"/>
      <c r="K237" s="13" t="n">
        <f>'Расчёт'!$K$305*100*'Расчёт'!$L$132/10*((('Расчёт'!$I$305-'Расчёт'!$G$305)*100)^2+('Расчёт'!$L$132/10)^2*(('Расчёт'!$E$305-'Расчёт'!$C$305)/'Расчёт'!$K$305)^2)/12</f>
        <v>34.97428169327025</v>
      </c>
      <c r="L237" s="11"/>
    </row>
    <row r="238" ht="17" customHeight="1">
      <c r="A238" s="4" t="str">
        <v>ED5 Верхняя палуба 5</v>
      </c>
      <c r="B238" s="4"/>
      <c r="C238" s="4"/>
      <c r="D238" s="4"/>
      <c r="E238" s="12" t="n">
        <v>2</v>
      </c>
      <c r="F238" s="11"/>
      <c r="G238" s="13" t="n">
        <f>'Расчёт'!$K$306*100*'Расчёт'!$L$132/10</f>
        <v>66.58344665929874</v>
      </c>
      <c r="H238" s="11"/>
      <c r="I238" s="13" t="n">
        <f>('Расчёт'!$G$306+'Расчёт'!$I$306)*50</f>
        <v>951.6174157303371</v>
      </c>
      <c r="J238" s="11"/>
      <c r="K238" s="13" t="n">
        <f>'Расчёт'!$K$306*100*'Расчёт'!$L$132/10*((('Расчёт'!$I$306-'Расчёт'!$G$306)*100)^2+('Расчёт'!$L$132/10)^2*(('Расчёт'!$E$306-'Расчёт'!$C$306)/'Расчёт'!$K$306)^2)/12</f>
        <v>37.049452314199236</v>
      </c>
      <c r="L238" s="11"/>
    </row>
    <row r="239" ht="17" customHeight="1">
      <c r="A239" s="4" t="str">
        <v>ED6 Верхняя палуба 6</v>
      </c>
      <c r="B239" s="4"/>
      <c r="C239" s="4"/>
      <c r="D239" s="4"/>
      <c r="E239" s="12" t="n">
        <v>2</v>
      </c>
      <c r="F239" s="11"/>
      <c r="G239" s="13" t="n">
        <f>'Расчёт'!$K$307*100*'Расчёт'!$L$132/10</f>
        <v>66.594245512843</v>
      </c>
      <c r="H239" s="11"/>
      <c r="I239" s="13" t="n">
        <f>('Расчёт'!$G$307+'Расчёт'!$I$307)*50</f>
        <v>949.8084269662921</v>
      </c>
      <c r="J239" s="11"/>
      <c r="K239" s="13" t="n">
        <f>'Расчёт'!$K$307*100*'Расчёт'!$L$132/10*((('Расчёт'!$I$307-'Расчёт'!$G$307)*100)^2+('Расчёт'!$L$132/10)^2*(('Расчёт'!$E$307-'Расчёт'!$C$307)/'Расчёт'!$K$307)^2)/12</f>
        <v>39.259821074072526</v>
      </c>
      <c r="L239" s="11"/>
    </row>
    <row r="240" ht="17" customHeight="1">
      <c r="A240" s="4" t="str">
        <v>ED7 Верхняя палуба 7</v>
      </c>
      <c r="B240" s="4"/>
      <c r="C240" s="4"/>
      <c r="D240" s="4"/>
      <c r="E240" s="12" t="n">
        <v>2</v>
      </c>
      <c r="F240" s="11"/>
      <c r="G240" s="13" t="n">
        <f>'Расчёт'!$K$308*100*'Расчёт'!$L$132/10</f>
        <v>66.60569977397599</v>
      </c>
      <c r="H240" s="11"/>
      <c r="I240" s="13" t="n">
        <f>('Расчёт'!$G$308+'Расчёт'!$I$308)*50</f>
        <v>947.8893258426968</v>
      </c>
      <c r="J240" s="11"/>
      <c r="K240" s="13" t="n">
        <f>'Расчёт'!$K$308*100*'Расчёт'!$L$132/10*((('Расчёт'!$I$308-'Расчёт'!$G$308)*100)^2+('Расчёт'!$L$132/10)^2*(('Расчёт'!$E$308-'Расчёт'!$C$308)/'Расчёт'!$K$308)^2)/12</f>
        <v>41.60551893022655</v>
      </c>
      <c r="L240" s="11"/>
    </row>
    <row r="241" ht="17" customHeight="1">
      <c r="A241" s="4" t="str">
        <v>ED8 Верхняя палуба 8</v>
      </c>
      <c r="B241" s="4"/>
      <c r="C241" s="4"/>
      <c r="D241" s="4"/>
      <c r="E241" s="12" t="n">
        <v>2</v>
      </c>
      <c r="F241" s="11"/>
      <c r="G241" s="13" t="n">
        <f>'Расчёт'!$K$309*100*'Расчёт'!$L$132/10</f>
        <v>66.61780910462518</v>
      </c>
      <c r="H241" s="11"/>
      <c r="I241" s="13" t="n">
        <f>('Расчёт'!$G$309+'Расчёт'!$I$309)*50</f>
        <v>945.8601123595507</v>
      </c>
      <c r="J241" s="11"/>
      <c r="K241" s="13" t="n">
        <f>'Расчёт'!$K$309*100*'Расчёт'!$L$132/10*((('Расчёт'!$I$309-'Расчёт'!$G$309)*100)^2+('Расчёт'!$L$132/10)^2*(('Расчёт'!$E$309-'Расчёт'!$C$309)/'Расчёт'!$K$309)^2)/12</f>
        <v>44.08668475308016</v>
      </c>
      <c r="L241" s="11"/>
    </row>
    <row r="242" ht="17" customHeight="1">
      <c r="A242" s="4" t="str">
        <v>ED9 Верхняя палуба 9</v>
      </c>
      <c r="B242" s="4"/>
      <c r="C242" s="4"/>
      <c r="D242" s="4"/>
      <c r="E242" s="12" t="n">
        <v>2</v>
      </c>
      <c r="F242" s="11"/>
      <c r="G242" s="13" t="n">
        <f>'Расчёт'!$K$310*100*'Расчёт'!$L$132/10</f>
        <v>66.63057314763672</v>
      </c>
      <c r="H242" s="11"/>
      <c r="I242" s="13" t="n">
        <f>('Расчёт'!$G$310+'Расчёт'!$I$310)*50</f>
        <v>943.7207865168539</v>
      </c>
      <c r="J242" s="11"/>
      <c r="K242" s="13" t="n">
        <f>'Расчёт'!$K$310*100*'Расчёт'!$L$132/10*((('Расчёт'!$I$310-'Расчёт'!$G$310)*100)^2+('Расчёт'!$L$132/10)^2*(('Расчёт'!$E$310-'Расчёт'!$C$310)/'Расчёт'!$K$310)^2)/12</f>
        <v>46.70346531587675</v>
      </c>
      <c r="L242" s="11"/>
    </row>
    <row r="243" ht="17" customHeight="1">
      <c r="A243" s="4" t="str">
        <v>ED10 Верхняя палуба 10</v>
      </c>
      <c r="B243" s="4"/>
      <c r="C243" s="4"/>
      <c r="D243" s="4"/>
      <c r="E243" s="12" t="n">
        <v>2</v>
      </c>
      <c r="F243" s="11"/>
      <c r="G243" s="13" t="n">
        <f>'Расчёт'!$K$311*100*'Расчёт'!$L$132/10</f>
        <v>66.64399152682813</v>
      </c>
      <c r="H243" s="11"/>
      <c r="I243" s="13" t="n">
        <f>('Расчёт'!$G$311+'Расчёт'!$I$311)*50</f>
        <v>941.4713483146068</v>
      </c>
      <c r="J243" s="11"/>
      <c r="K243" s="13" t="n">
        <f>'Расчёт'!$K$311*100*'Расчёт'!$L$132/10*((('Расчёт'!$I$311-'Расчёт'!$G$311)*100)^2+('Расчёт'!$L$132/10)^2*(('Расчёт'!$E$311-'Расчёт'!$C$311)/'Расчёт'!$K$311)^2)/12</f>
        <v>49.456015283896654</v>
      </c>
      <c r="L243" s="11"/>
    </row>
    <row r="244" ht="17" customHeight="1">
      <c r="A244" s="4" t="str">
        <v>ED11 Верхняя палуба 11</v>
      </c>
      <c r="B244" s="4"/>
      <c r="C244" s="4"/>
      <c r="D244" s="4"/>
      <c r="E244" s="12" t="n">
        <v>2</v>
      </c>
      <c r="F244" s="11"/>
      <c r="G244" s="13" t="n">
        <f>'Расчёт'!$K$312*100*'Расчёт'!$L$132/10</f>
        <v>66.65806384704253</v>
      </c>
      <c r="H244" s="11"/>
      <c r="I244" s="13" t="n">
        <f>('Расчёт'!$G$312+'Расчёт'!$I$312)*50</f>
        <v>939.111797752809</v>
      </c>
      <c r="J244" s="11"/>
      <c r="K244" s="13" t="n">
        <f>'Расчёт'!$K$312*100*'Расчёт'!$L$132/10*((('Расчёт'!$I$312-'Расчёт'!$G$312)*100)^2+('Расчёт'!$L$132/10)^2*(('Расчёт'!$E$312-'Расчёт'!$C$312)/'Расчёт'!$K$312)^2)/12</f>
        <v>52.34449720302276</v>
      </c>
      <c r="L244" s="11"/>
    </row>
    <row r="245" ht="17" customHeight="1">
      <c r="A245" s="4" t="str">
        <v>ED12 Верхняя палуба 12</v>
      </c>
      <c r="B245" s="4"/>
      <c r="C245" s="4"/>
      <c r="D245" s="4"/>
      <c r="E245" s="12" t="n">
        <v>2</v>
      </c>
      <c r="F245" s="11"/>
      <c r="G245" s="13" t="n">
        <f>'Расчёт'!$K$313*100*'Расчёт'!$L$132/10</f>
        <v>66.67278969420617</v>
      </c>
      <c r="H245" s="11"/>
      <c r="I245" s="13" t="n">
        <f>('Расчёт'!$G$313+'Расчёт'!$I$313)*50</f>
        <v>936.6421348314608</v>
      </c>
      <c r="J245" s="11"/>
      <c r="K245" s="13" t="n">
        <f>'Расчёт'!$K$313*100*'Расчёт'!$L$132/10*((('Расчёт'!$I$313-'Расчёт'!$G$313)*100)^2+('Расчёт'!$L$132/10)^2*(('Расчёт'!$E$313-'Расчёт'!$C$313)/'Расчёт'!$K$313)^2)/12</f>
        <v>55.36908148780345</v>
      </c>
      <c r="L245" s="11"/>
    </row>
    <row r="246" ht="17" customHeight="1">
      <c r="A246" s="4" t="str">
        <v>ED13 Верхняя палуба 13</v>
      </c>
      <c r="B246" s="4"/>
      <c r="C246" s="4"/>
      <c r="D246" s="4"/>
      <c r="E246" s="12" t="n">
        <v>2</v>
      </c>
      <c r="F246" s="11"/>
      <c r="G246" s="13" t="n">
        <f>'Расчёт'!$K$314*100*'Расчёт'!$L$132/10</f>
        <v>66.68816863539192</v>
      </c>
      <c r="H246" s="11"/>
      <c r="I246" s="13" t="n">
        <f>('Расчёт'!$G$314+'Расчёт'!$I$314)*50</f>
        <v>934.062359550562</v>
      </c>
      <c r="J246" s="11"/>
      <c r="K246" s="13" t="n">
        <f>'Расчёт'!$K$314*100*'Расчёт'!$L$132/10*((('Расчёт'!$I$314-'Расчёт'!$G$314)*100)^2+('Расчёт'!$L$132/10)^2*(('Расчёт'!$E$314-'Расчёт'!$C$314)/'Расчёт'!$K$314)^2)/12</f>
        <v>58.529946408937896</v>
      </c>
      <c r="L246" s="11"/>
    </row>
    <row r="247" ht="17" customHeight="1">
      <c r="A247" s="4" t="str">
        <v>ED14 Верхняя палуба 14</v>
      </c>
      <c r="B247" s="4"/>
      <c r="C247" s="4"/>
      <c r="D247" s="4"/>
      <c r="E247" s="12" t="n">
        <v>2</v>
      </c>
      <c r="F247" s="11"/>
      <c r="G247" s="13" t="n">
        <f>'Расчёт'!$K$315*100*'Расчёт'!$L$132/10</f>
        <v>66.70420021887703</v>
      </c>
      <c r="H247" s="11"/>
      <c r="I247" s="13" t="n">
        <f>('Расчёт'!$G$315+'Расчёт'!$I$315)*50</f>
        <v>931.3724719101124</v>
      </c>
      <c r="J247" s="11"/>
      <c r="K247" s="13" t="n">
        <f>'Расчёт'!$K$315*100*'Расчёт'!$L$132/10*((('Расчёт'!$I$315-'Расчёт'!$G$315)*100)^2+('Расчёт'!$L$132/10)^2*(('Расчёт'!$E$315-'Расчёт'!$C$315)/'Расчёт'!$K$315)^2)/12</f>
        <v>61.82727808016978</v>
      </c>
      <c r="L247" s="11"/>
    </row>
    <row r="248" ht="17" customHeight="1">
      <c r="A248" s="4" t="str">
        <v>EBL Продольные балки днища</v>
      </c>
      <c r="B248" s="4"/>
      <c r="C248" s="4"/>
      <c r="D248" s="4"/>
      <c r="E248" s="12" t="n">
        <v>18</v>
      </c>
      <c r="F248" s="11"/>
      <c r="G248" s="12" t="n">
        <f>'Расчёт'!$I$144</f>
        <v>29</v>
      </c>
      <c r="H248" s="11"/>
      <c r="I248" s="13" t="n">
        <f>'Расчёт'!$J$144</f>
        <v>13.4</v>
      </c>
      <c r="J248" s="11"/>
      <c r="K248" s="12" t="n">
        <f>'Расчёт'!$K$144</f>
        <v>1400</v>
      </c>
      <c r="L248" s="11"/>
    </row>
    <row r="249" ht="17" customHeight="1">
      <c r="A249" s="4" t="str">
        <v>EIL Продольные балки второго дна</v>
      </c>
      <c r="B249" s="4"/>
      <c r="C249" s="4"/>
      <c r="D249" s="4"/>
      <c r="E249" s="12" t="n">
        <v>22</v>
      </c>
      <c r="F249" s="11"/>
      <c r="G249" s="13" t="n">
        <f>'Расчёт'!$I$145</f>
        <v>22.5</v>
      </c>
      <c r="H249" s="11"/>
      <c r="I249" s="13" t="n">
        <f>'Расчёт'!$H$32*100-'Расчёт'!$J$145</f>
        <v>109.4</v>
      </c>
      <c r="J249" s="11"/>
      <c r="K249" s="12" t="n">
        <f>'Расчёт'!$K$145</f>
        <v>717</v>
      </c>
      <c r="L249" s="11"/>
    </row>
    <row r="250" ht="17" customHeight="1">
      <c r="A250" s="4" t="str">
        <v>EDL1 Продольная балка палубы 1</v>
      </c>
      <c r="B250" s="4"/>
      <c r="C250" s="4"/>
      <c r="D250" s="4"/>
      <c r="E250" s="12" t="n">
        <v>2</v>
      </c>
      <c r="F250" s="11"/>
      <c r="G250" s="13" t="n">
        <f>'Расчёт'!$I$180</f>
        <v>9.74</v>
      </c>
      <c r="H250" s="11"/>
      <c r="I250" s="13" t="n">
        <f>('Расчёт'!$H$24+'Расчёт'!$H$34*(1-(('Расчёт'!$H$36/2+1*'Расчёт'!$H$42)/('Расчёт'!$H$23/2))^2))*100-'Расчёт'!$J$180</f>
        <v>949.8919101123596</v>
      </c>
      <c r="J250" s="11"/>
      <c r="K250" s="13" t="n">
        <f>'Расчёт'!$K$180</f>
        <v>94.3</v>
      </c>
      <c r="L250" s="11"/>
    </row>
    <row r="251" ht="17" customHeight="1">
      <c r="A251" s="4" t="str">
        <v>EDL2 Продольная балка палубы 2</v>
      </c>
      <c r="B251" s="4"/>
      <c r="C251" s="4"/>
      <c r="D251" s="4"/>
      <c r="E251" s="12" t="n">
        <v>2</v>
      </c>
      <c r="F251" s="11"/>
      <c r="G251" s="13" t="n">
        <f>'Расчёт'!$I$180</f>
        <v>9.74</v>
      </c>
      <c r="H251" s="11"/>
      <c r="I251" s="13" t="n">
        <f>('Расчёт'!$H$24+'Расчёт'!$H$34*(1-(('Расчёт'!$H$36/2+2*'Расчёт'!$H$42)/('Расчёт'!$H$23/2))^2))*100-'Расчёт'!$J$180</f>
        <v>946.7143820224721</v>
      </c>
      <c r="J251" s="11"/>
      <c r="K251" s="13" t="n">
        <f>'Расчёт'!$K$180</f>
        <v>94.3</v>
      </c>
      <c r="L251" s="11"/>
    </row>
    <row r="252" ht="17" customHeight="1">
      <c r="A252" s="4" t="str">
        <v>EDL3 Продольная балка палубы 3</v>
      </c>
      <c r="B252" s="4"/>
      <c r="C252" s="4"/>
      <c r="D252" s="4"/>
      <c r="E252" s="12" t="n">
        <v>2</v>
      </c>
      <c r="F252" s="11"/>
      <c r="G252" s="13" t="n">
        <f>'Расчёт'!$I$180</f>
        <v>9.74</v>
      </c>
      <c r="H252" s="11"/>
      <c r="I252" s="13" t="n">
        <f>('Расчёт'!$H$24+'Расчёт'!$H$34*(1-(('Расчёт'!$H$36/2+3*'Расчёт'!$H$42)/('Расчёт'!$H$23/2))^2))*100-'Расчёт'!$J$180</f>
        <v>943.0964044943821</v>
      </c>
      <c r="J252" s="11"/>
      <c r="K252" s="13" t="n">
        <f>'Расчёт'!$K$180</f>
        <v>94.3</v>
      </c>
      <c r="L252" s="11"/>
    </row>
    <row r="253" ht="17" customHeight="1">
      <c r="A253" s="4" t="str">
        <v>EDL4 Продольная балка палубы 4</v>
      </c>
      <c r="B253" s="4"/>
      <c r="C253" s="4"/>
      <c r="D253" s="4"/>
      <c r="E253" s="12" t="n">
        <v>2</v>
      </c>
      <c r="F253" s="11"/>
      <c r="G253" s="13" t="n">
        <f>'Расчёт'!$I$180</f>
        <v>9.74</v>
      </c>
      <c r="H253" s="11"/>
      <c r="I253" s="13" t="n">
        <f>('Расчёт'!$H$24+'Расчёт'!$H$34*(1-(('Расчёт'!$H$36/2+4*'Расчёт'!$H$42)/('Расчёт'!$H$23/2))^2))*100-'Расчёт'!$J$180</f>
        <v>939.0379775280899</v>
      </c>
      <c r="J253" s="11"/>
      <c r="K253" s="13" t="n">
        <f>'Расчёт'!$K$180</f>
        <v>94.3</v>
      </c>
      <c r="L253" s="11"/>
    </row>
    <row r="254" ht="17" customHeight="1">
      <c r="A254" s="4" t="str">
        <v>EDL5 Продольная балка палубы 5</v>
      </c>
      <c r="B254" s="4"/>
      <c r="C254" s="4"/>
      <c r="D254" s="4"/>
      <c r="E254" s="12" t="n">
        <v>2</v>
      </c>
      <c r="F254" s="11"/>
      <c r="G254" s="13" t="n">
        <f>'Расчёт'!$I$180</f>
        <v>9.74</v>
      </c>
      <c r="H254" s="11"/>
      <c r="I254" s="13" t="n">
        <f>('Расчёт'!$H$24+'Расчёт'!$H$34*(1-(('Расчёт'!$H$36/2+5*'Расчёт'!$H$42)/('Расчёт'!$H$23/2))^2))*100-'Расчёт'!$J$180</f>
        <v>934.5391011235956</v>
      </c>
      <c r="J254" s="11"/>
      <c r="K254" s="13" t="n">
        <f>'Расчёт'!$K$180</f>
        <v>94.3</v>
      </c>
      <c r="L254" s="11"/>
    </row>
    <row r="255" ht="17" customHeight="1">
      <c r="A255" s="4" t="str">
        <v>EDL6 Продольная балка палубы 6</v>
      </c>
      <c r="B255" s="4"/>
      <c r="C255" s="4"/>
      <c r="D255" s="4"/>
      <c r="E255" s="12" t="n">
        <v>2</v>
      </c>
      <c r="F255" s="11"/>
      <c r="G255" s="13" t="n">
        <f>'Расчёт'!$I$180</f>
        <v>9.74</v>
      </c>
      <c r="H255" s="11"/>
      <c r="I255" s="13" t="n">
        <f>('Расчёт'!$H$24+'Расчёт'!$H$34*(1-(('Расчёт'!$H$36/2+6*'Расчёт'!$H$42)/('Расчёт'!$H$23/2))^2))*100-'Расчёт'!$J$180</f>
        <v>929.599775280899</v>
      </c>
      <c r="J255" s="11"/>
      <c r="K255" s="13" t="n">
        <f>'Расчёт'!$K$180</f>
        <v>94.3</v>
      </c>
      <c r="L255" s="11"/>
    </row>
    <row r="256" ht="17" customHeight="1">
      <c r="A256" s="4" t="str">
        <v>EDGW Стенка карлингса DG</v>
      </c>
      <c r="B256" s="4"/>
      <c r="C256" s="4"/>
      <c r="D256" s="4"/>
      <c r="E256" s="12" t="n">
        <v>2</v>
      </c>
      <c r="F256" s="11"/>
      <c r="G256" s="12" t="n">
        <f>'Расчёт'!$G$202</f>
        <v>50</v>
      </c>
      <c r="H256" s="11"/>
      <c r="I256" s="13" t="n">
        <f>'Расчёт'!$H$60*100-'Расчёт'!$J$198/2</f>
        <v>933.408988764045</v>
      </c>
      <c r="J256" s="11"/>
      <c r="K256" s="13" t="n">
        <f>'Расчёт'!$J$194*'Расчёт'!$J$198^3*'Расчёт'!$K$198/12</f>
        <v>10416.666666666666</v>
      </c>
      <c r="L256" s="11"/>
    </row>
    <row r="257" ht="17" customHeight="1">
      <c r="A257" s="4" t="str">
        <v>EDGF Поясок карлингса DG</v>
      </c>
      <c r="B257" s="4"/>
      <c r="C257" s="4"/>
      <c r="D257" s="4"/>
      <c r="E257" s="12" t="n">
        <v>2</v>
      </c>
      <c r="F257" s="11"/>
      <c r="G257" s="13" t="n">
        <f>'Расчёт'!$I$202</f>
        <v>62.5</v>
      </c>
      <c r="H257" s="11"/>
      <c r="I257" s="13" t="n">
        <f>'Расчёт'!$H$60*100-'Расчёт'!$J$198-'Расчёт'!$E$202/2</f>
        <v>907.158988764045</v>
      </c>
      <c r="J257" s="11"/>
      <c r="K257" s="13" t="n">
        <f>'Расчёт'!$C$202*'Расчёт'!$E$202^3/12</f>
        <v>32.552083333333336</v>
      </c>
      <c r="L257" s="11"/>
    </row>
    <row r="258" ht="17" customHeight="1">
      <c r="A258" s="4" t="str">
        <v>ELGW Стенка карлингса LG</v>
      </c>
      <c r="B258" s="4"/>
      <c r="C258" s="4"/>
      <c r="D258" s="4"/>
      <c r="E258" s="12" t="n">
        <v>2</v>
      </c>
      <c r="F258" s="11"/>
      <c r="G258" s="12" t="n">
        <f>'Расчёт'!$G$203</f>
        <v>132</v>
      </c>
      <c r="H258" s="11"/>
      <c r="I258" s="13" t="n">
        <f>'Расчёт'!$H$35*100-'Расчёт'!$J$199/2</f>
        <v>542.5</v>
      </c>
      <c r="J258" s="11"/>
      <c r="K258" s="12" t="n">
        <f>'Расчёт'!$J$195*'Расчёт'!$J$199^3*'Расчёт'!$K$199/12</f>
        <v>33275</v>
      </c>
      <c r="L258" s="11"/>
    </row>
    <row r="259" ht="17" customHeight="1">
      <c r="A259" s="4" t="str">
        <v>ELGF Поясок карлингса LG</v>
      </c>
      <c r="B259" s="4"/>
      <c r="C259" s="4"/>
      <c r="D259" s="4"/>
      <c r="E259" s="12" t="n">
        <v>2</v>
      </c>
      <c r="F259" s="11"/>
      <c r="G259" s="13" t="n">
        <f>'Расчёт'!$I$203</f>
        <v>192.5</v>
      </c>
      <c r="H259" s="11"/>
      <c r="I259" s="13" t="n">
        <f>'Расчёт'!$H$35*100-'Расчёт'!$J$199-'Расчёт'!$E$203/2</f>
        <v>513.75</v>
      </c>
      <c r="J259" s="11"/>
      <c r="K259" s="13" t="n">
        <f>'Расчёт'!$C$203*'Расчёт'!$E$203^3/12</f>
        <v>100.26041666666667</v>
      </c>
      <c r="L259" s="11"/>
    </row>
    <row r="260" ht="25" customHeight="1">
      <c r="A260" s="7" t="str">
        <v>Площади и моменты элементов полного сечения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</row>
    <row r="261" ht="28" customHeight="1">
      <c r="A261" s="10" t="str">
        <v>Марка</v>
      </c>
      <c r="B261" s="10"/>
      <c r="C261" s="10" t="str">
        <v>nAi, см²</v>
      </c>
      <c r="D261" s="10"/>
      <c r="E261" s="10"/>
      <c r="F261" s="10" t="str">
        <v>nAizi, см³</v>
      </c>
      <c r="G261" s="10"/>
      <c r="H261" s="10"/>
      <c r="I261" s="10" t="str">
        <v>IОП, см⁴</v>
      </c>
      <c r="J261" s="10"/>
      <c r="K261" s="10"/>
      <c r="L261" s="10"/>
    </row>
    <row r="262" ht="17" customHeight="1">
      <c r="A262" s="4" t="str">
        <v>EK</v>
      </c>
      <c r="B262" s="4"/>
      <c r="C262" s="13" t="n">
        <f>'Расчёт'!$E$222*'Расчёт'!$G$222</f>
        <v>174.85</v>
      </c>
      <c r="D262" s="11"/>
      <c r="E262" s="11"/>
      <c r="F262" s="12" t="n">
        <f>'Расчёт'!$C$262*'Расчёт'!$I$222</f>
        <v>0</v>
      </c>
      <c r="G262" s="11"/>
      <c r="H262" s="11"/>
      <c r="I262" s="13" t="n">
        <f>'Расчёт'!$E$222*'Расчёт'!$K$222+'Расчёт'!$C$262*'Расчёт'!$I$222^2</f>
        <v>24.624708333333334</v>
      </c>
      <c r="J262" s="11"/>
      <c r="K262" s="11"/>
      <c r="L262" s="11"/>
    </row>
    <row r="263" ht="17" customHeight="1">
      <c r="A263" s="4" t="str">
        <v>EB</v>
      </c>
      <c r="B263" s="4"/>
      <c r="C263" s="13" t="n">
        <f>'Расчёт'!$E$223*'Расчёт'!$G$223</f>
        <v>1458.05</v>
      </c>
      <c r="D263" s="11"/>
      <c r="E263" s="11"/>
      <c r="F263" s="12" t="n">
        <f>'Расчёт'!$C$263*'Расчёт'!$I$223</f>
        <v>0</v>
      </c>
      <c r="G263" s="11"/>
      <c r="H263" s="11"/>
      <c r="I263" s="13" t="n">
        <f>'Расчёт'!$E$223*'Расчёт'!$K$223+'Расчёт'!$C$263*'Расчёт'!$I$223^2</f>
        <v>147.0200416666667</v>
      </c>
      <c r="J263" s="11"/>
      <c r="K263" s="11"/>
      <c r="L263" s="11"/>
    </row>
    <row r="264" ht="17" customHeight="1">
      <c r="A264" s="4" t="str">
        <v>ER</v>
      </c>
      <c r="B264" s="4"/>
      <c r="C264" s="13" t="n">
        <f>'Расчёт'!$E$224*'Расчёт'!$G$224</f>
        <v>552.9203070318036</v>
      </c>
      <c r="D264" s="11"/>
      <c r="E264" s="11"/>
      <c r="F264" s="13" t="n">
        <f>'Расчёт'!$C$264*'Расчёт'!$I$224</f>
        <v>32147.249125088576</v>
      </c>
      <c r="G264" s="11"/>
      <c r="H264" s="11"/>
      <c r="I264" s="14" t="n">
        <f>'Расчёт'!$E$224*'Расчёт'!$K$224+'Расчёт'!$C$264*'Расчёт'!$I$224^2</f>
        <v>3209767.6664200705</v>
      </c>
      <c r="J264" s="11"/>
      <c r="K264" s="11"/>
      <c r="L264" s="11"/>
    </row>
    <row r="265" ht="17" customHeight="1">
      <c r="A265" s="4" t="str">
        <v>ESE</v>
      </c>
      <c r="B265" s="4"/>
      <c r="C265" s="12" t="n">
        <f>'Расчёт'!$E$225*'Расчёт'!$G$225</f>
        <v>440</v>
      </c>
      <c r="D265" s="11"/>
      <c r="E265" s="11"/>
      <c r="F265" s="12" t="n">
        <f>'Расчёт'!$C$265*'Расчёт'!$I$225</f>
        <v>114400</v>
      </c>
      <c r="G265" s="11"/>
      <c r="H265" s="11"/>
      <c r="I265" s="14" t="n">
        <f>'Расчёт'!$E$225*'Расчёт'!$K$225+'Расчёт'!$C$265*'Расчёт'!$I$225^2</f>
        <v>31210666.666666668</v>
      </c>
      <c r="J265" s="11"/>
      <c r="K265" s="11"/>
      <c r="L265" s="11"/>
    </row>
    <row r="266" ht="17" customHeight="1">
      <c r="A266" s="4" t="str">
        <v>ESF</v>
      </c>
      <c r="B266" s="4"/>
      <c r="C266" s="13" t="n">
        <f>'Расчёт'!$E$226*'Расчёт'!$G$226</f>
        <v>399.9999999999999</v>
      </c>
      <c r="D266" s="11"/>
      <c r="E266" s="11"/>
      <c r="F266" s="13" t="n">
        <f>'Расчёт'!$C$266*'Расчёт'!$I$226</f>
        <v>183999.9999999999</v>
      </c>
      <c r="G266" s="11"/>
      <c r="H266" s="11"/>
      <c r="I266" s="14" t="n">
        <f>'Расчёт'!$E$226*'Расчёт'!$K$226+'Расчёт'!$C$266*'Расчёт'!$I$226^2</f>
        <v>85973333.33333328</v>
      </c>
      <c r="J266" s="11"/>
      <c r="K266" s="11"/>
      <c r="L266" s="11"/>
    </row>
    <row r="267" ht="17" customHeight="1">
      <c r="A267" s="4" t="str">
        <v>ESG</v>
      </c>
      <c r="B267" s="4"/>
      <c r="C267" s="13" t="n">
        <f>'Расчёт'!$E$227*'Расчёт'!$G$227</f>
        <v>471.0000000000003</v>
      </c>
      <c r="D267" s="11"/>
      <c r="E267" s="11"/>
      <c r="F267" s="13" t="n">
        <f>'Расчёт'!$C$267*'Расчёт'!$I$227</f>
        <v>319220.2500000002</v>
      </c>
      <c r="G267" s="11"/>
      <c r="H267" s="11"/>
      <c r="I267" s="14" t="n">
        <f>'Расчёт'!$E$227*'Расчёт'!$K$227+'Расчёт'!$C$267*'Расчёт'!$I$227^2</f>
        <v>218528339.25000012</v>
      </c>
      <c r="J267" s="11"/>
      <c r="K267" s="11"/>
      <c r="L267" s="11"/>
    </row>
    <row r="268" ht="17" customHeight="1">
      <c r="A268" s="4" t="str">
        <v>ESH</v>
      </c>
      <c r="B268" s="4"/>
      <c r="C268" s="13" t="n">
        <f>'Расчёт'!$E$228*'Расчёт'!$G$228</f>
        <v>268.99999999999994</v>
      </c>
      <c r="D268" s="11"/>
      <c r="E268" s="11"/>
      <c r="F268" s="13" t="n">
        <f>'Расчёт'!$C$268*'Расчёт'!$I$228</f>
        <v>232079.74999999997</v>
      </c>
      <c r="G268" s="11"/>
      <c r="H268" s="11"/>
      <c r="I268" s="14" t="n">
        <f>'Расчёт'!$E$228*'Расчёт'!$K$228+'Расчёт'!$C$268*'Расчёт'!$I$228^2</f>
        <v>200632327.4166667</v>
      </c>
      <c r="J268" s="11"/>
      <c r="K268" s="11"/>
      <c r="L268" s="11"/>
    </row>
    <row r="269" ht="17" customHeight="1">
      <c r="A269" s="4" t="str">
        <v>EI</v>
      </c>
      <c r="B269" s="4"/>
      <c r="C269" s="13" t="n">
        <f>'Расчёт'!$E$229*'Расчёт'!$G$229</f>
        <v>1412.854800926934</v>
      </c>
      <c r="D269" s="11"/>
      <c r="E269" s="11"/>
      <c r="F269" s="13" t="n">
        <f>'Расчёт'!$C$269*'Расчёт'!$I$229</f>
        <v>169542.5761112321</v>
      </c>
      <c r="G269" s="11"/>
      <c r="H269" s="11"/>
      <c r="I269" s="14" t="n">
        <f>'Расчёт'!$E$229*'Расчёт'!$K$229+'Расчёт'!$C$269*'Расчёт'!$I$229^2</f>
        <v>20345204.501046915</v>
      </c>
      <c r="J269" s="11"/>
      <c r="K269" s="11"/>
      <c r="L269" s="11"/>
    </row>
    <row r="270" ht="17" customHeight="1">
      <c r="A270" s="4" t="str">
        <v>EM</v>
      </c>
      <c r="B270" s="4"/>
      <c r="C270" s="12" t="n">
        <f>'Расчёт'!$E$230*'Расчёт'!$G$230</f>
        <v>200</v>
      </c>
      <c r="D270" s="11"/>
      <c r="E270" s="11"/>
      <c r="F270" s="12" t="n">
        <f>'Расчёт'!$C$270*'Расчёт'!$I$230</f>
        <v>24000</v>
      </c>
      <c r="G270" s="11"/>
      <c r="H270" s="11"/>
      <c r="I270" s="14" t="n">
        <f>'Расчёт'!$E$230*'Расчёт'!$K$230+'Расчёт'!$C$270*'Расчёт'!$I$230^2</f>
        <v>2880016.6666666665</v>
      </c>
      <c r="J270" s="11"/>
      <c r="K270" s="11"/>
      <c r="L270" s="11"/>
    </row>
    <row r="271" ht="17" customHeight="1">
      <c r="A271" s="4" t="str">
        <v>EV</v>
      </c>
      <c r="B271" s="4"/>
      <c r="C271" s="12" t="n">
        <f>'Расчёт'!$E$231*'Расчёт'!$G$231</f>
        <v>156</v>
      </c>
      <c r="D271" s="11"/>
      <c r="E271" s="11"/>
      <c r="F271" s="12" t="n">
        <f>'Расчёт'!$C$271*'Расчёт'!$I$231</f>
        <v>9360</v>
      </c>
      <c r="G271" s="11"/>
      <c r="H271" s="11"/>
      <c r="I271" s="12" t="n">
        <f>'Расчёт'!$E$231*'Расчёт'!$K$231+'Расчёт'!$C$271*'Расчёт'!$I$231^2</f>
        <v>748800</v>
      </c>
      <c r="J271" s="11"/>
      <c r="K271" s="11"/>
      <c r="L271" s="11"/>
    </row>
    <row r="272" ht="17" customHeight="1">
      <c r="A272" s="4" t="str">
        <v>EG</v>
      </c>
      <c r="B272" s="4"/>
      <c r="C272" s="12" t="n">
        <f>'Расчёт'!$E$232*'Расчёт'!$G$232</f>
        <v>312</v>
      </c>
      <c r="D272" s="11"/>
      <c r="E272" s="11"/>
      <c r="F272" s="12" t="n">
        <f>'Расчёт'!$C$272*'Расчёт'!$I$232</f>
        <v>18720</v>
      </c>
      <c r="G272" s="11"/>
      <c r="H272" s="11"/>
      <c r="I272" s="14" t="n">
        <f>'Расчёт'!$E$232*'Расчёт'!$K$232+'Расчёт'!$C$272*'Расчёт'!$I$232^2</f>
        <v>1497600</v>
      </c>
      <c r="J272" s="11"/>
      <c r="K272" s="11"/>
      <c r="L272" s="11"/>
    </row>
    <row r="273" ht="17" customHeight="1">
      <c r="A273" s="4" t="str">
        <v>ELD</v>
      </c>
      <c r="B273" s="4"/>
      <c r="C273" s="13" t="n">
        <f>'Расчёт'!$E$233*'Расчёт'!$G$233</f>
        <v>882.0000000000002</v>
      </c>
      <c r="D273" s="11"/>
      <c r="E273" s="11"/>
      <c r="F273" s="13" t="n">
        <f>'Расчёт'!$C$273*'Расчёт'!$I$233</f>
        <v>502740.0000000001</v>
      </c>
      <c r="G273" s="11"/>
      <c r="H273" s="11"/>
      <c r="I273" s="14" t="n">
        <f>'Расчёт'!$E$233*'Расчёт'!$K$233+'Расчёт'!$C$273*'Расчёт'!$I$233^2</f>
        <v>286561859.5350001</v>
      </c>
      <c r="J273" s="11"/>
      <c r="K273" s="11"/>
      <c r="L273" s="11"/>
    </row>
    <row r="274" ht="17" customHeight="1">
      <c r="A274" s="4" t="str">
        <v>ED1</v>
      </c>
      <c r="B274" s="4"/>
      <c r="C274" s="13" t="n">
        <f>'Расчёт'!$E$234*'Расчёт'!$G$234</f>
        <v>133.09362282378146</v>
      </c>
      <c r="D274" s="11"/>
      <c r="E274" s="11"/>
      <c r="F274" s="13" t="n">
        <f>'Расчёт'!$C$274*'Расчёт'!$I$234</f>
        <v>127470.71634626959</v>
      </c>
      <c r="G274" s="11"/>
      <c r="H274" s="11"/>
      <c r="I274" s="14" t="n">
        <f>'Расчёт'!$E$234*'Расчёт'!$K$234+'Расчёт'!$C$274*'Расчёт'!$I$234^2</f>
        <v>122085424.14922369</v>
      </c>
      <c r="J274" s="11"/>
      <c r="K274" s="11"/>
      <c r="L274" s="11"/>
    </row>
    <row r="275" ht="17" customHeight="1">
      <c r="A275" s="4" t="str">
        <v>ED2</v>
      </c>
      <c r="B275" s="4"/>
      <c r="C275" s="13" t="n">
        <f>'Расчёт'!$E$235*'Расчёт'!$G$235</f>
        <v>133.1099712753431</v>
      </c>
      <c r="D275" s="11"/>
      <c r="E275" s="11"/>
      <c r="F275" s="13" t="n">
        <f>'Расчёт'!$C$275*'Расчёт'!$I$235</f>
        <v>127304.20788213874</v>
      </c>
      <c r="G275" s="11"/>
      <c r="H275" s="11"/>
      <c r="I275" s="14" t="n">
        <f>'Расчёт'!$E$235*'Расчёт'!$K$235+'Расчёт'!$C$275*'Расчёт'!$I$235^2</f>
        <v>121751732.81925939</v>
      </c>
      <c r="J275" s="11"/>
      <c r="K275" s="11"/>
      <c r="L275" s="11"/>
    </row>
    <row r="276" ht="17" customHeight="1">
      <c r="A276" s="4" t="str">
        <v>ED3</v>
      </c>
      <c r="B276" s="4"/>
      <c r="C276" s="13" t="n">
        <f>'Расчёт'!$E$236*'Расчёт'!$G$236</f>
        <v>133.12763286312264</v>
      </c>
      <c r="D276" s="11"/>
      <c r="E276" s="11"/>
      <c r="F276" s="13" t="n">
        <f>'Расчёт'!$C$276*'Расчёт'!$I$236</f>
        <v>127124.24973824061</v>
      </c>
      <c r="G276" s="11"/>
      <c r="H276" s="11"/>
      <c r="I276" s="14" t="n">
        <f>'Расчёт'!$E$236*'Расчёт'!$K$236+'Расчёт'!$C$276*'Расчёт'!$I$236^2</f>
        <v>121391654.90647879</v>
      </c>
      <c r="J276" s="11"/>
      <c r="K276" s="11"/>
      <c r="L276" s="11"/>
    </row>
    <row r="277" ht="17" customHeight="1">
      <c r="A277" s="4" t="str">
        <v>ED4</v>
      </c>
      <c r="B277" s="4"/>
      <c r="C277" s="13" t="n">
        <f>'Расчёт'!$E$237*'Расчёт'!$G$237</f>
        <v>133.14660706456817</v>
      </c>
      <c r="D277" s="11"/>
      <c r="E277" s="11"/>
      <c r="F277" s="13" t="n">
        <f>'Расчёт'!$C$277*'Расчёт'!$I$237</f>
        <v>126930.8297571275</v>
      </c>
      <c r="G277" s="11"/>
      <c r="H277" s="11"/>
      <c r="I277" s="14" t="n">
        <f>'Расчёт'!$E$237*'Расчёт'!$K$237+'Расчёт'!$C$277*'Расчёт'!$I$237^2</f>
        <v>121005297.93022572</v>
      </c>
      <c r="J277" s="11"/>
      <c r="K277" s="11"/>
      <c r="L277" s="11"/>
    </row>
    <row r="278" ht="17" customHeight="1">
      <c r="A278" s="4" t="str">
        <v>ED5</v>
      </c>
      <c r="B278" s="4"/>
      <c r="C278" s="13" t="n">
        <f>'Расчёт'!$E$238*'Расчёт'!$G$238</f>
        <v>133.1668933185975</v>
      </c>
      <c r="D278" s="11"/>
      <c r="E278" s="11"/>
      <c r="F278" s="13" t="n">
        <f>'Расчёт'!$C$278*'Расчёт'!$I$238</f>
        <v>126723.93488068123</v>
      </c>
      <c r="G278" s="11"/>
      <c r="H278" s="11"/>
      <c r="I278" s="14" t="n">
        <f>'Расчёт'!$E$238*'Расчёт'!$K$238+'Расчёт'!$C$278*'Расчёт'!$I$238^2</f>
        <v>120592777.52123804</v>
      </c>
      <c r="J278" s="11"/>
      <c r="K278" s="11"/>
      <c r="L278" s="11"/>
    </row>
    <row r="279" ht="17" customHeight="1">
      <c r="A279" s="4" t="str">
        <v>ED6</v>
      </c>
      <c r="B279" s="4"/>
      <c r="C279" s="13" t="n">
        <f>'Расчёт'!$E$239*'Расчёт'!$G$239</f>
        <v>133.188491025686</v>
      </c>
      <c r="D279" s="11"/>
      <c r="E279" s="11"/>
      <c r="F279" s="13" t="n">
        <f>'Расчёт'!$C$279*'Расчёт'!$I$239</f>
        <v>126503.55115112095</v>
      </c>
      <c r="G279" s="11"/>
      <c r="H279" s="11"/>
      <c r="I279" s="14" t="n">
        <f>'Расчёт'!$E$239*'Расчёт'!$K$239+'Расчёт'!$C$279*'Расчёт'!$I$239^2</f>
        <v>120154217.4441382</v>
      </c>
      <c r="J279" s="11"/>
      <c r="K279" s="11"/>
      <c r="L279" s="11"/>
    </row>
    <row r="280" ht="17" customHeight="1">
      <c r="A280" s="4" t="str">
        <v>ED7</v>
      </c>
      <c r="B280" s="4"/>
      <c r="C280" s="13" t="n">
        <f>'Расчёт'!$E$240*'Расчёт'!$G$240</f>
        <v>133.21139954795197</v>
      </c>
      <c r="D280" s="11"/>
      <c r="E280" s="11"/>
      <c r="F280" s="13" t="n">
        <f>'Расчёт'!$C$280*'Расчёт'!$I$240</f>
        <v>126269.66371207032</v>
      </c>
      <c r="G280" s="11"/>
      <c r="H280" s="11"/>
      <c r="I280" s="14" t="n">
        <f>'Расчёт'!$E$240*'Расчёт'!$K$240+'Расчёт'!$C$280*'Расчёт'!$I$240^2</f>
        <v>119689749.62145625</v>
      </c>
      <c r="J280" s="11"/>
      <c r="K280" s="11"/>
      <c r="L280" s="11"/>
    </row>
    <row r="281" ht="17" customHeight="1">
      <c r="A281" s="4" t="str">
        <v>ED8</v>
      </c>
      <c r="B281" s="4"/>
      <c r="C281" s="13" t="n">
        <f>'Расчёт'!$E$241*'Расчёт'!$G$241</f>
        <v>133.23561820925036</v>
      </c>
      <c r="D281" s="11"/>
      <c r="E281" s="11"/>
      <c r="F281" s="13" t="n">
        <f>'Расчёт'!$C$281*'Расчёт'!$I$241</f>
        <v>126022.25680969575</v>
      </c>
      <c r="G281" s="11"/>
      <c r="H281" s="11"/>
      <c r="I281" s="14" t="n">
        <f>'Расчёт'!$E$241*'Расчёт'!$K$241+'Расчёт'!$C$281*'Расчёт'!$I$241^2</f>
        <v>119199514.15919249</v>
      </c>
      <c r="J281" s="11"/>
      <c r="K281" s="11"/>
      <c r="L281" s="11"/>
    </row>
    <row r="282" ht="17" customHeight="1">
      <c r="A282" s="4" t="str">
        <v>ED9</v>
      </c>
      <c r="B282" s="4"/>
      <c r="C282" s="13" t="n">
        <f>'Расчёт'!$E$242*'Расчёт'!$G$242</f>
        <v>133.26114629527345</v>
      </c>
      <c r="D282" s="11"/>
      <c r="E282" s="11"/>
      <c r="F282" s="13" t="n">
        <f>'Расчёт'!$C$282*'Расчёт'!$I$242</f>
        <v>125761.31379391298</v>
      </c>
      <c r="G282" s="11"/>
      <c r="H282" s="11"/>
      <c r="I282" s="14" t="n">
        <f>'Расчёт'!$E$242*'Расчёт'!$K$242+'Расчёт'!$C$282*'Расчёт'!$I$242^2</f>
        <v>118683659.37391506</v>
      </c>
      <c r="J282" s="11"/>
      <c r="K282" s="11"/>
      <c r="L282" s="11"/>
    </row>
    <row r="283" ht="17" customHeight="1">
      <c r="A283" s="4" t="str">
        <v>ED10</v>
      </c>
      <c r="B283" s="4"/>
      <c r="C283" s="13" t="n">
        <f>'Расчёт'!$E$243*'Расчёт'!$G$243</f>
        <v>133.28798305365626</v>
      </c>
      <c r="D283" s="11"/>
      <c r="E283" s="11"/>
      <c r="F283" s="13" t="n">
        <f>'Расчёт'!$C$283*'Расчёт'!$I$243</f>
        <v>125486.81711966022</v>
      </c>
      <c r="G283" s="11"/>
      <c r="H283" s="11"/>
      <c r="I283" s="14" t="n">
        <f>'Расчёт'!$E$243*'Расчёт'!$K$243+'Расчёт'!$C$283*'Расчёт'!$I$243^2</f>
        <v>118142341.82138555</v>
      </c>
      <c r="J283" s="11"/>
      <c r="K283" s="11"/>
      <c r="L283" s="11"/>
    </row>
    <row r="284" ht="17" customHeight="1">
      <c r="A284" s="4" t="str">
        <v>ED11</v>
      </c>
      <c r="B284" s="4"/>
      <c r="C284" s="13" t="n">
        <f>'Расчёт'!$E$244*'Расчёт'!$G$244</f>
        <v>133.31612769408505</v>
      </c>
      <c r="D284" s="11"/>
      <c r="E284" s="11"/>
      <c r="F284" s="13" t="n">
        <f>'Расчёт'!$C$284*'Расчёт'!$I$244</f>
        <v>125198.74834823527</v>
      </c>
      <c r="G284" s="11"/>
      <c r="H284" s="11"/>
      <c r="I284" s="14" t="n">
        <f>'Расчёт'!$E$244*'Расчёт'!$K$244+'Расчёт'!$C$284*'Расчёт'!$I$244^2</f>
        <v>117575726.32670715</v>
      </c>
      <c r="J284" s="11"/>
      <c r="K284" s="11"/>
      <c r="L284" s="11"/>
    </row>
    <row r="285" ht="17" customHeight="1">
      <c r="A285" s="4" t="str">
        <v>ED12</v>
      </c>
      <c r="B285" s="4"/>
      <c r="C285" s="13" t="n">
        <f>'Расчёт'!$E$245*'Расчёт'!$G$245</f>
        <v>133.34557938841235</v>
      </c>
      <c r="D285" s="11"/>
      <c r="E285" s="11"/>
      <c r="F285" s="13" t="n">
        <f>'Расчёт'!$C$285*'Расчёт'!$I$245</f>
        <v>124897.08814870058</v>
      </c>
      <c r="G285" s="11"/>
      <c r="H285" s="11"/>
      <c r="I285" s="14" t="n">
        <f>'Расчёт'!$E$245*'Расчёт'!$K$245+'Расчёт'!$C$285*'Расчёт'!$I$245^2</f>
        <v>116983986.01599503</v>
      </c>
      <c r="J285" s="11"/>
      <c r="K285" s="11"/>
      <c r="L285" s="11"/>
    </row>
    <row r="286" ht="17" customHeight="1">
      <c r="A286" s="4" t="str">
        <v>ED13</v>
      </c>
      <c r="B286" s="4"/>
      <c r="C286" s="13" t="n">
        <f>'Расчёт'!$E$246*'Расчёт'!$G$246</f>
        <v>133.37633727078384</v>
      </c>
      <c r="D286" s="11"/>
      <c r="E286" s="11"/>
      <c r="F286" s="13" t="n">
        <f>'Расчёт'!$C$286*'Расчёт'!$I$246</f>
        <v>124581.81629935991</v>
      </c>
      <c r="G286" s="11"/>
      <c r="H286" s="11"/>
      <c r="I286" s="14" t="n">
        <f>'Расчёт'!$E$246*'Расчёт'!$K$246+'Расчёт'!$C$286*'Расчёт'!$I$246^2</f>
        <v>116367302.34956759</v>
      </c>
      <c r="J286" s="11"/>
      <c r="K286" s="11"/>
      <c r="L286" s="11"/>
    </row>
    <row r="287" ht="17" customHeight="1">
      <c r="A287" s="4" t="str">
        <v>ED14</v>
      </c>
      <c r="B287" s="4"/>
      <c r="C287" s="13" t="n">
        <f>'Расчёт'!$E$247*'Расчёт'!$G$247</f>
        <v>133.40840043775407</v>
      </c>
      <c r="D287" s="11"/>
      <c r="E287" s="11"/>
      <c r="F287" s="13" t="n">
        <f>'Расчёт'!$C$287*'Расчёт'!$I$247</f>
        <v>124252.91168928513</v>
      </c>
      <c r="G287" s="11"/>
      <c r="H287" s="11"/>
      <c r="I287" s="14" t="n">
        <f>'Расчёт'!$E$247*'Расчёт'!$K$247+'Расчёт'!$C$287*'Расчёт'!$I$247^2</f>
        <v>115725865.15663454</v>
      </c>
      <c r="J287" s="11"/>
      <c r="K287" s="11"/>
      <c r="L287" s="11"/>
    </row>
    <row r="288" ht="17" customHeight="1">
      <c r="A288" s="4" t="str">
        <v>EBL</v>
      </c>
      <c r="B288" s="4"/>
      <c r="C288" s="12" t="n">
        <f>'Расчёт'!$E$248*'Расчёт'!$G$248</f>
        <v>522</v>
      </c>
      <c r="D288" s="11"/>
      <c r="E288" s="11"/>
      <c r="F288" s="13" t="n">
        <f>'Расчёт'!$C$288*'Расчёт'!$I$248</f>
        <v>6994.8</v>
      </c>
      <c r="G288" s="11"/>
      <c r="H288" s="11"/>
      <c r="I288" s="13" t="n">
        <f>'Расчёт'!$E$248*'Расчёт'!$K$248+'Расчёт'!$C$288*'Расчёт'!$I$248^2</f>
        <v>118930.32</v>
      </c>
      <c r="J288" s="11"/>
      <c r="K288" s="11"/>
      <c r="L288" s="11"/>
    </row>
    <row r="289" ht="17" customHeight="1">
      <c r="A289" s="4" t="str">
        <v>EIL</v>
      </c>
      <c r="B289" s="4"/>
      <c r="C289" s="12" t="n">
        <f>'Расчёт'!$E$249*'Расчёт'!$G$249</f>
        <v>495</v>
      </c>
      <c r="D289" s="11"/>
      <c r="E289" s="11"/>
      <c r="F289" s="12" t="n">
        <f>'Расчёт'!$C$289*'Расчёт'!$I$249</f>
        <v>54153</v>
      </c>
      <c r="G289" s="11"/>
      <c r="H289" s="11"/>
      <c r="I289" s="14" t="n">
        <f>'Расчёт'!$E$249*'Расчёт'!$K$249+'Расчёт'!$C$289*'Расчёт'!$I$249^2</f>
        <v>5940112.2</v>
      </c>
      <c r="J289" s="11"/>
      <c r="K289" s="11"/>
      <c r="L289" s="11"/>
    </row>
    <row r="290" ht="17" customHeight="1">
      <c r="A290" s="4" t="str">
        <v>EDL1</v>
      </c>
      <c r="B290" s="4"/>
      <c r="C290" s="13" t="n">
        <f>'Расчёт'!$E$250*'Расчёт'!$G$250</f>
        <v>19.48</v>
      </c>
      <c r="D290" s="11"/>
      <c r="E290" s="11"/>
      <c r="F290" s="13" t="n">
        <f>'Расчёт'!$C$290*'Расчёт'!$I$250</f>
        <v>18503.894408988766</v>
      </c>
      <c r="G290" s="11"/>
      <c r="H290" s="11"/>
      <c r="I290" s="14" t="n">
        <f>'Расчёт'!$E$250*'Расчёт'!$K$250+'Расчёт'!$C$290*'Расчёт'!$I$250^2</f>
        <v>17576888.20467175</v>
      </c>
      <c r="J290" s="11"/>
      <c r="K290" s="11"/>
      <c r="L290" s="11"/>
    </row>
    <row r="291" ht="17" customHeight="1">
      <c r="A291" s="4" t="str">
        <v>EDL2</v>
      </c>
      <c r="B291" s="4"/>
      <c r="C291" s="13" t="n">
        <f>'Расчёт'!$E$251*'Расчёт'!$G$251</f>
        <v>19.48</v>
      </c>
      <c r="D291" s="11"/>
      <c r="E291" s="11"/>
      <c r="F291" s="13" t="n">
        <f>'Расчёт'!$C$291*'Расчёт'!$I$251</f>
        <v>18441.996161797757</v>
      </c>
      <c r="G291" s="11"/>
      <c r="H291" s="11"/>
      <c r="I291" s="14" t="n">
        <f>'Расчёт'!$E$251*'Расчёт'!$K$251+'Расчёт'!$C$291*'Расчёт'!$I$251^2</f>
        <v>17459491.59957717</v>
      </c>
      <c r="J291" s="11"/>
      <c r="K291" s="11"/>
      <c r="L291" s="11"/>
    </row>
    <row r="292" ht="17" customHeight="1">
      <c r="A292" s="4" t="str">
        <v>EDL3</v>
      </c>
      <c r="B292" s="4"/>
      <c r="C292" s="13" t="n">
        <f>'Расчёт'!$E$252*'Расчёт'!$G$252</f>
        <v>19.48</v>
      </c>
      <c r="D292" s="11"/>
      <c r="E292" s="11"/>
      <c r="F292" s="13" t="n">
        <f>'Расчёт'!$C$292*'Расчёт'!$I$252</f>
        <v>18371.517959550565</v>
      </c>
      <c r="G292" s="11"/>
      <c r="H292" s="11"/>
      <c r="I292" s="14" t="n">
        <f>'Расчёт'!$E$252*'Расчёт'!$K$252+'Расчёт'!$C$292*'Расчёт'!$I$252^2</f>
        <v>17326301.132756107</v>
      </c>
      <c r="J292" s="11"/>
      <c r="K292" s="11"/>
      <c r="L292" s="11"/>
    </row>
    <row r="293" ht="17" customHeight="1">
      <c r="A293" s="4" t="str">
        <v>EDL4</v>
      </c>
      <c r="B293" s="4"/>
      <c r="C293" s="13" t="n">
        <f>'Расчёт'!$E$253*'Расчёт'!$G$253</f>
        <v>19.48</v>
      </c>
      <c r="D293" s="11"/>
      <c r="E293" s="11"/>
      <c r="F293" s="13" t="n">
        <f>'Расчёт'!$C$293*'Расчёт'!$I$253</f>
        <v>18292.45980224719</v>
      </c>
      <c r="G293" s="11"/>
      <c r="H293" s="11"/>
      <c r="I293" s="14" t="n">
        <f>'Расчёт'!$E$253*'Расчёт'!$K$253+'Расчёт'!$C$293*'Расчёт'!$I$253^2</f>
        <v>17177503.05671609</v>
      </c>
      <c r="J293" s="11"/>
      <c r="K293" s="11"/>
      <c r="L293" s="11"/>
    </row>
    <row r="294" ht="17" customHeight="1">
      <c r="A294" s="4" t="str">
        <v>EDL5</v>
      </c>
      <c r="B294" s="4"/>
      <c r="C294" s="13" t="n">
        <f>'Расчёт'!$E$254*'Расчёт'!$G$254</f>
        <v>19.48</v>
      </c>
      <c r="D294" s="11"/>
      <c r="E294" s="11"/>
      <c r="F294" s="13" t="n">
        <f>'Расчёт'!$C$294*'Расчёт'!$I$254</f>
        <v>18204.82168988764</v>
      </c>
      <c r="G294" s="11"/>
      <c r="H294" s="11"/>
      <c r="I294" s="14" t="n">
        <f>'Расчёт'!$E$254*'Расчёт'!$K$254+'Расчёт'!$C$294*'Расчёт'!$I$254^2</f>
        <v>17013306.29818294</v>
      </c>
      <c r="J294" s="11"/>
      <c r="K294" s="11"/>
      <c r="L294" s="11"/>
    </row>
    <row r="295" ht="17" customHeight="1">
      <c r="A295" s="4" t="str">
        <v>EDL6</v>
      </c>
      <c r="B295" s="4"/>
      <c r="C295" s="13" t="n">
        <f>'Расчёт'!$E$255*'Расчёт'!$G$255</f>
        <v>19.48</v>
      </c>
      <c r="D295" s="11"/>
      <c r="E295" s="11"/>
      <c r="F295" s="13" t="n">
        <f>'Расчёт'!$C$295*'Расчёт'!$I$255</f>
        <v>18108.603622471914</v>
      </c>
      <c r="G295" s="11"/>
      <c r="H295" s="11"/>
      <c r="I295" s="14" t="n">
        <f>'Расчёт'!$E$255*'Расчёт'!$K$255+'Расчёт'!$C$295*'Расчёт'!$I$255^2</f>
        <v>16833942.458100766</v>
      </c>
      <c r="J295" s="11"/>
      <c r="K295" s="11"/>
      <c r="L295" s="11"/>
    </row>
    <row r="296" ht="17" customHeight="1">
      <c r="A296" s="4" t="str">
        <v>EDGW</v>
      </c>
      <c r="B296" s="4"/>
      <c r="C296" s="12" t="n">
        <f>'Расчёт'!$E$256*'Расчёт'!$G$256</f>
        <v>100</v>
      </c>
      <c r="D296" s="11"/>
      <c r="E296" s="11"/>
      <c r="F296" s="13" t="n">
        <f>'Расчёт'!$C$296*'Расчёт'!$I$256</f>
        <v>93340.8988764045</v>
      </c>
      <c r="G296" s="11"/>
      <c r="H296" s="11"/>
      <c r="I296" s="14" t="n">
        <f>'Расчёт'!$E$256*'Расчёт'!$K$256+'Расчёт'!$C$296*'Расчёт'!$I$256^2</f>
        <v>87146067.36388505</v>
      </c>
      <c r="J296" s="11"/>
      <c r="K296" s="11"/>
      <c r="L296" s="11"/>
    </row>
    <row r="297" ht="17" customHeight="1">
      <c r="A297" s="4" t="str">
        <v>EDGF</v>
      </c>
      <c r="B297" s="4"/>
      <c r="C297" s="12" t="n">
        <f>'Расчёт'!$E$257*'Расчёт'!$G$257</f>
        <v>125</v>
      </c>
      <c r="D297" s="11"/>
      <c r="E297" s="11"/>
      <c r="F297" s="13" t="n">
        <f>'Расчёт'!$C$297*'Расчёт'!$I$257</f>
        <v>113394.87359550563</v>
      </c>
      <c r="G297" s="11"/>
      <c r="H297" s="11"/>
      <c r="I297" s="14" t="n">
        <f>'Расчёт'!$E$257*'Расчёт'!$K$257+'Расчёт'!$C$297*'Расчёт'!$I$257^2</f>
        <v>102867243.96609227</v>
      </c>
      <c r="J297" s="11"/>
      <c r="K297" s="11"/>
      <c r="L297" s="11"/>
    </row>
    <row r="298" ht="17" customHeight="1">
      <c r="A298" s="4" t="str">
        <v>ELGW</v>
      </c>
      <c r="B298" s="4"/>
      <c r="C298" s="12" t="n">
        <f>'Расчёт'!$E$258*'Расчёт'!$G$258</f>
        <v>264</v>
      </c>
      <c r="D298" s="11"/>
      <c r="E298" s="11"/>
      <c r="F298" s="12" t="n">
        <f>'Расчёт'!$C$298*'Расчёт'!$I$258</f>
        <v>143220</v>
      </c>
      <c r="G298" s="11"/>
      <c r="H298" s="11"/>
      <c r="I298" s="14" t="n">
        <f>'Расчёт'!$E$258*'Расчёт'!$K$258+'Расчёт'!$C$298*'Расчёт'!$I$258^2</f>
        <v>77763400</v>
      </c>
      <c r="J298" s="11"/>
      <c r="K298" s="11"/>
      <c r="L298" s="11"/>
    </row>
    <row r="299" ht="17" customHeight="1">
      <c r="A299" s="4" t="str">
        <v>ELGF</v>
      </c>
      <c r="B299" s="4"/>
      <c r="C299" s="12" t="n">
        <f>'Расчёт'!$E$259*'Расчёт'!$G$259</f>
        <v>385</v>
      </c>
      <c r="D299" s="11"/>
      <c r="E299" s="11"/>
      <c r="F299" s="13" t="n">
        <f>'Расчёт'!$C$299*'Расчёт'!$I$259</f>
        <v>197793.75</v>
      </c>
      <c r="G299" s="11"/>
      <c r="H299" s="11"/>
      <c r="I299" s="14" t="n">
        <f>'Расчёт'!$E$259*'Расчёт'!$K$259+'Расчёт'!$C$299*'Расчёт'!$I$259^2</f>
        <v>101616739.58333333</v>
      </c>
      <c r="J299" s="11"/>
      <c r="K299" s="11"/>
      <c r="L299" s="11"/>
    </row>
    <row r="300" ht="25" customHeight="1">
      <c r="A300" s="7" t="str">
        <v>Геометрия участков верхней палубы</v>
      </c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</row>
    <row r="301" ht="28" customHeight="1">
      <c r="A301" s="10" t="str">
        <v>Участок</v>
      </c>
      <c r="B301" s="10"/>
      <c r="C301" s="10" t="str">
        <v>x0, м</v>
      </c>
      <c r="D301" s="10"/>
      <c r="E301" s="10" t="str">
        <v>x1, м</v>
      </c>
      <c r="F301" s="10"/>
      <c r="G301" s="10" t="str">
        <v>z0, м</v>
      </c>
      <c r="H301" s="10"/>
      <c r="I301" s="10" t="str">
        <v>z1, м</v>
      </c>
      <c r="J301" s="10"/>
      <c r="K301" s="10" t="str">
        <v>l, м</v>
      </c>
      <c r="L301" s="10"/>
    </row>
    <row r="302" ht="17" customHeight="1">
      <c r="A302" s="4" t="str">
        <v>DK1</v>
      </c>
      <c r="B302" s="4"/>
      <c r="C302" s="12" t="n">
        <f>'Расчёт'!$H$36/2+'Расчёт'!$H$44*0/14</f>
        <v>4</v>
      </c>
      <c r="D302" s="11"/>
      <c r="E302" s="13" t="n">
        <f>'Расчёт'!$H$36/2+'Расчёт'!$H$44*1/14</f>
        <v>4.35</v>
      </c>
      <c r="F302" s="11"/>
      <c r="G302" s="13" t="n">
        <f>'Расчёт'!$H$24+'Расчёт'!$H$34*(1-('Расчёт'!$C$302/('Расчёт'!$H$23/2))^2)</f>
        <v>9.58408988764045</v>
      </c>
      <c r="H302" s="11"/>
      <c r="I302" s="13" t="n">
        <f>'Расчёт'!$H$24+'Расчёт'!$H$34*(1-('Расчёт'!$E$302/('Расчёт'!$H$23/2))^2)</f>
        <v>9.570955056179777</v>
      </c>
      <c r="J302" s="11"/>
      <c r="K302" s="13" t="n">
        <f>SQRT(('Расчёт'!$E$302-'Расчёт'!$C$302)^2+('Расчёт'!$I$302-'Расчёт'!$G$302)^2)</f>
        <v>0.35024637585205654</v>
      </c>
      <c r="L302" s="11"/>
    </row>
    <row r="303" ht="17" customHeight="1">
      <c r="A303" s="4" t="str">
        <v>DK2</v>
      </c>
      <c r="B303" s="4"/>
      <c r="C303" s="13" t="n">
        <f>'Расчёт'!$H$36/2+'Расчёт'!$H$44*1/14</f>
        <v>4.35</v>
      </c>
      <c r="D303" s="11"/>
      <c r="E303" s="13" t="n">
        <f>'Расчёт'!$H$36/2+'Расчёт'!$H$44*2/14</f>
        <v>4.7</v>
      </c>
      <c r="F303" s="11"/>
      <c r="G303" s="13" t="n">
        <f>'Расчёт'!$H$24+'Расчёт'!$H$34*(1-('Расчёт'!$C$303/('Расчёт'!$H$23/2))^2)</f>
        <v>9.570955056179777</v>
      </c>
      <c r="H303" s="11"/>
      <c r="I303" s="13" t="n">
        <f>'Расчёт'!$H$24+'Расчёт'!$H$34*(1-('Расчёт'!$E$303/('Расчёт'!$H$23/2))^2)</f>
        <v>9.556719101123596</v>
      </c>
      <c r="J303" s="11"/>
      <c r="K303" s="13" t="n">
        <f>SQRT(('Расчёт'!$E$303-'Расчёт'!$C$303)^2+('Расчёт'!$I$303-'Расчёт'!$G$303)^2)</f>
        <v>0.3502893980930082</v>
      </c>
      <c r="L303" s="11"/>
    </row>
    <row r="304" ht="17" customHeight="1">
      <c r="A304" s="4" t="str">
        <v>DK3</v>
      </c>
      <c r="B304" s="4"/>
      <c r="C304" s="13" t="n">
        <f>'Расчёт'!$H$36/2+'Расчёт'!$H$44*2/14</f>
        <v>4.7</v>
      </c>
      <c r="D304" s="11"/>
      <c r="E304" s="13" t="n">
        <f>'Расчёт'!$H$36/2+'Расчёт'!$H$44*3/14</f>
        <v>5.05</v>
      </c>
      <c r="F304" s="11"/>
      <c r="G304" s="13" t="n">
        <f>'Расчёт'!$H$24+'Расчёт'!$H$34*(1-('Расчёт'!$C$304/('Расчёт'!$H$23/2))^2)</f>
        <v>9.556719101123596</v>
      </c>
      <c r="H304" s="11"/>
      <c r="I304" s="13" t="n">
        <f>'Расчёт'!$H$24+'Расчёт'!$H$34*(1-('Расчёт'!$E$304/('Расчёт'!$H$23/2))^2)</f>
        <v>9.541382022471911</v>
      </c>
      <c r="J304" s="11"/>
      <c r="K304" s="13" t="n">
        <f>SQRT(('Расчёт'!$E$304-'Расчёт'!$C$304)^2+('Расчёт'!$I$304-'Расчёт'!$G$304)^2)</f>
        <v>0.35033587595558596</v>
      </c>
      <c r="L304" s="11"/>
    </row>
    <row r="305" ht="17" customHeight="1">
      <c r="A305" s="4" t="str">
        <v>DK4</v>
      </c>
      <c r="B305" s="4"/>
      <c r="C305" s="13" t="n">
        <f>'Расчёт'!$H$36/2+'Расчёт'!$H$44*3/14</f>
        <v>5.05</v>
      </c>
      <c r="D305" s="11"/>
      <c r="E305" s="13" t="n">
        <f>'Расчёт'!$H$36/2+'Расчёт'!$H$44*4/14</f>
        <v>5.4</v>
      </c>
      <c r="F305" s="11"/>
      <c r="G305" s="13" t="n">
        <f>'Расчёт'!$H$24+'Расчёт'!$H$34*(1-('Расчёт'!$C$305/('Расчёт'!$H$23/2))^2)</f>
        <v>9.541382022471911</v>
      </c>
      <c r="H305" s="11"/>
      <c r="I305" s="13" t="n">
        <f>'Расчёт'!$H$24+'Расчёт'!$H$34*(1-('Расчёт'!$E$305/('Расчёт'!$H$23/2))^2)</f>
        <v>9.52494382022472</v>
      </c>
      <c r="J305" s="11"/>
      <c r="K305" s="13" t="n">
        <f>SQRT(('Расчёт'!$E$305-'Расчёт'!$C$305)^2+('Расчёт'!$I$305-'Расчёт'!$G$305)^2)</f>
        <v>0.3503858080646531</v>
      </c>
      <c r="L305" s="11"/>
    </row>
    <row r="306" ht="17" customHeight="1">
      <c r="A306" s="4" t="str">
        <v>DK5</v>
      </c>
      <c r="B306" s="4"/>
      <c r="C306" s="13" t="n">
        <f>'Расчёт'!$H$36/2+'Расчёт'!$H$44*4/14</f>
        <v>5.4</v>
      </c>
      <c r="D306" s="11"/>
      <c r="E306" s="13" t="n">
        <f>'Расчёт'!$H$36/2+'Расчёт'!$H$44*5/14</f>
        <v>5.75</v>
      </c>
      <c r="F306" s="11"/>
      <c r="G306" s="13" t="n">
        <f>'Расчёт'!$H$24+'Расчёт'!$H$34*(1-('Расчёт'!$C$306/('Расчёт'!$H$23/2))^2)</f>
        <v>9.52494382022472</v>
      </c>
      <c r="H306" s="11"/>
      <c r="I306" s="13" t="n">
        <f>'Расчёт'!$H$24+'Расчёт'!$H$34*(1-('Расчёт'!$E$306/('Расчёт'!$H$23/2))^2)</f>
        <v>9.507404494382023</v>
      </c>
      <c r="J306" s="11"/>
      <c r="K306" s="13" t="n">
        <f>SQRT(('Расчёт'!$E$306-'Расчёт'!$C$306)^2+('Расчёт'!$I$306-'Расчёт'!$G$306)^2)</f>
        <v>0.3504391929436776</v>
      </c>
      <c r="L306" s="11"/>
    </row>
    <row r="307" ht="17" customHeight="1">
      <c r="A307" s="4" t="str">
        <v>DK6</v>
      </c>
      <c r="B307" s="4"/>
      <c r="C307" s="13" t="n">
        <f>'Расчёт'!$H$36/2+'Расчёт'!$H$44*5/14</f>
        <v>5.75</v>
      </c>
      <c r="D307" s="11"/>
      <c r="E307" s="13" t="n">
        <f>'Расчёт'!$H$36/2+'Расчёт'!$H$44*6/14</f>
        <v>6.1</v>
      </c>
      <c r="F307" s="11"/>
      <c r="G307" s="13" t="n">
        <f>'Расчёт'!$H$24+'Расчёт'!$H$34*(1-('Расчёт'!$C$307/('Расчёт'!$H$23/2))^2)</f>
        <v>9.507404494382023</v>
      </c>
      <c r="H307" s="11"/>
      <c r="I307" s="13" t="n">
        <f>'Расчёт'!$H$24+'Расчёт'!$H$34*(1-('Расчёт'!$E$307/('Расчёт'!$H$23/2))^2)</f>
        <v>9.48876404494382</v>
      </c>
      <c r="J307" s="11"/>
      <c r="K307" s="13" t="n">
        <f>SQRT(('Расчёт'!$E$307-'Расчёт'!$C$307)^2+('Расчёт'!$I$307-'Расчёт'!$G$307)^2)</f>
        <v>0.3504960290149632</v>
      </c>
      <c r="L307" s="11"/>
    </row>
    <row r="308" ht="17" customHeight="1">
      <c r="A308" s="4" t="str">
        <v>DK7</v>
      </c>
      <c r="B308" s="4"/>
      <c r="C308" s="13" t="n">
        <f>'Расчёт'!$H$36/2+'Расчёт'!$H$44*6/14</f>
        <v>6.1</v>
      </c>
      <c r="D308" s="11"/>
      <c r="E308" s="13" t="n">
        <f>'Расчёт'!$H$36/2+'Расчёт'!$H$44*7/14</f>
        <v>6.45</v>
      </c>
      <c r="F308" s="11"/>
      <c r="G308" s="13" t="n">
        <f>'Расчёт'!$H$24+'Расчёт'!$H$34*(1-('Расчёт'!$C$308/('Расчёт'!$H$23/2))^2)</f>
        <v>9.48876404494382</v>
      </c>
      <c r="H308" s="11"/>
      <c r="I308" s="13" t="n">
        <f>'Расчёт'!$H$24+'Расчёт'!$H$34*(1-('Расчёт'!$E$308/('Расчёт'!$H$23/2))^2)</f>
        <v>9.469022471910113</v>
      </c>
      <c r="J308" s="11"/>
      <c r="K308" s="13" t="n">
        <f>SQRT(('Расчёт'!$E$308-'Расчёт'!$C$308)^2+('Расчёт'!$I$308-'Расчёт'!$G$308)^2)</f>
        <v>0.35055631459987363</v>
      </c>
      <c r="L308" s="11"/>
    </row>
    <row r="309" ht="17" customHeight="1">
      <c r="A309" s="4" t="str">
        <v>DK8</v>
      </c>
      <c r="B309" s="4"/>
      <c r="C309" s="13" t="n">
        <f>'Расчёт'!$H$36/2+'Расчёт'!$H$44*7/14</f>
        <v>6.45</v>
      </c>
      <c r="D309" s="11"/>
      <c r="E309" s="13" t="n">
        <f>'Расчёт'!$H$36/2+'Расчёт'!$H$44*8/14</f>
        <v>6.800000000000001</v>
      </c>
      <c r="F309" s="11"/>
      <c r="G309" s="13" t="n">
        <f>'Расчёт'!$H$24+'Расчёт'!$H$34*(1-('Расчёт'!$C$309/('Расчёт'!$H$23/2))^2)</f>
        <v>9.469022471910113</v>
      </c>
      <c r="H309" s="11"/>
      <c r="I309" s="13" t="n">
        <f>'Расчёт'!$H$24+'Расчёт'!$H$34*(1-('Расчёт'!$E$309/('Расчёт'!$H$23/2))^2)</f>
        <v>9.448179775280899</v>
      </c>
      <c r="J309" s="11"/>
      <c r="K309" s="13" t="n">
        <f>SQRT(('Расчёт'!$E$309-'Расчёт'!$C$309)^2+('Расчёт'!$I$309-'Расчёт'!$G$309)^2)</f>
        <v>0.35062004791907986</v>
      </c>
      <c r="L309" s="11"/>
    </row>
    <row r="310" ht="17" customHeight="1">
      <c r="A310" s="4" t="str">
        <v>DK9</v>
      </c>
      <c r="B310" s="4"/>
      <c r="C310" s="13" t="n">
        <f>'Расчёт'!$H$36/2+'Расчёт'!$H$44*8/14</f>
        <v>6.800000000000001</v>
      </c>
      <c r="D310" s="11"/>
      <c r="E310" s="13" t="n">
        <f>'Расчёт'!$H$36/2+'Расчёт'!$H$44*9/14</f>
        <v>7.15</v>
      </c>
      <c r="F310" s="11"/>
      <c r="G310" s="13" t="n">
        <f>'Расчёт'!$H$24+'Расчёт'!$H$34*(1-('Расчёт'!$C$310/('Расчёт'!$H$23/2))^2)</f>
        <v>9.448179775280899</v>
      </c>
      <c r="H310" s="11"/>
      <c r="I310" s="13" t="n">
        <f>'Расчёт'!$H$24+'Расчёт'!$H$34*(1-('Расчёт'!$E$310/('Расчёт'!$H$23/2))^2)</f>
        <v>9.42623595505618</v>
      </c>
      <c r="J310" s="11"/>
      <c r="K310" s="13" t="n">
        <f>SQRT(('Расчёт'!$E$310-'Расчёт'!$C$310)^2+('Расчёт'!$I$310-'Расчёт'!$G$310)^2)</f>
        <v>0.35068722709282485</v>
      </c>
      <c r="L310" s="11"/>
    </row>
    <row r="311" ht="17" customHeight="1">
      <c r="A311" s="4" t="str">
        <v>DK10</v>
      </c>
      <c r="B311" s="4"/>
      <c r="C311" s="13" t="n">
        <f>'Расчёт'!$H$36/2+'Расчёт'!$H$44*9/14</f>
        <v>7.15</v>
      </c>
      <c r="D311" s="11"/>
      <c r="E311" s="13" t="n">
        <f>'Расчёт'!$H$36/2+'Расчёт'!$H$44*10/14</f>
        <v>7.5</v>
      </c>
      <c r="F311" s="11"/>
      <c r="G311" s="13" t="n">
        <f>'Расчёт'!$H$24+'Расчёт'!$H$34*(1-('Расчёт'!$C$311/('Расчёт'!$H$23/2))^2)</f>
        <v>9.42623595505618</v>
      </c>
      <c r="H311" s="11"/>
      <c r="I311" s="13" t="n">
        <f>'Расчёт'!$H$24+'Расчёт'!$H$34*(1-('Расчёт'!$E$311/('Расчёт'!$H$23/2))^2)</f>
        <v>9.403191011235956</v>
      </c>
      <c r="J311" s="11"/>
      <c r="K311" s="13" t="n">
        <f>SQRT(('Расчёт'!$E$311-'Расчёт'!$C$311)^2+('Расчёт'!$I$311-'Расчёт'!$G$311)^2)</f>
        <v>0.35075785014120076</v>
      </c>
      <c r="L311" s="11"/>
    </row>
    <row r="312" ht="17" customHeight="1">
      <c r="A312" s="4" t="str">
        <v>DK11</v>
      </c>
      <c r="B312" s="4"/>
      <c r="C312" s="13" t="n">
        <f>'Расчёт'!$H$36/2+'Расчёт'!$H$44*10/14</f>
        <v>7.5</v>
      </c>
      <c r="D312" s="11"/>
      <c r="E312" s="13" t="n">
        <f>'Расчёт'!$H$36/2+'Расчёт'!$H$44*11/14</f>
        <v>7.8500000000000005</v>
      </c>
      <c r="F312" s="11"/>
      <c r="G312" s="13" t="n">
        <f>'Расчёт'!$H$24+'Расчёт'!$H$34*(1-('Расчёт'!$C$312/('Расчёт'!$H$23/2))^2)</f>
        <v>9.403191011235956</v>
      </c>
      <c r="H312" s="11"/>
      <c r="I312" s="13" t="n">
        <f>'Расчёт'!$H$24+'Расчёт'!$H$34*(1-('Расчёт'!$E$312/('Расчёт'!$H$23/2))^2)</f>
        <v>9.379044943820226</v>
      </c>
      <c r="J312" s="11"/>
      <c r="K312" s="13" t="n">
        <f>SQRT(('Расчёт'!$E$312-'Расчёт'!$C$312)^2+('Расчёт'!$I$312-'Расчёт'!$G$312)^2)</f>
        <v>0.35083191498443433</v>
      </c>
      <c r="L312" s="11"/>
    </row>
    <row r="313" ht="17" customHeight="1">
      <c r="A313" s="4" t="str">
        <v>DK12</v>
      </c>
      <c r="B313" s="4"/>
      <c r="C313" s="13" t="n">
        <f>'Расчёт'!$H$36/2+'Расчёт'!$H$44*11/14</f>
        <v>7.8500000000000005</v>
      </c>
      <c r="D313" s="11"/>
      <c r="E313" s="13" t="n">
        <f>'Расчёт'!$H$36/2+'Расчёт'!$H$44*12/14</f>
        <v>8.2</v>
      </c>
      <c r="F313" s="11"/>
      <c r="G313" s="13" t="n">
        <f>'Расчёт'!$H$24+'Расчёт'!$H$34*(1-('Расчёт'!$C$313/('Расчёт'!$H$23/2))^2)</f>
        <v>9.379044943820226</v>
      </c>
      <c r="H313" s="11"/>
      <c r="I313" s="13" t="n">
        <f>'Расчёт'!$H$24+'Расчёт'!$H$34*(1-('Расчёт'!$E$313/('Расчёт'!$H$23/2))^2)</f>
        <v>9.35379775280899</v>
      </c>
      <c r="J313" s="11"/>
      <c r="K313" s="13" t="n">
        <f>SQRT(('Расчёт'!$E$313-'Расчёт'!$C$313)^2+('Расчёт'!$I$313-'Расчёт'!$G$313)^2)</f>
        <v>0.35090941944319043</v>
      </c>
      <c r="L313" s="11"/>
    </row>
    <row r="314" ht="17" customHeight="1">
      <c r="A314" s="4" t="str">
        <v>DK13</v>
      </c>
      <c r="B314" s="4"/>
      <c r="C314" s="13" t="n">
        <f>'Расчёт'!$H$36/2+'Расчёт'!$H$44*12/14</f>
        <v>8.2</v>
      </c>
      <c r="D314" s="11"/>
      <c r="E314" s="13" t="n">
        <f>'Расчёт'!$H$36/2+'Расчёт'!$H$44*13/14</f>
        <v>8.55</v>
      </c>
      <c r="F314" s="11"/>
      <c r="G314" s="13" t="n">
        <f>'Расчёт'!$H$24+'Расчёт'!$H$34*(1-('Расчёт'!$C$314/('Расчёт'!$H$23/2))^2)</f>
        <v>9.35379775280899</v>
      </c>
      <c r="H314" s="11"/>
      <c r="I314" s="13" t="n">
        <f>'Расчёт'!$H$24+'Расчёт'!$H$34*(1-('Расчёт'!$E$314/('Расчёт'!$H$23/2))^2)</f>
        <v>9.327449438202247</v>
      </c>
      <c r="J314" s="11"/>
      <c r="K314" s="13" t="n">
        <f>SQRT(('Расчёт'!$E$314-'Расчёт'!$C$314)^2+('Расчёт'!$I$314-'Расчёт'!$G$314)^2)</f>
        <v>0.3509903612389048</v>
      </c>
      <c r="L314" s="11"/>
    </row>
    <row r="315" ht="17" customHeight="1">
      <c r="A315" s="4" t="str">
        <v>DK14</v>
      </c>
      <c r="B315" s="4"/>
      <c r="C315" s="13" t="n">
        <f>'Расчёт'!$H$36/2+'Расчёт'!$H$44*13/14</f>
        <v>8.55</v>
      </c>
      <c r="D315" s="11"/>
      <c r="E315" s="13" t="n">
        <f>'Расчёт'!$H$36/2+'Расчёт'!$H$44*14/14</f>
        <v>8.9</v>
      </c>
      <c r="F315" s="11"/>
      <c r="G315" s="13" t="n">
        <f>'Расчёт'!$H$24+'Расчёт'!$H$34*(1-('Расчёт'!$C$315/('Расчёт'!$H$23/2))^2)</f>
        <v>9.327449438202247</v>
      </c>
      <c r="H315" s="11"/>
      <c r="I315" s="13" t="n">
        <f>'Расчёт'!$H$24+'Расчёт'!$H$34*(1-('Расчёт'!$E$315/('Расчёт'!$H$23/2))^2)</f>
        <v>9.3</v>
      </c>
      <c r="J315" s="11"/>
      <c r="K315" s="13" t="n">
        <f>SQRT(('Расчёт'!$E$315-'Расчёт'!$C$315)^2+('Расчёт'!$I$315-'Расчёт'!$G$315)^2)</f>
        <v>0.35107473799408967</v>
      </c>
      <c r="L315" s="11"/>
    </row>
    <row r="316" ht="25" customHeight="1">
      <c r="A316" s="7" t="str">
        <v>Характеристики полного сечения и проверка</v>
      </c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</row>
    <row r="317" ht="28" customHeight="1">
      <c r="A317" s="10" t="str">
        <v>Параметр</v>
      </c>
      <c r="B317" s="10"/>
      <c r="C317" s="10"/>
      <c r="D317" s="10"/>
      <c r="E317" s="10"/>
      <c r="F317" s="10"/>
      <c r="G317" s="10"/>
      <c r="H317" s="10" t="str">
        <v>Значение</v>
      </c>
      <c r="I317" s="10"/>
      <c r="J317" s="10"/>
      <c r="K317" s="10" t="str">
        <v>Ед.</v>
      </c>
      <c r="L317" s="10"/>
    </row>
    <row r="318" ht="17" customHeight="1">
      <c r="A318" s="4" t="str">
        <v>Площадь полного сечения</v>
      </c>
      <c r="B318" s="4"/>
      <c r="C318" s="4"/>
      <c r="D318" s="4"/>
      <c r="E318" s="4"/>
      <c r="F318" s="4"/>
      <c r="G318" s="4"/>
      <c r="H318" s="13" t="n">
        <f>SUM('Расчёт'!$C$262,'Расчёт'!$C$263,'Расчёт'!$C$264,'Расчёт'!$C$265,'Расчёт'!$C$266,'Расчёт'!$C$267,'Расчёт'!$C$268,'Расчёт'!$C$269,'Расчёт'!$C$270,'Расчёт'!$C$271,'Расчёт'!$C$272,'Расчёт'!$C$273,'Расчёт'!$C$274,'Расчёт'!$C$275,'Расчёт'!$C$276,'Расчёт'!$C$277,'Расчёт'!$C$278,'Расчёт'!$C$279,'Расчёт'!$C$280,'Расчёт'!$C$281,'Расчёт'!$C$282,'Расчёт'!$C$283,'Расчёт'!$C$284,'Расчёт'!$C$285,'Расчёт'!$C$286,'Расчёт'!$C$287,'Расчёт'!$C$288,'Расчёт'!$C$289,'Расчёт'!$C$290,'Расчёт'!$C$291,'Расчёт'!$C$292,'Расчёт'!$C$293,'Расчёт'!$C$294,'Расчёт'!$C$295,'Расчёт'!$C$296,'Расчёт'!$C$297,'Расчёт'!$C$298,'Расчёт'!$C$299)</f>
        <v>10601.830918227004</v>
      </c>
      <c r="I318" s="11"/>
      <c r="J318" s="11"/>
      <c r="K318" s="4" t="str">
        <v>cm²</v>
      </c>
      <c r="L318" s="4"/>
    </row>
    <row r="319" ht="17" customHeight="1">
      <c r="A319" s="4" t="str">
        <v>Статический момент относительно ОП</v>
      </c>
      <c r="B319" s="4"/>
      <c r="C319" s="4"/>
      <c r="D319" s="4"/>
      <c r="E319" s="4"/>
      <c r="F319" s="4"/>
      <c r="G319" s="4"/>
      <c r="H319" s="14" t="n">
        <f>SUM('Расчёт'!$F$262,'Расчёт'!$F$263,'Расчёт'!$F$264,'Расчёт'!$F$265,'Расчёт'!$F$266,'Расчёт'!$F$267,'Расчёт'!$F$268,'Расчёт'!$F$269,'Расчёт'!$F$270,'Расчёт'!$F$271,'Расчёт'!$F$272,'Расчёт'!$F$273,'Расчёт'!$F$274,'Расчёт'!$F$275,'Расчёт'!$F$276,'Расчёт'!$F$277,'Расчёт'!$F$278,'Расчёт'!$F$279,'Расчёт'!$F$280,'Расчёт'!$F$281,'Расчёт'!$F$282,'Расчёт'!$F$283,'Расчёт'!$F$284,'Расчёт'!$F$285,'Расчёт'!$F$286,'Расчёт'!$F$287,'Расчёт'!$F$288,'Расчёт'!$F$289,'Расчёт'!$F$290,'Расчёт'!$F$291,'Расчёт'!$F$292,'Расчёт'!$F$293,'Расчёт'!$F$294,'Расчёт'!$F$295,'Расчёт'!$F$296,'Расчёт'!$F$297,'Расчёт'!$F$298,'Расчёт'!$F$299)</f>
        <v>4089558.5470296727</v>
      </c>
      <c r="I319" s="11"/>
      <c r="J319" s="11"/>
      <c r="K319" s="4" t="str">
        <v>cm³</v>
      </c>
      <c r="L319" s="4"/>
    </row>
    <row r="320" ht="17" customHeight="1">
      <c r="A320" s="4" t="str">
        <v>Нейтральная ось над основной плоскостью</v>
      </c>
      <c r="B320" s="4"/>
      <c r="C320" s="4"/>
      <c r="D320" s="4"/>
      <c r="E320" s="4"/>
      <c r="F320" s="4"/>
      <c r="G320" s="4"/>
      <c r="H320" s="13" t="n">
        <f>'Расчёт'!$H$319/'Расчёт'!$H$318/100</f>
        <v>3.8574078181144857</v>
      </c>
      <c r="I320" s="11"/>
      <c r="J320" s="11"/>
      <c r="K320" s="4" t="str">
        <v>m</v>
      </c>
      <c r="L320" s="4"/>
    </row>
    <row r="321" ht="17" customHeight="1">
      <c r="A321" s="4" t="str">
        <v>Инерция относительно нейтральной оси</v>
      </c>
      <c r="B321" s="4"/>
      <c r="C321" s="4"/>
      <c r="D321" s="4"/>
      <c r="E321" s="4"/>
      <c r="F321" s="4"/>
      <c r="G321" s="4"/>
      <c r="H321" s="14" t="n">
        <f>'Расчёт'!$H$329-'Расчёт'!$H$318*('Расчёт'!$H$320*100)^2</f>
        <v>1422267751.2643654</v>
      </c>
      <c r="I321" s="11"/>
      <c r="J321" s="11"/>
      <c r="K321" s="4" t="str">
        <v>cm⁴</v>
      </c>
      <c r="L321" s="4"/>
    </row>
    <row r="322" ht="17" customHeight="1">
      <c r="A322" s="4" t="str">
        <v>Момент сопротивления на уровне днища</v>
      </c>
      <c r="B322" s="4"/>
      <c r="C322" s="4"/>
      <c r="D322" s="4"/>
      <c r="E322" s="4"/>
      <c r="F322" s="4"/>
      <c r="G322" s="4"/>
      <c r="H322" s="14" t="n">
        <f>'Расчёт'!$H$321/('Расчёт'!$H$320*100)</f>
        <v>3687107.555974143</v>
      </c>
      <c r="I322" s="11"/>
      <c r="J322" s="11"/>
      <c r="K322" s="4" t="str">
        <v>cm³</v>
      </c>
      <c r="L322" s="4"/>
    </row>
    <row r="323" ht="17" customHeight="1">
      <c r="A323" s="4" t="str">
        <v>Момент сопротивления на уровне палубы</v>
      </c>
      <c r="B323" s="4"/>
      <c r="C323" s="4"/>
      <c r="D323" s="4"/>
      <c r="E323" s="4"/>
      <c r="F323" s="4"/>
      <c r="G323" s="4"/>
      <c r="H323" s="14" t="n">
        <f>'Расчёт'!$H$321/(('Расчёт'!$H$60-'Расчёт'!$H$320)*100)</f>
        <v>2483580.778532893</v>
      </c>
      <c r="I323" s="11"/>
      <c r="J323" s="11"/>
      <c r="K323" s="4" t="str">
        <v>cm³</v>
      </c>
      <c r="L323" s="4"/>
    </row>
    <row r="324" ht="17" customHeight="1">
      <c r="A324" s="4" t="str">
        <v>Днище WB / Wтреб</v>
      </c>
      <c r="B324" s="4"/>
      <c r="C324" s="4"/>
      <c r="D324" s="4"/>
      <c r="E324" s="4"/>
      <c r="F324" s="4"/>
      <c r="G324" s="4"/>
      <c r="H324" s="13" t="n">
        <f>'Расчёт'!$H$322/'Расчёт'!$H$109</f>
        <v>1.5354878416546698</v>
      </c>
      <c r="I324" s="11"/>
      <c r="J324" s="11"/>
      <c r="K324" s="4"/>
      <c r="L324" s="4"/>
    </row>
    <row r="325" ht="17" customHeight="1">
      <c r="A325" s="4" t="str">
        <v>Палуба WD / Wтреб</v>
      </c>
      <c r="B325" s="4"/>
      <c r="C325" s="4"/>
      <c r="D325" s="4"/>
      <c r="E325" s="4"/>
      <c r="F325" s="4"/>
      <c r="G325" s="4"/>
      <c r="H325" s="13" t="n">
        <f>'Расчёт'!$H$323/'Расчёт'!$H$109</f>
        <v>1.0342817591598457</v>
      </c>
      <c r="I325" s="11"/>
      <c r="J325" s="11"/>
      <c r="K325" s="4"/>
      <c r="L325" s="4"/>
    </row>
    <row r="326" ht="17" customHeight="1">
      <c r="A326" s="4" t="str">
        <v>I / Imin</v>
      </c>
      <c r="B326" s="4"/>
      <c r="C326" s="4"/>
      <c r="D326" s="4"/>
      <c r="E326" s="4"/>
      <c r="F326" s="4"/>
      <c r="G326" s="4"/>
      <c r="H326" s="13" t="n">
        <f>'Расчёт'!$H$321/'Расчёт'!$H$110</f>
        <v>5.433947527539871</v>
      </c>
      <c r="I326" s="11"/>
      <c r="J326" s="11"/>
      <c r="K326" s="4"/>
      <c r="L326" s="4"/>
    </row>
    <row r="327" ht="17" customHeight="1">
      <c r="A327" s="4" t="str">
        <v>Максимальное напряжение палубы</v>
      </c>
      <c r="B327" s="4"/>
      <c r="C327" s="4"/>
      <c r="D327" s="4"/>
      <c r="E327" s="4"/>
      <c r="F327" s="4"/>
      <c r="G327" s="4"/>
      <c r="H327" s="13" t="n">
        <f>'Расчёт'!$H$105*1000/'Расчёт'!$H$323</f>
        <v>159.7783127482968</v>
      </c>
      <c r="I327" s="11"/>
      <c r="J327" s="11"/>
      <c r="K327" s="4" t="str">
        <v>MPa</v>
      </c>
      <c r="L327" s="4"/>
    </row>
    <row r="328" ht="17" customHeight="1">
      <c r="A328" s="4" t="str">
        <v>Максимальное напряжение днища</v>
      </c>
      <c r="B328" s="4"/>
      <c r="C328" s="4"/>
      <c r="D328" s="4"/>
      <c r="E328" s="4"/>
      <c r="F328" s="4"/>
      <c r="G328" s="4"/>
      <c r="H328" s="13" t="n">
        <f>'Расчёт'!$H$105*1000/'Расчёт'!$H$322</f>
        <v>107.62429366214828</v>
      </c>
      <c r="I328" s="11"/>
      <c r="J328" s="11"/>
      <c r="K328" s="4" t="str">
        <v>MPa</v>
      </c>
      <c r="L328" s="4"/>
    </row>
    <row r="329" ht="17" customHeight="1">
      <c r="A329" s="4" t="str">
        <v>Инерция относительно ОП</v>
      </c>
      <c r="B329" s="4"/>
      <c r="C329" s="4"/>
      <c r="D329" s="4"/>
      <c r="E329" s="4"/>
      <c r="F329" s="4"/>
      <c r="G329" s="4"/>
      <c r="H329" s="14" t="n">
        <f>SUM('Расчёт'!$I$262,'Расчёт'!$I$263,'Расчёт'!$I$264,'Расчёт'!$I$265,'Расчёт'!$I$266,'Расчёт'!$I$267,'Расчёт'!$I$268,'Расчёт'!$I$269,'Расчёт'!$I$270,'Расчёт'!$I$271,'Расчёт'!$I$272,'Расчёт'!$I$273,'Расчёт'!$I$274,'Расчёт'!$I$275,'Расчёт'!$I$276,'Расчёт'!$I$277,'Расчёт'!$I$278,'Расчёт'!$I$279,'Расчёт'!$I$280,'Расчёт'!$I$281,'Расчёт'!$I$282,'Расчёт'!$I$283,'Расчёт'!$I$284,'Расчёт'!$I$285,'Расчёт'!$I$286,'Расчёт'!$I$287,'Расчёт'!$I$288,'Расчёт'!$I$289,'Расчёт'!$I$290,'Расчёт'!$I$291,'Расчёт'!$I$292,'Расчёт'!$I$293,'Расчёт'!$I$294,'Расчёт'!$I$295,'Расчёт'!$I$296,'Расчёт'!$I$297,'Расчёт'!$I$298,'Расчёт'!$I$299)</f>
        <v>2999777262.459283</v>
      </c>
      <c r="I329" s="11"/>
      <c r="J329" s="11"/>
      <c r="K329" s="4" t="str">
        <v>cm⁴</v>
      </c>
      <c r="L329" s="4"/>
    </row>
    <row r="330" ht="28" customHeight="1">
      <c r="A330" s="10" t="str">
        <v>Параметр</v>
      </c>
      <c r="B330" s="10"/>
      <c r="C330" s="10"/>
      <c r="D330" s="10"/>
      <c r="E330" s="10" t="str">
        <v>Фактическое</v>
      </c>
      <c r="F330" s="10"/>
      <c r="G330" s="10"/>
      <c r="H330" s="10" t="str">
        <v>Требуемое</v>
      </c>
      <c r="I330" s="10"/>
      <c r="J330" s="10"/>
      <c r="K330" s="10" t="str">
        <v>Факт./треб.</v>
      </c>
      <c r="L330" s="10"/>
    </row>
    <row r="331" ht="17" customHeight="1">
      <c r="A331" s="4" t="str">
        <v>I, см⁴</v>
      </c>
      <c r="B331" s="4"/>
      <c r="C331" s="4"/>
      <c r="D331" s="4"/>
      <c r="E331" s="15" t="n">
        <f>'Расчёт'!$H$321</f>
        <v>1422267751.2643654</v>
      </c>
      <c r="F331" s="11"/>
      <c r="G331" s="11"/>
      <c r="H331" s="15" t="n">
        <f>'Расчёт'!$H$110</f>
        <v>261737483.48804414</v>
      </c>
      <c r="I331" s="11"/>
      <c r="J331" s="11"/>
      <c r="K331" s="13" t="n">
        <f>'Расчёт'!$H$326</f>
        <v>5.433947527539871</v>
      </c>
      <c r="L331" s="11"/>
    </row>
    <row r="332" ht="17" customHeight="1">
      <c r="A332" s="4" t="str">
        <v>WB, см³</v>
      </c>
      <c r="B332" s="4"/>
      <c r="C332" s="4"/>
      <c r="D332" s="4"/>
      <c r="E332" s="15" t="n">
        <f>'Расчёт'!$H$322</f>
        <v>3687107.555974143</v>
      </c>
      <c r="F332" s="11"/>
      <c r="G332" s="11"/>
      <c r="H332" s="15" t="n">
        <f>'Расчёт'!$H$109</f>
        <v>2401261.3164040744</v>
      </c>
      <c r="I332" s="11"/>
      <c r="J332" s="11"/>
      <c r="K332" s="13" t="n">
        <f>'Расчёт'!$H$324</f>
        <v>1.5354878416546698</v>
      </c>
      <c r="L332" s="11"/>
    </row>
    <row r="333" ht="17" customHeight="1">
      <c r="A333" s="4" t="str">
        <v>WD, см³</v>
      </c>
      <c r="B333" s="4"/>
      <c r="C333" s="4"/>
      <c r="D333" s="4"/>
      <c r="E333" s="15" t="n">
        <f>'Расчёт'!$H$323</f>
        <v>2483580.778532893</v>
      </c>
      <c r="F333" s="11"/>
      <c r="G333" s="11"/>
      <c r="H333" s="15" t="n">
        <f>'Расчёт'!$H$109</f>
        <v>2401261.3164040744</v>
      </c>
      <c r="I333" s="11"/>
      <c r="J333" s="11"/>
      <c r="K333" s="13" t="n">
        <f>'Расчёт'!$H$325</f>
        <v>1.0342817591598457</v>
      </c>
      <c r="L333" s="11"/>
    </row>
  </sheetData>
  <mergeCells>
    <mergeCell ref="A18:L18"/>
    <mergeCell ref="A19:G19"/>
    <mergeCell ref="H19:J19"/>
    <mergeCell ref="K19:L19"/>
    <mergeCell ref="A20:G20"/>
    <mergeCell ref="H20:J20"/>
    <mergeCell ref="K20:L20"/>
    <mergeCell ref="A21:G21"/>
    <mergeCell ref="H21:J21"/>
    <mergeCell ref="K21:L21"/>
    <mergeCell ref="A22:G22"/>
    <mergeCell ref="H22:J22"/>
    <mergeCell ref="K22:L22"/>
    <mergeCell ref="A23:G23"/>
    <mergeCell ref="H23:J23"/>
    <mergeCell ref="K23:L23"/>
    <mergeCell ref="A24:G24"/>
    <mergeCell ref="H24:J24"/>
    <mergeCell ref="K24:L24"/>
    <mergeCell ref="A25:G25"/>
    <mergeCell ref="H25:J25"/>
    <mergeCell ref="K25:L25"/>
    <mergeCell ref="A26:G26"/>
    <mergeCell ref="H26:J26"/>
    <mergeCell ref="K26:L26"/>
    <mergeCell ref="A27:G27"/>
    <mergeCell ref="H27:J27"/>
    <mergeCell ref="K27:L27"/>
    <mergeCell ref="A28:L28"/>
    <mergeCell ref="A29:G29"/>
    <mergeCell ref="H29:J29"/>
    <mergeCell ref="K29:L29"/>
    <mergeCell ref="A30:G30"/>
    <mergeCell ref="H30:J30"/>
    <mergeCell ref="K30:L30"/>
    <mergeCell ref="A31:G31"/>
    <mergeCell ref="H31:J31"/>
    <mergeCell ref="K31:L31"/>
    <mergeCell ref="A32:G32"/>
    <mergeCell ref="H32:J32"/>
    <mergeCell ref="K32:L32"/>
    <mergeCell ref="A33:G33"/>
    <mergeCell ref="H33:J33"/>
    <mergeCell ref="K33:L33"/>
    <mergeCell ref="A34:G34"/>
    <mergeCell ref="H34:J34"/>
    <mergeCell ref="K34:L34"/>
    <mergeCell ref="A35:G35"/>
    <mergeCell ref="H35:J35"/>
    <mergeCell ref="K35:L35"/>
    <mergeCell ref="A36:G36"/>
    <mergeCell ref="H36:J36"/>
    <mergeCell ref="K36:L36"/>
    <mergeCell ref="A37:G37"/>
    <mergeCell ref="H37:J37"/>
    <mergeCell ref="K37:L37"/>
    <mergeCell ref="A38:G38"/>
    <mergeCell ref="H38:J38"/>
    <mergeCell ref="K38:L38"/>
    <mergeCell ref="A39:G39"/>
    <mergeCell ref="H39:J39"/>
    <mergeCell ref="K39:L39"/>
    <mergeCell ref="A40:G40"/>
    <mergeCell ref="H40:J40"/>
    <mergeCell ref="K40:L40"/>
    <mergeCell ref="A41:G41"/>
    <mergeCell ref="H41:J41"/>
    <mergeCell ref="K41:L41"/>
    <mergeCell ref="A42:G42"/>
    <mergeCell ref="H42:J42"/>
    <mergeCell ref="K42:L42"/>
    <mergeCell ref="A43:G43"/>
    <mergeCell ref="H43:J43"/>
    <mergeCell ref="K43:L43"/>
    <mergeCell ref="A44:G44"/>
    <mergeCell ref="H44:J44"/>
    <mergeCell ref="K44:L44"/>
    <mergeCell ref="A45:G45"/>
    <mergeCell ref="H45:J45"/>
    <mergeCell ref="K45:L45"/>
    <mergeCell ref="A46:G46"/>
    <mergeCell ref="H46:J46"/>
    <mergeCell ref="K46:L46"/>
    <mergeCell ref="A47:G47"/>
    <mergeCell ref="H47:J47"/>
    <mergeCell ref="K47:L47"/>
    <mergeCell ref="A48:G48"/>
    <mergeCell ref="H48:J48"/>
    <mergeCell ref="K48:L48"/>
    <mergeCell ref="A49:G49"/>
    <mergeCell ref="H49:J49"/>
    <mergeCell ref="K49:L49"/>
    <mergeCell ref="A50:G50"/>
    <mergeCell ref="H50:J50"/>
    <mergeCell ref="K50:L50"/>
    <mergeCell ref="A51:G51"/>
    <mergeCell ref="H51:J51"/>
    <mergeCell ref="K51:L51"/>
    <mergeCell ref="A52:G52"/>
    <mergeCell ref="H52:J52"/>
    <mergeCell ref="K52:L52"/>
    <mergeCell ref="A53:G53"/>
    <mergeCell ref="H53:J53"/>
    <mergeCell ref="K53:L53"/>
    <mergeCell ref="A54:G54"/>
    <mergeCell ref="H54:J54"/>
    <mergeCell ref="K54:L54"/>
    <mergeCell ref="A55:G55"/>
    <mergeCell ref="H55:J55"/>
    <mergeCell ref="K55:L55"/>
    <mergeCell ref="A56:G56"/>
    <mergeCell ref="H56:J56"/>
    <mergeCell ref="K56:L56"/>
    <mergeCell ref="A57:G57"/>
    <mergeCell ref="H57:J57"/>
    <mergeCell ref="K57:L57"/>
    <mergeCell ref="A58:G58"/>
    <mergeCell ref="H58:J58"/>
    <mergeCell ref="K58:L58"/>
    <mergeCell ref="A59:G59"/>
    <mergeCell ref="H59:J59"/>
    <mergeCell ref="K59:L59"/>
    <mergeCell ref="A60:G60"/>
    <mergeCell ref="H60:J60"/>
    <mergeCell ref="K60:L60"/>
    <mergeCell ref="A61:L61"/>
    <mergeCell ref="A62:G62"/>
    <mergeCell ref="H62:J62"/>
    <mergeCell ref="K62:L62"/>
    <mergeCell ref="A63:G63"/>
    <mergeCell ref="H63:J63"/>
    <mergeCell ref="K63:L63"/>
    <mergeCell ref="A64:G64"/>
    <mergeCell ref="H64:J64"/>
    <mergeCell ref="K64:L64"/>
    <mergeCell ref="A65:G65"/>
    <mergeCell ref="H65:J65"/>
    <mergeCell ref="K65:L65"/>
    <mergeCell ref="A66:G66"/>
    <mergeCell ref="H66:J66"/>
    <mergeCell ref="K66:L66"/>
    <mergeCell ref="A67:G67"/>
    <mergeCell ref="H67:J67"/>
    <mergeCell ref="K67:L67"/>
    <mergeCell ref="A68:G68"/>
    <mergeCell ref="H68:J68"/>
    <mergeCell ref="K68:L68"/>
    <mergeCell ref="A69:G69"/>
    <mergeCell ref="H69:J69"/>
    <mergeCell ref="K69:L69"/>
    <mergeCell ref="A70:L70"/>
    <mergeCell ref="A71:G71"/>
    <mergeCell ref="H71:J71"/>
    <mergeCell ref="K71:L71"/>
    <mergeCell ref="A72:G72"/>
    <mergeCell ref="H72:J72"/>
    <mergeCell ref="K72:L72"/>
    <mergeCell ref="A73:G73"/>
    <mergeCell ref="H73:J73"/>
    <mergeCell ref="K73:L73"/>
    <mergeCell ref="A74:G74"/>
    <mergeCell ref="H74:J74"/>
    <mergeCell ref="K74:L74"/>
    <mergeCell ref="A75:G75"/>
    <mergeCell ref="H75:J75"/>
    <mergeCell ref="K75:L75"/>
    <mergeCell ref="A76:G76"/>
    <mergeCell ref="H76:J76"/>
    <mergeCell ref="K76:L76"/>
    <mergeCell ref="A77:G77"/>
    <mergeCell ref="H77:J77"/>
    <mergeCell ref="K77:L77"/>
    <mergeCell ref="A78:G78"/>
    <mergeCell ref="H78:J78"/>
    <mergeCell ref="K78:L78"/>
    <mergeCell ref="A79:G79"/>
    <mergeCell ref="H79:J79"/>
    <mergeCell ref="K79:L79"/>
    <mergeCell ref="A80:L80"/>
    <mergeCell ref="A81:D81"/>
    <mergeCell ref="E81:F81"/>
    <mergeCell ref="G81:H81"/>
    <mergeCell ref="I81:J81"/>
    <mergeCell ref="K81:L81"/>
    <mergeCell ref="A82:D82"/>
    <mergeCell ref="E82:F82"/>
    <mergeCell ref="G82:H82"/>
    <mergeCell ref="I82:J82"/>
    <mergeCell ref="K82:L82"/>
    <mergeCell ref="A83:D83"/>
    <mergeCell ref="E83:F83"/>
    <mergeCell ref="G83:H83"/>
    <mergeCell ref="I83:J83"/>
    <mergeCell ref="K83:L83"/>
    <mergeCell ref="A84:D84"/>
    <mergeCell ref="E84:F84"/>
    <mergeCell ref="G84:H84"/>
    <mergeCell ref="I84:J84"/>
    <mergeCell ref="K84:L84"/>
    <mergeCell ref="A85:D85"/>
    <mergeCell ref="E85:F85"/>
    <mergeCell ref="G85:H85"/>
    <mergeCell ref="I85:J85"/>
    <mergeCell ref="K85:L85"/>
    <mergeCell ref="A86:D86"/>
    <mergeCell ref="E86:F86"/>
    <mergeCell ref="G86:H86"/>
    <mergeCell ref="I86:J86"/>
    <mergeCell ref="K86:L86"/>
    <mergeCell ref="A87:D87"/>
    <mergeCell ref="E87:F87"/>
    <mergeCell ref="G87:H87"/>
    <mergeCell ref="I87:J87"/>
    <mergeCell ref="K87:L87"/>
    <mergeCell ref="A88:D88"/>
    <mergeCell ref="E88:F88"/>
    <mergeCell ref="G88:H88"/>
    <mergeCell ref="I88:J88"/>
    <mergeCell ref="K88:L88"/>
    <mergeCell ref="A89:D89"/>
    <mergeCell ref="E89:F89"/>
    <mergeCell ref="G89:H89"/>
    <mergeCell ref="I89:J89"/>
    <mergeCell ref="K89:L89"/>
    <mergeCell ref="A90:D90"/>
    <mergeCell ref="E90:F90"/>
    <mergeCell ref="G90:H90"/>
    <mergeCell ref="I90:J90"/>
    <mergeCell ref="K90:L90"/>
    <mergeCell ref="A91:L91"/>
    <mergeCell ref="A92:B92"/>
    <mergeCell ref="H92:I92"/>
    <mergeCell ref="J92:L92"/>
    <mergeCell ref="A93:B93"/>
    <mergeCell ref="H93:I93"/>
    <mergeCell ref="J93:L93"/>
    <mergeCell ref="A94:B94"/>
    <mergeCell ref="H94:I94"/>
    <mergeCell ref="J94:L94"/>
    <mergeCell ref="A95:L95"/>
    <mergeCell ref="A96:G96"/>
    <mergeCell ref="H96:J96"/>
    <mergeCell ref="K96:L96"/>
    <mergeCell ref="A97:G97"/>
    <mergeCell ref="H97:J97"/>
    <mergeCell ref="K97:L97"/>
    <mergeCell ref="A98:G98"/>
    <mergeCell ref="H98:J98"/>
    <mergeCell ref="K98:L98"/>
    <mergeCell ref="A99:G99"/>
    <mergeCell ref="H99:J99"/>
    <mergeCell ref="K99:L99"/>
    <mergeCell ref="A100:G100"/>
    <mergeCell ref="H100:J100"/>
    <mergeCell ref="K100:L100"/>
    <mergeCell ref="A101:G101"/>
    <mergeCell ref="H101:J101"/>
    <mergeCell ref="K101:L101"/>
    <mergeCell ref="A102:G102"/>
    <mergeCell ref="H102:J102"/>
    <mergeCell ref="K102:L102"/>
    <mergeCell ref="A103:G103"/>
    <mergeCell ref="H103:J103"/>
    <mergeCell ref="K103:L103"/>
    <mergeCell ref="A104:G104"/>
    <mergeCell ref="H104:J104"/>
    <mergeCell ref="K104:L104"/>
    <mergeCell ref="A105:G105"/>
    <mergeCell ref="H105:J105"/>
    <mergeCell ref="K105:L105"/>
    <mergeCell ref="A106:G106"/>
    <mergeCell ref="H106:J106"/>
    <mergeCell ref="K106:L106"/>
    <mergeCell ref="A107:G107"/>
    <mergeCell ref="H107:J107"/>
    <mergeCell ref="K107:L107"/>
    <mergeCell ref="A108:G108"/>
    <mergeCell ref="H108:J108"/>
    <mergeCell ref="K108:L108"/>
    <mergeCell ref="A109:G109"/>
    <mergeCell ref="H109:J109"/>
    <mergeCell ref="K109:L109"/>
    <mergeCell ref="A110:G110"/>
    <mergeCell ref="H110:J110"/>
    <mergeCell ref="K110:L110"/>
    <mergeCell ref="A111:L111"/>
    <mergeCell ref="A112:D112"/>
    <mergeCell ref="E112:F112"/>
    <mergeCell ref="G112:H112"/>
    <mergeCell ref="I112:J112"/>
    <mergeCell ref="A113:D113"/>
    <mergeCell ref="E113:F113"/>
    <mergeCell ref="G113:H113"/>
    <mergeCell ref="I113:J113"/>
    <mergeCell ref="A114:D114"/>
    <mergeCell ref="E114:F114"/>
    <mergeCell ref="G114:H114"/>
    <mergeCell ref="I114:J114"/>
    <mergeCell ref="A115:D115"/>
    <mergeCell ref="E115:F115"/>
    <mergeCell ref="G115:H115"/>
    <mergeCell ref="I115:J115"/>
    <mergeCell ref="A116:D116"/>
    <mergeCell ref="E116:F116"/>
    <mergeCell ref="G116:H116"/>
    <mergeCell ref="I116:J116"/>
    <mergeCell ref="A117:D117"/>
    <mergeCell ref="E117:F117"/>
    <mergeCell ref="G117:H117"/>
    <mergeCell ref="I117:J117"/>
    <mergeCell ref="A118:D118"/>
    <mergeCell ref="E118:F118"/>
    <mergeCell ref="G118:H118"/>
    <mergeCell ref="I118:J118"/>
    <mergeCell ref="A119:D119"/>
    <mergeCell ref="E119:F119"/>
    <mergeCell ref="G119:H119"/>
    <mergeCell ref="I119:J119"/>
    <mergeCell ref="A120:D120"/>
    <mergeCell ref="E120:F120"/>
    <mergeCell ref="G120:H120"/>
    <mergeCell ref="I120:J120"/>
    <mergeCell ref="A121:D121"/>
    <mergeCell ref="E121:F121"/>
    <mergeCell ref="G121:H121"/>
    <mergeCell ref="I121:J121"/>
    <mergeCell ref="A122:D122"/>
    <mergeCell ref="E122:F122"/>
    <mergeCell ref="G122:H122"/>
    <mergeCell ref="I122:J122"/>
    <mergeCell ref="A123:B123"/>
    <mergeCell ref="D123:E123"/>
    <mergeCell ref="F123:G123"/>
    <mergeCell ref="H123:I123"/>
    <mergeCell ref="J123:K123"/>
    <mergeCell ref="A124:B124"/>
    <mergeCell ref="D124:E124"/>
    <mergeCell ref="F124:G124"/>
    <mergeCell ref="H124:I124"/>
    <mergeCell ref="J124:K124"/>
    <mergeCell ref="A125:B125"/>
    <mergeCell ref="D125:E125"/>
    <mergeCell ref="F125:G125"/>
    <mergeCell ref="H125:I125"/>
    <mergeCell ref="J125:K125"/>
    <mergeCell ref="A126:B126"/>
    <mergeCell ref="D126:E126"/>
    <mergeCell ref="F126:G126"/>
    <mergeCell ref="H126:I126"/>
    <mergeCell ref="J126:K126"/>
    <mergeCell ref="A127:B127"/>
    <mergeCell ref="D127:E127"/>
    <mergeCell ref="F127:G127"/>
    <mergeCell ref="H127:I127"/>
    <mergeCell ref="J127:K127"/>
    <mergeCell ref="A128:B128"/>
    <mergeCell ref="D128:E128"/>
    <mergeCell ref="F128:G128"/>
    <mergeCell ref="H128:I128"/>
    <mergeCell ref="J128:K128"/>
    <mergeCell ref="A129:B129"/>
    <mergeCell ref="D129:E129"/>
    <mergeCell ref="F129:G129"/>
    <mergeCell ref="H129:I129"/>
    <mergeCell ref="J129:K129"/>
    <mergeCell ref="A130:B130"/>
    <mergeCell ref="D130:E130"/>
    <mergeCell ref="F130:G130"/>
    <mergeCell ref="H130:I130"/>
    <mergeCell ref="J130:K130"/>
    <mergeCell ref="A131:B131"/>
    <mergeCell ref="D131:E131"/>
    <mergeCell ref="F131:G131"/>
    <mergeCell ref="H131:I131"/>
    <mergeCell ref="J131:K131"/>
    <mergeCell ref="A132:B132"/>
    <mergeCell ref="D132:E132"/>
    <mergeCell ref="F132:G132"/>
    <mergeCell ref="H132:I132"/>
    <mergeCell ref="J132:K132"/>
    <mergeCell ref="A133:B133"/>
    <mergeCell ref="D133:E133"/>
    <mergeCell ref="F133:G133"/>
    <mergeCell ref="H133:I133"/>
    <mergeCell ref="J133:K133"/>
    <mergeCell ref="A134:L134"/>
    <mergeCell ref="A135:L135"/>
    <mergeCell ref="A136:L136"/>
    <mergeCell ref="A137:B137"/>
    <mergeCell ref="C137:D137"/>
    <mergeCell ref="E137:F137"/>
    <mergeCell ref="G137:H137"/>
    <mergeCell ref="K137:L137"/>
    <mergeCell ref="A138:B138"/>
    <mergeCell ref="C138:D138"/>
    <mergeCell ref="E138:F138"/>
    <mergeCell ref="G138:H138"/>
    <mergeCell ref="K138:L138"/>
    <mergeCell ref="A139:B139"/>
    <mergeCell ref="C139:D139"/>
    <mergeCell ref="E139:F139"/>
    <mergeCell ref="G139:H139"/>
    <mergeCell ref="K139:L139"/>
    <mergeCell ref="A140:B140"/>
    <mergeCell ref="C140:D140"/>
    <mergeCell ref="E140:F140"/>
    <mergeCell ref="G140:H140"/>
    <mergeCell ref="K140:L140"/>
    <mergeCell ref="A141:B141"/>
    <mergeCell ref="C141:D141"/>
    <mergeCell ref="E141:F141"/>
    <mergeCell ref="G141:H141"/>
    <mergeCell ref="K141:L141"/>
    <mergeCell ref="A142:B142"/>
    <mergeCell ref="C142:D142"/>
    <mergeCell ref="E142:F142"/>
    <mergeCell ref="G142:H142"/>
    <mergeCell ref="K142:L142"/>
    <mergeCell ref="A143:B143"/>
    <mergeCell ref="C143:D143"/>
    <mergeCell ref="E143:F143"/>
    <mergeCell ref="G143:H143"/>
    <mergeCell ref="K143:L143"/>
    <mergeCell ref="A144:B144"/>
    <mergeCell ref="C144:D144"/>
    <mergeCell ref="E144:F144"/>
    <mergeCell ref="G144:H144"/>
    <mergeCell ref="K144:L144"/>
    <mergeCell ref="A145:B145"/>
    <mergeCell ref="C145:D145"/>
    <mergeCell ref="E145:F145"/>
    <mergeCell ref="G145:H145"/>
    <mergeCell ref="K145:L145"/>
    <mergeCell ref="A146:B146"/>
    <mergeCell ref="C146:D146"/>
    <mergeCell ref="E146:F146"/>
    <mergeCell ref="G146:H146"/>
    <mergeCell ref="I146:J146"/>
    <mergeCell ref="K146:L146"/>
    <mergeCell ref="A147:B147"/>
    <mergeCell ref="C147:D147"/>
    <mergeCell ref="E147:F147"/>
    <mergeCell ref="G147:H147"/>
    <mergeCell ref="I147:J147"/>
    <mergeCell ref="K147:L147"/>
    <mergeCell ref="A148:B148"/>
    <mergeCell ref="C148:D148"/>
    <mergeCell ref="E148:F148"/>
    <mergeCell ref="G148:H148"/>
    <mergeCell ref="I148:J148"/>
    <mergeCell ref="K148:L148"/>
    <mergeCell ref="A149:L149"/>
    <mergeCell ref="A150:G150"/>
    <mergeCell ref="H150:J150"/>
    <mergeCell ref="K150:L150"/>
    <mergeCell ref="A151:G151"/>
    <mergeCell ref="H151:J151"/>
    <mergeCell ref="K151:L151"/>
    <mergeCell ref="A152:G152"/>
    <mergeCell ref="H152:J152"/>
    <mergeCell ref="K152:L152"/>
    <mergeCell ref="A153:G153"/>
    <mergeCell ref="H153:J153"/>
    <mergeCell ref="K153:L153"/>
    <mergeCell ref="A154:G154"/>
    <mergeCell ref="H154:J154"/>
    <mergeCell ref="K154:L154"/>
    <mergeCell ref="A155:G155"/>
    <mergeCell ref="H155:J155"/>
    <mergeCell ref="K155:L155"/>
    <mergeCell ref="A156:G156"/>
    <mergeCell ref="H156:J156"/>
    <mergeCell ref="K156:L156"/>
    <mergeCell ref="A157:G157"/>
    <mergeCell ref="H157:J157"/>
    <mergeCell ref="K157:L157"/>
    <mergeCell ref="A158:G158"/>
    <mergeCell ref="H158:J158"/>
    <mergeCell ref="K158:L158"/>
    <mergeCell ref="A159:G159"/>
    <mergeCell ref="H159:J159"/>
    <mergeCell ref="K159:L159"/>
    <mergeCell ref="A160:G160"/>
    <mergeCell ref="H160:J160"/>
    <mergeCell ref="K160:L160"/>
    <mergeCell ref="A161:G161"/>
    <mergeCell ref="H161:J161"/>
    <mergeCell ref="K161:L161"/>
    <mergeCell ref="A162:G162"/>
    <mergeCell ref="H162:J162"/>
    <mergeCell ref="K162:L162"/>
    <mergeCell ref="A163:G163"/>
    <mergeCell ref="H163:J163"/>
    <mergeCell ref="K163:L163"/>
    <mergeCell ref="A164:L164"/>
    <mergeCell ref="A165:L165"/>
    <mergeCell ref="A166:L166"/>
    <mergeCell ref="A167:L167"/>
    <mergeCell ref="A168:L168"/>
    <mergeCell ref="A169:B169"/>
    <mergeCell ref="C169:D169"/>
    <mergeCell ref="E169:F169"/>
    <mergeCell ref="G169:H169"/>
    <mergeCell ref="K169:L169"/>
    <mergeCell ref="A170:B170"/>
    <mergeCell ref="C170:D170"/>
    <mergeCell ref="E170:F170"/>
    <mergeCell ref="G170:H170"/>
    <mergeCell ref="K170:L170"/>
    <mergeCell ref="A171:B171"/>
    <mergeCell ref="C171:D171"/>
    <mergeCell ref="E171:F171"/>
    <mergeCell ref="G171:H171"/>
    <mergeCell ref="K171:L171"/>
    <mergeCell ref="A172:B172"/>
    <mergeCell ref="C172:D172"/>
    <mergeCell ref="E172:F172"/>
    <mergeCell ref="G172:H172"/>
    <mergeCell ref="K172:L172"/>
    <mergeCell ref="A173:B173"/>
    <mergeCell ref="C173:D173"/>
    <mergeCell ref="E173:F173"/>
    <mergeCell ref="G173:H173"/>
    <mergeCell ref="K173:L173"/>
    <mergeCell ref="A174:B174"/>
    <mergeCell ref="C174:D174"/>
    <mergeCell ref="E174:F174"/>
    <mergeCell ref="G174:H174"/>
    <mergeCell ref="K174:L174"/>
    <mergeCell ref="A175:B175"/>
    <mergeCell ref="C175:D175"/>
    <mergeCell ref="E175:F175"/>
    <mergeCell ref="G175:H175"/>
    <mergeCell ref="K175:L175"/>
    <mergeCell ref="A176:B176"/>
    <mergeCell ref="C176:D176"/>
    <mergeCell ref="E176:F176"/>
    <mergeCell ref="G176:H176"/>
    <mergeCell ref="K176:L176"/>
    <mergeCell ref="A177:B177"/>
    <mergeCell ref="C177:D177"/>
    <mergeCell ref="E177:F177"/>
    <mergeCell ref="G177:H177"/>
    <mergeCell ref="K177:L177"/>
    <mergeCell ref="A178:B178"/>
    <mergeCell ref="C178:D178"/>
    <mergeCell ref="E178:F178"/>
    <mergeCell ref="G178:H178"/>
    <mergeCell ref="K178:L178"/>
    <mergeCell ref="A179:B179"/>
    <mergeCell ref="C179:D179"/>
    <mergeCell ref="E179:F179"/>
    <mergeCell ref="G179:H179"/>
    <mergeCell ref="K179:L179"/>
    <mergeCell ref="A180:B180"/>
    <mergeCell ref="C180:D180"/>
    <mergeCell ref="E180:F180"/>
    <mergeCell ref="G180:H180"/>
    <mergeCell ref="K180:L180"/>
    <mergeCell ref="A181:B181"/>
    <mergeCell ref="C181:D181"/>
    <mergeCell ref="E181:F181"/>
    <mergeCell ref="G181:H181"/>
    <mergeCell ref="K181:L181"/>
    <mergeCell ref="A182:B182"/>
    <mergeCell ref="C182:D182"/>
    <mergeCell ref="E182:F182"/>
    <mergeCell ref="G182:H182"/>
    <mergeCell ref="K182:L182"/>
    <mergeCell ref="A183:B183"/>
    <mergeCell ref="C183:D183"/>
    <mergeCell ref="E183:F183"/>
    <mergeCell ref="G183:H183"/>
    <mergeCell ref="K183:L183"/>
    <mergeCell ref="A184:B184"/>
    <mergeCell ref="C184:D184"/>
    <mergeCell ref="E184:F184"/>
    <mergeCell ref="G184:H184"/>
    <mergeCell ref="I184:J184"/>
    <mergeCell ref="K184:L184"/>
    <mergeCell ref="A185:B185"/>
    <mergeCell ref="C185:D185"/>
    <mergeCell ref="E185:F185"/>
    <mergeCell ref="G185:H185"/>
    <mergeCell ref="I185:J185"/>
    <mergeCell ref="K185:L185"/>
    <mergeCell ref="A186:B186"/>
    <mergeCell ref="C186:D186"/>
    <mergeCell ref="E186:F186"/>
    <mergeCell ref="G186:H186"/>
    <mergeCell ref="I186:J186"/>
    <mergeCell ref="K186:L186"/>
    <mergeCell ref="A187:B187"/>
    <mergeCell ref="C187:D187"/>
    <mergeCell ref="E187:F187"/>
    <mergeCell ref="G187:H187"/>
    <mergeCell ref="I187:J187"/>
    <mergeCell ref="K187:L187"/>
    <mergeCell ref="A188:B188"/>
    <mergeCell ref="C188:D188"/>
    <mergeCell ref="E188:F188"/>
    <mergeCell ref="G188:H188"/>
    <mergeCell ref="I188:J188"/>
    <mergeCell ref="K188:L188"/>
    <mergeCell ref="A189:L189"/>
    <mergeCell ref="A190:L190"/>
    <mergeCell ref="A191:L191"/>
    <mergeCell ref="A192:L192"/>
    <mergeCell ref="A193:B193"/>
    <mergeCell ref="C193:D193"/>
    <mergeCell ref="E193:F193"/>
    <mergeCell ref="G193:H193"/>
    <mergeCell ref="K193:L193"/>
    <mergeCell ref="A194:B194"/>
    <mergeCell ref="C194:D194"/>
    <mergeCell ref="E194:F194"/>
    <mergeCell ref="G194:H194"/>
    <mergeCell ref="K194:L194"/>
    <mergeCell ref="A195:B195"/>
    <mergeCell ref="C195:D195"/>
    <mergeCell ref="E195:F195"/>
    <mergeCell ref="G195:H195"/>
    <mergeCell ref="K195:L195"/>
    <mergeCell ref="A196:B196"/>
    <mergeCell ref="C196:D196"/>
    <mergeCell ref="E196:F196"/>
    <mergeCell ref="G196:H196"/>
    <mergeCell ref="K196:L196"/>
    <mergeCell ref="A197:B197"/>
    <mergeCell ref="C197:D197"/>
    <mergeCell ref="E197:F197"/>
    <mergeCell ref="G197:H197"/>
    <mergeCell ref="K197:L197"/>
    <mergeCell ref="A198:B198"/>
    <mergeCell ref="C198:D198"/>
    <mergeCell ref="E198:F198"/>
    <mergeCell ref="G198:H198"/>
    <mergeCell ref="K198:L198"/>
    <mergeCell ref="A199:B199"/>
    <mergeCell ref="C199:D199"/>
    <mergeCell ref="E199:F199"/>
    <mergeCell ref="G199:H199"/>
    <mergeCell ref="K199:L199"/>
    <mergeCell ref="A200:B200"/>
    <mergeCell ref="C200:D200"/>
    <mergeCell ref="E200:F200"/>
    <mergeCell ref="G200:H200"/>
    <mergeCell ref="K200:L200"/>
    <mergeCell ref="A201:B201"/>
    <mergeCell ref="C201:D201"/>
    <mergeCell ref="E201:F201"/>
    <mergeCell ref="G201:H201"/>
    <mergeCell ref="I201:J201"/>
    <mergeCell ref="K201:L201"/>
    <mergeCell ref="A202:B202"/>
    <mergeCell ref="C202:D202"/>
    <mergeCell ref="E202:F202"/>
    <mergeCell ref="G202:H202"/>
    <mergeCell ref="I202:J202"/>
    <mergeCell ref="K202:L202"/>
    <mergeCell ref="A203:B203"/>
    <mergeCell ref="C203:D203"/>
    <mergeCell ref="E203:F203"/>
    <mergeCell ref="G203:H203"/>
    <mergeCell ref="I203:J203"/>
    <mergeCell ref="K203:L203"/>
    <mergeCell ref="A204:B204"/>
    <mergeCell ref="C204:D204"/>
    <mergeCell ref="E204:F204"/>
    <mergeCell ref="G204:H204"/>
    <mergeCell ref="I204:J204"/>
    <mergeCell ref="K204:L204"/>
    <mergeCell ref="A205:B205"/>
    <mergeCell ref="C205:D205"/>
    <mergeCell ref="E205:F205"/>
    <mergeCell ref="G205:H205"/>
    <mergeCell ref="I205:J205"/>
    <mergeCell ref="K205:L205"/>
    <mergeCell ref="A206:B206"/>
    <mergeCell ref="C206:D206"/>
    <mergeCell ref="E206:F206"/>
    <mergeCell ref="G206:H206"/>
    <mergeCell ref="I206:J206"/>
    <mergeCell ref="K206:L206"/>
    <mergeCell ref="A207:B207"/>
    <mergeCell ref="C207:D207"/>
    <mergeCell ref="E207:F207"/>
    <mergeCell ref="G207:H207"/>
    <mergeCell ref="I207:J207"/>
    <mergeCell ref="K207:L207"/>
    <mergeCell ref="A208:B208"/>
    <mergeCell ref="C208:D208"/>
    <mergeCell ref="E208:F208"/>
    <mergeCell ref="G208:H208"/>
    <mergeCell ref="I208:J208"/>
    <mergeCell ref="K208:L208"/>
    <mergeCell ref="A209:L209"/>
    <mergeCell ref="A210:G210"/>
    <mergeCell ref="H210:J210"/>
    <mergeCell ref="K210:L210"/>
    <mergeCell ref="A211:G211"/>
    <mergeCell ref="H211:J211"/>
    <mergeCell ref="K211:L211"/>
    <mergeCell ref="A212:G212"/>
    <mergeCell ref="H212:J212"/>
    <mergeCell ref="K212:L212"/>
    <mergeCell ref="A213:G213"/>
    <mergeCell ref="H213:J213"/>
    <mergeCell ref="K213:L213"/>
    <mergeCell ref="A214:G214"/>
    <mergeCell ref="H214:J214"/>
    <mergeCell ref="K214:L214"/>
    <mergeCell ref="A215:G215"/>
    <mergeCell ref="H215:J215"/>
    <mergeCell ref="K215:L215"/>
    <mergeCell ref="A216:G216"/>
    <mergeCell ref="H216:J216"/>
    <mergeCell ref="K216:L216"/>
    <mergeCell ref="A217:G217"/>
    <mergeCell ref="H217:J217"/>
    <mergeCell ref="K217:L217"/>
    <mergeCell ref="A218:G218"/>
    <mergeCell ref="H218:J218"/>
    <mergeCell ref="K218:L218"/>
    <mergeCell ref="A219:G219"/>
    <mergeCell ref="H219:J219"/>
    <mergeCell ref="K219:L219"/>
    <mergeCell ref="A220:L220"/>
    <mergeCell ref="A221:D221"/>
    <mergeCell ref="E221:F221"/>
    <mergeCell ref="G221:H221"/>
    <mergeCell ref="I221:J221"/>
    <mergeCell ref="K221:L221"/>
    <mergeCell ref="A222:D222"/>
    <mergeCell ref="E222:F222"/>
    <mergeCell ref="G222:H222"/>
    <mergeCell ref="I222:J222"/>
    <mergeCell ref="K222:L222"/>
    <mergeCell ref="A223:D223"/>
    <mergeCell ref="E223:F223"/>
    <mergeCell ref="G223:H223"/>
    <mergeCell ref="I223:J223"/>
    <mergeCell ref="K223:L223"/>
    <mergeCell ref="A224:D224"/>
    <mergeCell ref="E224:F224"/>
    <mergeCell ref="G224:H224"/>
    <mergeCell ref="I224:J224"/>
    <mergeCell ref="K224:L224"/>
    <mergeCell ref="A225:D225"/>
    <mergeCell ref="E225:F225"/>
    <mergeCell ref="G225:H225"/>
    <mergeCell ref="I225:J225"/>
    <mergeCell ref="K225:L225"/>
    <mergeCell ref="A226:D226"/>
    <mergeCell ref="E226:F226"/>
    <mergeCell ref="G226:H226"/>
    <mergeCell ref="I226:J226"/>
    <mergeCell ref="K226:L226"/>
    <mergeCell ref="A227:D227"/>
    <mergeCell ref="E227:F227"/>
    <mergeCell ref="G227:H227"/>
    <mergeCell ref="I227:J227"/>
    <mergeCell ref="K227:L227"/>
    <mergeCell ref="A228:D228"/>
    <mergeCell ref="E228:F228"/>
    <mergeCell ref="G228:H228"/>
    <mergeCell ref="I228:J228"/>
    <mergeCell ref="K228:L228"/>
    <mergeCell ref="A229:D229"/>
    <mergeCell ref="E229:F229"/>
    <mergeCell ref="G229:H229"/>
    <mergeCell ref="I229:J229"/>
    <mergeCell ref="K229:L229"/>
    <mergeCell ref="A230:D230"/>
    <mergeCell ref="E230:F230"/>
    <mergeCell ref="G230:H230"/>
    <mergeCell ref="I230:J230"/>
    <mergeCell ref="K230:L230"/>
    <mergeCell ref="A231:D231"/>
    <mergeCell ref="E231:F231"/>
    <mergeCell ref="G231:H231"/>
    <mergeCell ref="I231:J231"/>
    <mergeCell ref="K231:L231"/>
    <mergeCell ref="A232:D232"/>
    <mergeCell ref="E232:F232"/>
    <mergeCell ref="G232:H232"/>
    <mergeCell ref="I232:J232"/>
    <mergeCell ref="K232:L232"/>
    <mergeCell ref="A233:D233"/>
    <mergeCell ref="E233:F233"/>
    <mergeCell ref="G233:H233"/>
    <mergeCell ref="I233:J233"/>
    <mergeCell ref="K233:L233"/>
    <mergeCell ref="A234:D234"/>
    <mergeCell ref="E234:F234"/>
    <mergeCell ref="G234:H234"/>
    <mergeCell ref="I234:J234"/>
    <mergeCell ref="K234:L234"/>
    <mergeCell ref="A235:D235"/>
    <mergeCell ref="E235:F235"/>
    <mergeCell ref="G235:H235"/>
    <mergeCell ref="I235:J235"/>
    <mergeCell ref="K235:L235"/>
    <mergeCell ref="A236:D236"/>
    <mergeCell ref="E236:F236"/>
    <mergeCell ref="G236:H236"/>
    <mergeCell ref="I236:J236"/>
    <mergeCell ref="K236:L236"/>
    <mergeCell ref="A237:D237"/>
    <mergeCell ref="E237:F237"/>
    <mergeCell ref="G237:H237"/>
    <mergeCell ref="I237:J237"/>
    <mergeCell ref="K237:L237"/>
    <mergeCell ref="A238:D238"/>
    <mergeCell ref="E238:F238"/>
    <mergeCell ref="G238:H238"/>
    <mergeCell ref="I238:J238"/>
    <mergeCell ref="K238:L238"/>
    <mergeCell ref="A239:D239"/>
    <mergeCell ref="E239:F239"/>
    <mergeCell ref="G239:H239"/>
    <mergeCell ref="I239:J239"/>
    <mergeCell ref="K239:L239"/>
    <mergeCell ref="A240:D240"/>
    <mergeCell ref="E240:F240"/>
    <mergeCell ref="G240:H240"/>
    <mergeCell ref="I240:J240"/>
    <mergeCell ref="K240:L240"/>
    <mergeCell ref="A241:D241"/>
    <mergeCell ref="E241:F241"/>
    <mergeCell ref="G241:H241"/>
    <mergeCell ref="I241:J241"/>
    <mergeCell ref="K241:L241"/>
    <mergeCell ref="A242:D242"/>
    <mergeCell ref="E242:F242"/>
    <mergeCell ref="G242:H242"/>
    <mergeCell ref="I242:J242"/>
    <mergeCell ref="K242:L242"/>
    <mergeCell ref="A243:D243"/>
    <mergeCell ref="E243:F243"/>
    <mergeCell ref="G243:H243"/>
    <mergeCell ref="I243:J243"/>
    <mergeCell ref="K243:L243"/>
    <mergeCell ref="A244:D244"/>
    <mergeCell ref="E244:F244"/>
    <mergeCell ref="G244:H244"/>
    <mergeCell ref="I244:J244"/>
    <mergeCell ref="K244:L244"/>
    <mergeCell ref="A245:D245"/>
    <mergeCell ref="E245:F245"/>
    <mergeCell ref="G245:H245"/>
    <mergeCell ref="I245:J245"/>
    <mergeCell ref="K245:L245"/>
    <mergeCell ref="A246:D246"/>
    <mergeCell ref="E246:F246"/>
    <mergeCell ref="G246:H246"/>
    <mergeCell ref="I246:J246"/>
    <mergeCell ref="K246:L246"/>
    <mergeCell ref="A247:D247"/>
    <mergeCell ref="E247:F247"/>
    <mergeCell ref="G247:H247"/>
    <mergeCell ref="I247:J247"/>
    <mergeCell ref="K247:L247"/>
    <mergeCell ref="A248:D248"/>
    <mergeCell ref="E248:F248"/>
    <mergeCell ref="G248:H248"/>
    <mergeCell ref="I248:J248"/>
    <mergeCell ref="K248:L248"/>
    <mergeCell ref="A249:D249"/>
    <mergeCell ref="E249:F249"/>
    <mergeCell ref="G249:H249"/>
    <mergeCell ref="I249:J249"/>
    <mergeCell ref="K249:L249"/>
    <mergeCell ref="A250:D250"/>
    <mergeCell ref="E250:F250"/>
    <mergeCell ref="G250:H250"/>
    <mergeCell ref="I250:J250"/>
    <mergeCell ref="K250:L250"/>
    <mergeCell ref="A251:D251"/>
    <mergeCell ref="E251:F251"/>
    <mergeCell ref="G251:H251"/>
    <mergeCell ref="I251:J251"/>
    <mergeCell ref="K251:L251"/>
    <mergeCell ref="A252:D252"/>
    <mergeCell ref="E252:F252"/>
    <mergeCell ref="G252:H252"/>
    <mergeCell ref="I252:J252"/>
    <mergeCell ref="K252:L252"/>
    <mergeCell ref="A253:D253"/>
    <mergeCell ref="E253:F253"/>
    <mergeCell ref="G253:H253"/>
    <mergeCell ref="I253:J253"/>
    <mergeCell ref="K253:L253"/>
    <mergeCell ref="A254:D254"/>
    <mergeCell ref="E254:F254"/>
    <mergeCell ref="G254:H254"/>
    <mergeCell ref="I254:J254"/>
    <mergeCell ref="K254:L254"/>
    <mergeCell ref="A255:D255"/>
    <mergeCell ref="E255:F255"/>
    <mergeCell ref="G255:H255"/>
    <mergeCell ref="I255:J255"/>
    <mergeCell ref="K255:L255"/>
    <mergeCell ref="A256:D256"/>
    <mergeCell ref="E256:F256"/>
    <mergeCell ref="G256:H256"/>
    <mergeCell ref="I256:J256"/>
    <mergeCell ref="K256:L256"/>
    <mergeCell ref="A257:D257"/>
    <mergeCell ref="E257:F257"/>
    <mergeCell ref="G257:H257"/>
    <mergeCell ref="I257:J257"/>
    <mergeCell ref="K257:L257"/>
    <mergeCell ref="A258:D258"/>
    <mergeCell ref="E258:F258"/>
    <mergeCell ref="G258:H258"/>
    <mergeCell ref="I258:J258"/>
    <mergeCell ref="K258:L258"/>
    <mergeCell ref="A259:D259"/>
    <mergeCell ref="E259:F259"/>
    <mergeCell ref="G259:H259"/>
    <mergeCell ref="I259:J259"/>
    <mergeCell ref="K259:L259"/>
    <mergeCell ref="A260:L260"/>
    <mergeCell ref="A261:B261"/>
    <mergeCell ref="C261:E261"/>
    <mergeCell ref="F261:H261"/>
    <mergeCell ref="I261:L261"/>
    <mergeCell ref="A262:B262"/>
    <mergeCell ref="C262:E262"/>
    <mergeCell ref="F262:H262"/>
    <mergeCell ref="I262:L262"/>
    <mergeCell ref="A263:B263"/>
    <mergeCell ref="C263:E263"/>
    <mergeCell ref="F263:H263"/>
    <mergeCell ref="I263:L263"/>
    <mergeCell ref="A264:B264"/>
    <mergeCell ref="C264:E264"/>
    <mergeCell ref="F264:H264"/>
    <mergeCell ref="I264:L264"/>
    <mergeCell ref="A265:B265"/>
    <mergeCell ref="C265:E265"/>
    <mergeCell ref="F265:H265"/>
    <mergeCell ref="I265:L265"/>
    <mergeCell ref="A266:B266"/>
    <mergeCell ref="C266:E266"/>
    <mergeCell ref="F266:H266"/>
    <mergeCell ref="I266:L266"/>
    <mergeCell ref="A267:B267"/>
    <mergeCell ref="C267:E267"/>
    <mergeCell ref="F267:H267"/>
    <mergeCell ref="I267:L267"/>
    <mergeCell ref="A268:B268"/>
    <mergeCell ref="C268:E268"/>
    <mergeCell ref="F268:H268"/>
    <mergeCell ref="I268:L268"/>
    <mergeCell ref="A269:B269"/>
    <mergeCell ref="C269:E269"/>
    <mergeCell ref="F269:H269"/>
    <mergeCell ref="I269:L269"/>
    <mergeCell ref="A270:B270"/>
    <mergeCell ref="C270:E270"/>
    <mergeCell ref="F270:H270"/>
    <mergeCell ref="I270:L270"/>
    <mergeCell ref="A271:B271"/>
    <mergeCell ref="C271:E271"/>
    <mergeCell ref="F271:H271"/>
    <mergeCell ref="I271:L271"/>
    <mergeCell ref="A272:B272"/>
    <mergeCell ref="C272:E272"/>
    <mergeCell ref="F272:H272"/>
    <mergeCell ref="I272:L272"/>
    <mergeCell ref="A273:B273"/>
    <mergeCell ref="C273:E273"/>
    <mergeCell ref="F273:H273"/>
    <mergeCell ref="I273:L273"/>
    <mergeCell ref="A274:B274"/>
    <mergeCell ref="C274:E274"/>
    <mergeCell ref="F274:H274"/>
    <mergeCell ref="I274:L274"/>
    <mergeCell ref="A275:B275"/>
    <mergeCell ref="C275:E275"/>
    <mergeCell ref="F275:H275"/>
    <mergeCell ref="I275:L275"/>
    <mergeCell ref="A276:B276"/>
    <mergeCell ref="C276:E276"/>
    <mergeCell ref="F276:H276"/>
    <mergeCell ref="I276:L276"/>
    <mergeCell ref="A277:B277"/>
    <mergeCell ref="C277:E277"/>
    <mergeCell ref="F277:H277"/>
    <mergeCell ref="I277:L277"/>
    <mergeCell ref="A278:B278"/>
    <mergeCell ref="C278:E278"/>
    <mergeCell ref="F278:H278"/>
    <mergeCell ref="I278:L278"/>
    <mergeCell ref="A279:B279"/>
    <mergeCell ref="C279:E279"/>
    <mergeCell ref="F279:H279"/>
    <mergeCell ref="I279:L279"/>
    <mergeCell ref="A280:B280"/>
    <mergeCell ref="C280:E280"/>
    <mergeCell ref="F280:H280"/>
    <mergeCell ref="I280:L280"/>
    <mergeCell ref="A281:B281"/>
    <mergeCell ref="C281:E281"/>
    <mergeCell ref="F281:H281"/>
    <mergeCell ref="I281:L281"/>
    <mergeCell ref="A282:B282"/>
    <mergeCell ref="C282:E282"/>
    <mergeCell ref="F282:H282"/>
    <mergeCell ref="I282:L282"/>
    <mergeCell ref="A283:B283"/>
    <mergeCell ref="C283:E283"/>
    <mergeCell ref="F283:H283"/>
    <mergeCell ref="I283:L283"/>
    <mergeCell ref="A284:B284"/>
    <mergeCell ref="C284:E284"/>
    <mergeCell ref="F284:H284"/>
    <mergeCell ref="I284:L284"/>
    <mergeCell ref="A285:B285"/>
    <mergeCell ref="C285:E285"/>
    <mergeCell ref="F285:H285"/>
    <mergeCell ref="I285:L285"/>
    <mergeCell ref="A286:B286"/>
    <mergeCell ref="C286:E286"/>
    <mergeCell ref="F286:H286"/>
    <mergeCell ref="I286:L286"/>
    <mergeCell ref="A287:B287"/>
    <mergeCell ref="C287:E287"/>
    <mergeCell ref="F287:H287"/>
    <mergeCell ref="I287:L287"/>
    <mergeCell ref="A288:B288"/>
    <mergeCell ref="C288:E288"/>
    <mergeCell ref="F288:H288"/>
    <mergeCell ref="I288:L288"/>
    <mergeCell ref="A289:B289"/>
    <mergeCell ref="C289:E289"/>
    <mergeCell ref="F289:H289"/>
    <mergeCell ref="I289:L289"/>
    <mergeCell ref="A290:B290"/>
    <mergeCell ref="C290:E290"/>
    <mergeCell ref="F290:H290"/>
    <mergeCell ref="I290:L290"/>
    <mergeCell ref="A291:B291"/>
    <mergeCell ref="C291:E291"/>
    <mergeCell ref="F291:H291"/>
    <mergeCell ref="I291:L291"/>
    <mergeCell ref="A292:B292"/>
    <mergeCell ref="C292:E292"/>
    <mergeCell ref="F292:H292"/>
    <mergeCell ref="I292:L292"/>
    <mergeCell ref="A293:B293"/>
    <mergeCell ref="C293:E293"/>
    <mergeCell ref="F293:H293"/>
    <mergeCell ref="I293:L293"/>
    <mergeCell ref="A294:B294"/>
    <mergeCell ref="C294:E294"/>
    <mergeCell ref="F294:H294"/>
    <mergeCell ref="I294:L294"/>
    <mergeCell ref="A295:B295"/>
    <mergeCell ref="C295:E295"/>
    <mergeCell ref="F295:H295"/>
    <mergeCell ref="I295:L295"/>
    <mergeCell ref="A296:B296"/>
    <mergeCell ref="C296:E296"/>
    <mergeCell ref="F296:H296"/>
    <mergeCell ref="I296:L296"/>
    <mergeCell ref="A297:B297"/>
    <mergeCell ref="C297:E297"/>
    <mergeCell ref="F297:H297"/>
    <mergeCell ref="I297:L297"/>
    <mergeCell ref="A298:B298"/>
    <mergeCell ref="C298:E298"/>
    <mergeCell ref="F298:H298"/>
    <mergeCell ref="I298:L298"/>
    <mergeCell ref="A299:B299"/>
    <mergeCell ref="C299:E299"/>
    <mergeCell ref="F299:H299"/>
    <mergeCell ref="I299:L299"/>
    <mergeCell ref="A300:L300"/>
    <mergeCell ref="A301:B301"/>
    <mergeCell ref="C301:D301"/>
    <mergeCell ref="E301:F301"/>
    <mergeCell ref="G301:H301"/>
    <mergeCell ref="I301:J301"/>
    <mergeCell ref="K301:L301"/>
    <mergeCell ref="A302:B302"/>
    <mergeCell ref="C302:D302"/>
    <mergeCell ref="E302:F302"/>
    <mergeCell ref="G302:H302"/>
    <mergeCell ref="I302:J302"/>
    <mergeCell ref="K302:L302"/>
    <mergeCell ref="A303:B303"/>
    <mergeCell ref="C303:D303"/>
    <mergeCell ref="E303:F303"/>
    <mergeCell ref="G303:H303"/>
    <mergeCell ref="I303:J303"/>
    <mergeCell ref="K303:L303"/>
    <mergeCell ref="A304:B304"/>
    <mergeCell ref="C304:D304"/>
    <mergeCell ref="E304:F304"/>
    <mergeCell ref="G304:H304"/>
    <mergeCell ref="I304:J304"/>
    <mergeCell ref="K304:L304"/>
    <mergeCell ref="A305:B305"/>
    <mergeCell ref="C305:D305"/>
    <mergeCell ref="E305:F305"/>
    <mergeCell ref="G305:H305"/>
    <mergeCell ref="I305:J305"/>
    <mergeCell ref="K305:L305"/>
    <mergeCell ref="A306:B306"/>
    <mergeCell ref="C306:D306"/>
    <mergeCell ref="E306:F306"/>
    <mergeCell ref="G306:H306"/>
    <mergeCell ref="I306:J306"/>
    <mergeCell ref="K306:L306"/>
    <mergeCell ref="A307:B307"/>
    <mergeCell ref="C307:D307"/>
    <mergeCell ref="E307:F307"/>
    <mergeCell ref="G307:H307"/>
    <mergeCell ref="I307:J307"/>
    <mergeCell ref="K307:L307"/>
    <mergeCell ref="A308:B308"/>
    <mergeCell ref="C308:D308"/>
    <mergeCell ref="E308:F308"/>
    <mergeCell ref="G308:H308"/>
    <mergeCell ref="I308:J308"/>
    <mergeCell ref="K308:L308"/>
    <mergeCell ref="A309:B309"/>
    <mergeCell ref="C309:D309"/>
    <mergeCell ref="E309:F309"/>
    <mergeCell ref="G309:H309"/>
    <mergeCell ref="I309:J309"/>
    <mergeCell ref="K309:L309"/>
    <mergeCell ref="A310:B310"/>
    <mergeCell ref="C310:D310"/>
    <mergeCell ref="E310:F310"/>
    <mergeCell ref="G310:H310"/>
    <mergeCell ref="I310:J310"/>
    <mergeCell ref="K310:L310"/>
    <mergeCell ref="A311:B311"/>
    <mergeCell ref="C311:D311"/>
    <mergeCell ref="E311:F311"/>
    <mergeCell ref="G311:H311"/>
    <mergeCell ref="I311:J311"/>
    <mergeCell ref="K311:L311"/>
    <mergeCell ref="A312:B312"/>
    <mergeCell ref="C312:D312"/>
    <mergeCell ref="E312:F312"/>
    <mergeCell ref="G312:H312"/>
    <mergeCell ref="I312:J312"/>
    <mergeCell ref="K312:L312"/>
    <mergeCell ref="A313:B313"/>
    <mergeCell ref="C313:D313"/>
    <mergeCell ref="E313:F313"/>
    <mergeCell ref="G313:H313"/>
    <mergeCell ref="I313:J313"/>
    <mergeCell ref="K313:L313"/>
    <mergeCell ref="A314:B314"/>
    <mergeCell ref="C314:D314"/>
    <mergeCell ref="E314:F314"/>
    <mergeCell ref="G314:H314"/>
    <mergeCell ref="I314:J314"/>
    <mergeCell ref="K314:L314"/>
    <mergeCell ref="A315:B315"/>
    <mergeCell ref="C315:D315"/>
    <mergeCell ref="E315:F315"/>
    <mergeCell ref="G315:H315"/>
    <mergeCell ref="I315:J315"/>
    <mergeCell ref="K315:L315"/>
    <mergeCell ref="A316:L316"/>
    <mergeCell ref="A317:G317"/>
    <mergeCell ref="H317:J317"/>
    <mergeCell ref="K317:L317"/>
    <mergeCell ref="A318:G318"/>
    <mergeCell ref="H318:J318"/>
    <mergeCell ref="K318:L318"/>
    <mergeCell ref="A319:G319"/>
    <mergeCell ref="H319:J319"/>
    <mergeCell ref="K319:L319"/>
    <mergeCell ref="A320:G320"/>
    <mergeCell ref="H320:J320"/>
    <mergeCell ref="K320:L320"/>
    <mergeCell ref="A321:G321"/>
    <mergeCell ref="H321:J321"/>
    <mergeCell ref="K321:L321"/>
    <mergeCell ref="A322:G322"/>
    <mergeCell ref="H322:J322"/>
    <mergeCell ref="K322:L322"/>
    <mergeCell ref="A323:G323"/>
    <mergeCell ref="H323:J323"/>
    <mergeCell ref="K323:L323"/>
    <mergeCell ref="A324:G324"/>
    <mergeCell ref="H324:J324"/>
    <mergeCell ref="K324:L324"/>
    <mergeCell ref="A325:G325"/>
    <mergeCell ref="H325:J325"/>
    <mergeCell ref="K325:L325"/>
    <mergeCell ref="A326:G326"/>
    <mergeCell ref="H326:J326"/>
    <mergeCell ref="K326:L326"/>
    <mergeCell ref="A327:G327"/>
    <mergeCell ref="H327:J327"/>
    <mergeCell ref="K327:L327"/>
    <mergeCell ref="A328:G328"/>
    <mergeCell ref="H328:J328"/>
    <mergeCell ref="K328:L328"/>
    <mergeCell ref="A329:G329"/>
    <mergeCell ref="H329:J329"/>
    <mergeCell ref="K329:L329"/>
    <mergeCell ref="A330:D330"/>
    <mergeCell ref="E330:G330"/>
    <mergeCell ref="H330:J330"/>
    <mergeCell ref="K330:L330"/>
    <mergeCell ref="A331:D331"/>
    <mergeCell ref="E331:G331"/>
    <mergeCell ref="H331:J331"/>
    <mergeCell ref="K331:L331"/>
    <mergeCell ref="A332:D332"/>
    <mergeCell ref="E332:G332"/>
    <mergeCell ref="H332:J332"/>
    <mergeCell ref="K332:L332"/>
    <mergeCell ref="A333:D333"/>
    <mergeCell ref="E333:G333"/>
    <mergeCell ref="H333:J333"/>
    <mergeCell ref="K333:L333"/>
    <mergeCell ref="A1:L1"/>
    <mergeCell ref="A2:C2"/>
    <mergeCell ref="D2:F2"/>
    <mergeCell ref="G2:I2"/>
    <mergeCell ref="J2:L2"/>
    <mergeCell ref="A3:C3"/>
    <mergeCell ref="D3:F3"/>
    <mergeCell ref="G3:I3"/>
    <mergeCell ref="J3:L3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  <mergeCell ref="A7:F7"/>
    <mergeCell ref="G7:L7"/>
    <mergeCell ref="A8:F8"/>
    <mergeCell ref="G8:L8"/>
    <mergeCell ref="A10:D10"/>
    <mergeCell ref="E10:G10"/>
    <mergeCell ref="H10:J10"/>
    <mergeCell ref="K10:L10"/>
    <mergeCell ref="A11:D11"/>
    <mergeCell ref="E11:G11"/>
    <mergeCell ref="A12:D12"/>
    <mergeCell ref="E12:G12"/>
    <mergeCell ref="H12:J12"/>
    <mergeCell ref="K12:L12"/>
    <mergeCell ref="A13:D13"/>
    <mergeCell ref="E13:G13"/>
    <mergeCell ref="H13:J13"/>
    <mergeCell ref="K13:L13"/>
    <mergeCell ref="A14:D14"/>
    <mergeCell ref="E14:G14"/>
    <mergeCell ref="H14:J14"/>
    <mergeCell ref="K14:L14"/>
  </mergeCells>
  <hyperlinks>
    <hyperlink ref="A2" location="'Расчёт'!A18"/>
    <hyperlink ref="D2" location="'Расчёт'!A61"/>
    <hyperlink ref="G2" location="'Расчёт'!A95"/>
    <hyperlink ref="J2" location="'Расчёт'!A111"/>
    <hyperlink ref="A3" location="'Расчёт'!A134"/>
    <hyperlink ref="D3" location="'Расчёт'!A164"/>
    <hyperlink ref="G3" location="'Расчёт'!A220"/>
    <hyperlink ref="J3" location="'Расчёт'!A316"/>
  </hyperlinks>
  <printOptions horizontalCentered="1" headings="0" gridLines="0"/>
  <pageMargins left="0.3" right="0.3" top="0.35" bottom="0.35" header="0.1" footer="0.15"/>
  <pageSetup paperSize="9" orientation="landscape" fitToWidth="1" fitToHeight="0" useFirstPageNumber="0"/>
</worksheet>
</file>

<file path=xl/worksheets/sheet2.xml><?xml version="1.0" encoding="utf-8"?>
<worksheet xmlns="http://schemas.openxmlformats.org/spreadsheetml/2006/main">
  <sheetPr>
    <outlinePr summaryBelow="0"/>
    <pageSetUpPr fitToPage="1"/>
  </sheetPr>
  <sheetViews>
    <sheetView showGridLines="0" workbookViewId="0" zoomScale="100" showOutlineSymbols="1">
      <pane ySplit="2" topLeftCell="A3" activePane="bottomLeft" state="frozen"/>
    </sheetView>
  </sheetViews>
  <sheetFormatPr defaultRowHeight="15"/>
  <cols>
    <col min="1" max="1" width="11.880000114440918" hidden="0" customWidth="1"/>
    <col min="2" max="2" width="11.880000114440918" hidden="0" customWidth="1"/>
    <col min="3" max="3" width="11.880000114440918" hidden="0" customWidth="1"/>
    <col min="4" max="4" width="11.880000114440918" hidden="0" customWidth="1"/>
    <col min="5" max="5" width="11.880000114440918" hidden="0" customWidth="1"/>
    <col min="6" max="6" width="11.880000114440918" hidden="0" customWidth="1"/>
    <col min="7" max="7" width="11.880000114440918" hidden="0" customWidth="1"/>
    <col min="8" max="8" width="11.880000114440918" hidden="0" customWidth="1"/>
    <col min="9" max="9" width="11.880000114440918" hidden="0" customWidth="1"/>
    <col min="10" max="10" width="11.880000114440918" hidden="0" customWidth="1"/>
    <col min="11" max="11" width="11.880000114440918" hidden="0" customWidth="1"/>
    <col min="12" max="12" width="11.880000114440918" hidden="0" customWidth="1"/>
  </cols>
  <sheetData>
    <row r="1" ht="25" customHeight="1">
      <c r="A1" s="7" t="str">
        <v>Полособульбовые профили HP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ht="28" customHeight="1">
      <c r="A2" s="10" t="str">
        <v>Профиль</v>
      </c>
      <c r="B2" s="10"/>
      <c r="C2" s="10"/>
      <c r="D2" s="10" t="str">
        <v>h, мм</v>
      </c>
      <c r="E2" s="10" t="str">
        <v>s, мм</v>
      </c>
      <c r="F2" s="10" t="str">
        <v>c, мм</v>
      </c>
      <c r="G2" s="10" t="str">
        <v>A, см²</v>
      </c>
      <c r="H2" s="10" t="str">
        <v>G, кг/м</v>
      </c>
      <c r="I2" s="10" t="str">
        <v>y₀, см</v>
      </c>
      <c r="J2" s="10"/>
      <c r="K2" s="10" t="str">
        <v>Ix, см⁴</v>
      </c>
      <c r="L2" s="10"/>
    </row>
    <row r="3" ht="17" customHeight="1">
      <c r="A3" s="4" t="str">
        <v>HP 80x6</v>
      </c>
      <c r="B3" s="4"/>
      <c r="C3" s="4"/>
      <c r="D3" s="12" t="n">
        <v>80</v>
      </c>
      <c r="E3" s="12" t="n">
        <v>6</v>
      </c>
      <c r="F3" s="12" t="n">
        <v>14</v>
      </c>
      <c r="G3" s="13" t="n">
        <v>6.2</v>
      </c>
      <c r="H3" s="13" t="n">
        <v>4.87</v>
      </c>
      <c r="I3" s="13" t="n">
        <v>4.78</v>
      </c>
      <c r="J3" s="11"/>
      <c r="K3" s="12" t="n">
        <v>39</v>
      </c>
      <c r="L3" s="11"/>
    </row>
    <row r="4" ht="17" customHeight="1">
      <c r="A4" s="4" t="str">
        <v>HP 80x7</v>
      </c>
      <c r="B4" s="4"/>
      <c r="C4" s="4"/>
      <c r="D4" s="12" t="n">
        <v>80</v>
      </c>
      <c r="E4" s="12" t="n">
        <v>7</v>
      </c>
      <c r="F4" s="12" t="n">
        <v>14</v>
      </c>
      <c r="G4" s="12" t="n">
        <v>7</v>
      </c>
      <c r="H4" s="13" t="n">
        <v>5.5</v>
      </c>
      <c r="I4" s="13" t="n">
        <v>4.69</v>
      </c>
      <c r="J4" s="11"/>
      <c r="K4" s="13" t="n">
        <v>43.3</v>
      </c>
      <c r="L4" s="11"/>
    </row>
    <row r="5" ht="17" customHeight="1">
      <c r="A5" s="4" t="str">
        <v>HP 100x7</v>
      </c>
      <c r="B5" s="4"/>
      <c r="C5" s="4"/>
      <c r="D5" s="12" t="n">
        <v>100</v>
      </c>
      <c r="E5" s="12" t="n">
        <v>7</v>
      </c>
      <c r="F5" s="13" t="n">
        <v>15.5</v>
      </c>
      <c r="G5" s="13" t="n">
        <v>8.74</v>
      </c>
      <c r="H5" s="13" t="n">
        <v>6.86</v>
      </c>
      <c r="I5" s="13" t="n">
        <v>5.87</v>
      </c>
      <c r="J5" s="11"/>
      <c r="K5" s="13" t="n">
        <v>85.3</v>
      </c>
      <c r="L5" s="11"/>
    </row>
    <row r="6" ht="17" customHeight="1">
      <c r="A6" s="4" t="str">
        <v>HP 100x8</v>
      </c>
      <c r="B6" s="4"/>
      <c r="C6" s="4"/>
      <c r="D6" s="12" t="n">
        <v>100</v>
      </c>
      <c r="E6" s="12" t="n">
        <v>8</v>
      </c>
      <c r="F6" s="13" t="n">
        <v>15.5</v>
      </c>
      <c r="G6" s="13" t="n">
        <v>9.74</v>
      </c>
      <c r="H6" s="13" t="n">
        <v>7.65</v>
      </c>
      <c r="I6" s="13" t="n">
        <v>5.78</v>
      </c>
      <c r="J6" s="11"/>
      <c r="K6" s="13" t="n">
        <v>94.3</v>
      </c>
      <c r="L6" s="11"/>
    </row>
    <row r="7" ht="17" customHeight="1">
      <c r="A7" s="4" t="str">
        <v>HP 120x7</v>
      </c>
      <c r="B7" s="4"/>
      <c r="C7" s="4"/>
      <c r="D7" s="12" t="n">
        <v>120</v>
      </c>
      <c r="E7" s="12" t="n">
        <v>7</v>
      </c>
      <c r="F7" s="12" t="n">
        <v>17</v>
      </c>
      <c r="G7" s="13" t="n">
        <v>10.5</v>
      </c>
      <c r="H7" s="13" t="n">
        <v>8.25</v>
      </c>
      <c r="I7" s="13" t="n">
        <v>7.08</v>
      </c>
      <c r="J7" s="11"/>
      <c r="K7" s="12" t="n">
        <v>148</v>
      </c>
      <c r="L7" s="11"/>
    </row>
    <row r="8" ht="17" customHeight="1">
      <c r="A8" s="4" t="str">
        <v>HP 120x8</v>
      </c>
      <c r="B8" s="4"/>
      <c r="C8" s="4"/>
      <c r="D8" s="12" t="n">
        <v>120</v>
      </c>
      <c r="E8" s="12" t="n">
        <v>8</v>
      </c>
      <c r="F8" s="12" t="n">
        <v>17</v>
      </c>
      <c r="G8" s="13" t="n">
        <v>11.7</v>
      </c>
      <c r="H8" s="13" t="n">
        <v>9.19</v>
      </c>
      <c r="I8" s="13" t="n">
        <v>6.96</v>
      </c>
      <c r="J8" s="11"/>
      <c r="K8" s="12" t="n">
        <v>164</v>
      </c>
      <c r="L8" s="11"/>
    </row>
    <row r="9" ht="17" customHeight="1">
      <c r="A9" s="4" t="str">
        <v>HP 140x7</v>
      </c>
      <c r="B9" s="4"/>
      <c r="C9" s="4"/>
      <c r="D9" s="12" t="n">
        <v>140</v>
      </c>
      <c r="E9" s="12" t="n">
        <v>7</v>
      </c>
      <c r="F9" s="12" t="n">
        <v>19</v>
      </c>
      <c r="G9" s="13" t="n">
        <v>12.6</v>
      </c>
      <c r="H9" s="13" t="n">
        <v>9.74</v>
      </c>
      <c r="I9" s="13" t="n">
        <v>8.31</v>
      </c>
      <c r="J9" s="11"/>
      <c r="K9" s="12" t="n">
        <v>241</v>
      </c>
      <c r="L9" s="11"/>
    </row>
    <row r="10" ht="17" customHeight="1">
      <c r="A10" s="4" t="str">
        <v>HP 140x8</v>
      </c>
      <c r="B10" s="4"/>
      <c r="C10" s="4"/>
      <c r="D10" s="12" t="n">
        <v>140</v>
      </c>
      <c r="E10" s="12" t="n">
        <v>8</v>
      </c>
      <c r="F10" s="12" t="n">
        <v>19</v>
      </c>
      <c r="G10" s="13" t="n">
        <v>13.8</v>
      </c>
      <c r="H10" s="13" t="n">
        <v>10.8</v>
      </c>
      <c r="I10" s="13" t="n">
        <v>8.18</v>
      </c>
      <c r="J10" s="11"/>
      <c r="K10" s="12" t="n">
        <v>266</v>
      </c>
      <c r="L10" s="11"/>
    </row>
    <row r="11" ht="17" customHeight="1">
      <c r="A11" s="4" t="str">
        <v>HP 160x7</v>
      </c>
      <c r="B11" s="4"/>
      <c r="C11" s="4"/>
      <c r="D11" s="12" t="n">
        <v>160</v>
      </c>
      <c r="E11" s="12" t="n">
        <v>7</v>
      </c>
      <c r="F11" s="12" t="n">
        <v>22</v>
      </c>
      <c r="G11" s="13" t="n">
        <v>14.6</v>
      </c>
      <c r="H11" s="13" t="n">
        <v>11.4</v>
      </c>
      <c r="I11" s="13" t="n">
        <v>9.66</v>
      </c>
      <c r="J11" s="11"/>
      <c r="K11" s="12" t="n">
        <v>373</v>
      </c>
      <c r="L11" s="11"/>
    </row>
    <row r="12" ht="17" customHeight="1">
      <c r="A12" s="4" t="str">
        <v>HP 160x8</v>
      </c>
      <c r="B12" s="4"/>
      <c r="C12" s="4"/>
      <c r="D12" s="12" t="n">
        <v>160</v>
      </c>
      <c r="E12" s="12" t="n">
        <v>8</v>
      </c>
      <c r="F12" s="12" t="n">
        <v>22</v>
      </c>
      <c r="G12" s="13" t="n">
        <v>16.2</v>
      </c>
      <c r="H12" s="13" t="n">
        <v>12.7</v>
      </c>
      <c r="I12" s="13" t="n">
        <v>9.49</v>
      </c>
      <c r="J12" s="11"/>
      <c r="K12" s="12" t="n">
        <v>411</v>
      </c>
      <c r="L12" s="11"/>
    </row>
    <row r="13" ht="17" customHeight="1">
      <c r="A13" s="4" t="str">
        <v>HP 160x9</v>
      </c>
      <c r="B13" s="4"/>
      <c r="C13" s="4"/>
      <c r="D13" s="12" t="n">
        <v>160</v>
      </c>
      <c r="E13" s="12" t="n">
        <v>9</v>
      </c>
      <c r="F13" s="12" t="n">
        <v>22</v>
      </c>
      <c r="G13" s="13" t="n">
        <v>17.8</v>
      </c>
      <c r="H13" s="12" t="n">
        <v>14</v>
      </c>
      <c r="I13" s="13" t="n">
        <v>9.36</v>
      </c>
      <c r="J13" s="11"/>
      <c r="K13" s="12" t="n">
        <v>448</v>
      </c>
      <c r="L13" s="11"/>
    </row>
    <row r="14" ht="17" customHeight="1">
      <c r="A14" s="4" t="str">
        <v>HP 180x8</v>
      </c>
      <c r="B14" s="4"/>
      <c r="C14" s="4"/>
      <c r="D14" s="12" t="n">
        <v>180</v>
      </c>
      <c r="E14" s="12" t="n">
        <v>8</v>
      </c>
      <c r="F14" s="12" t="n">
        <v>25</v>
      </c>
      <c r="G14" s="13" t="n">
        <v>18.9</v>
      </c>
      <c r="H14" s="13" t="n">
        <v>14.8</v>
      </c>
      <c r="I14" s="13" t="n">
        <v>10.9</v>
      </c>
      <c r="J14" s="11"/>
      <c r="K14" s="12" t="n">
        <v>609</v>
      </c>
      <c r="L14" s="11"/>
    </row>
    <row r="15" ht="17" customHeight="1">
      <c r="A15" s="4" t="str">
        <v>HP 180x9</v>
      </c>
      <c r="B15" s="4"/>
      <c r="C15" s="4"/>
      <c r="D15" s="12" t="n">
        <v>180</v>
      </c>
      <c r="E15" s="12" t="n">
        <v>9</v>
      </c>
      <c r="F15" s="12" t="n">
        <v>25</v>
      </c>
      <c r="G15" s="13" t="n">
        <v>20.7</v>
      </c>
      <c r="H15" s="13" t="n">
        <v>16.2</v>
      </c>
      <c r="I15" s="13" t="n">
        <v>10.7</v>
      </c>
      <c r="J15" s="11"/>
      <c r="K15" s="12" t="n">
        <v>663</v>
      </c>
      <c r="L15" s="11"/>
    </row>
    <row r="16" ht="17" customHeight="1">
      <c r="A16" s="4" t="str">
        <v>HP 180x10</v>
      </c>
      <c r="B16" s="4"/>
      <c r="C16" s="4"/>
      <c r="D16" s="12" t="n">
        <v>180</v>
      </c>
      <c r="E16" s="12" t="n">
        <v>10</v>
      </c>
      <c r="F16" s="12" t="n">
        <v>25</v>
      </c>
      <c r="G16" s="13" t="n">
        <v>22.5</v>
      </c>
      <c r="H16" s="13" t="n">
        <v>17.6</v>
      </c>
      <c r="I16" s="13" t="n">
        <v>10.6</v>
      </c>
      <c r="J16" s="11"/>
      <c r="K16" s="12" t="n">
        <v>717</v>
      </c>
      <c r="L16" s="11"/>
    </row>
    <row r="17" ht="17" customHeight="1">
      <c r="A17" s="4" t="str">
        <v>HP 200x9</v>
      </c>
      <c r="B17" s="4"/>
      <c r="C17" s="4"/>
      <c r="D17" s="12" t="n">
        <v>200</v>
      </c>
      <c r="E17" s="12" t="n">
        <v>9</v>
      </c>
      <c r="F17" s="12" t="n">
        <v>28</v>
      </c>
      <c r="G17" s="13" t="n">
        <v>23.6</v>
      </c>
      <c r="H17" s="13" t="n">
        <v>18.5</v>
      </c>
      <c r="I17" s="13" t="n">
        <v>12.1</v>
      </c>
      <c r="J17" s="11"/>
      <c r="K17" s="12" t="n">
        <v>941</v>
      </c>
      <c r="L17" s="11"/>
    </row>
    <row r="18" ht="17" customHeight="1">
      <c r="A18" s="4" t="str">
        <v>HP 200x10</v>
      </c>
      <c r="B18" s="4"/>
      <c r="C18" s="4"/>
      <c r="D18" s="12" t="n">
        <v>200</v>
      </c>
      <c r="E18" s="12" t="n">
        <v>10</v>
      </c>
      <c r="F18" s="12" t="n">
        <v>28</v>
      </c>
      <c r="G18" s="13" t="n">
        <v>25.6</v>
      </c>
      <c r="H18" s="13" t="n">
        <v>20.1</v>
      </c>
      <c r="I18" s="13" t="n">
        <v>11.9</v>
      </c>
      <c r="J18" s="11"/>
      <c r="K18" s="12" t="n">
        <v>1020</v>
      </c>
      <c r="L18" s="11"/>
    </row>
    <row r="19" ht="17" customHeight="1">
      <c r="A19" s="4" t="str">
        <v>HP 200x11.5</v>
      </c>
      <c r="B19" s="4"/>
      <c r="C19" s="4"/>
      <c r="D19" s="12" t="n">
        <v>200</v>
      </c>
      <c r="E19" s="13" t="n">
        <v>11.5</v>
      </c>
      <c r="F19" s="12" t="n">
        <v>28</v>
      </c>
      <c r="G19" s="13" t="n">
        <v>28.6</v>
      </c>
      <c r="H19" s="13" t="n">
        <v>22.5</v>
      </c>
      <c r="I19" s="13" t="n">
        <v>11.7</v>
      </c>
      <c r="J19" s="11"/>
      <c r="K19" s="12" t="n">
        <v>1126</v>
      </c>
      <c r="L19" s="11"/>
    </row>
    <row r="20" ht="17" customHeight="1">
      <c r="A20" s="4" t="str">
        <v>HP 220x10</v>
      </c>
      <c r="B20" s="4"/>
      <c r="C20" s="4"/>
      <c r="D20" s="12" t="n">
        <v>220</v>
      </c>
      <c r="E20" s="12" t="n">
        <v>10</v>
      </c>
      <c r="F20" s="12" t="n">
        <v>31</v>
      </c>
      <c r="G20" s="12" t="n">
        <v>29</v>
      </c>
      <c r="H20" s="13" t="n">
        <v>22.8</v>
      </c>
      <c r="I20" s="13" t="n">
        <v>13.4</v>
      </c>
      <c r="J20" s="11"/>
      <c r="K20" s="12" t="n">
        <v>1400</v>
      </c>
      <c r="L20" s="11"/>
    </row>
    <row r="21" ht="17" customHeight="1">
      <c r="A21" s="4" t="str">
        <v>HP 220x11.5</v>
      </c>
      <c r="B21" s="4"/>
      <c r="C21" s="4"/>
      <c r="D21" s="12" t="n">
        <v>220</v>
      </c>
      <c r="E21" s="13" t="n">
        <v>11.5</v>
      </c>
      <c r="F21" s="12" t="n">
        <v>31</v>
      </c>
      <c r="G21" s="13" t="n">
        <v>32.3</v>
      </c>
      <c r="H21" s="13" t="n">
        <v>25.4</v>
      </c>
      <c r="I21" s="13" t="n">
        <v>13.1</v>
      </c>
      <c r="J21" s="11"/>
      <c r="K21" s="12" t="n">
        <v>1550</v>
      </c>
      <c r="L21" s="11"/>
    </row>
    <row r="22" ht="17" customHeight="1">
      <c r="A22" s="4" t="str">
        <v>HP 240x10</v>
      </c>
      <c r="B22" s="4"/>
      <c r="C22" s="4"/>
      <c r="D22" s="12" t="n">
        <v>240</v>
      </c>
      <c r="E22" s="12" t="n">
        <v>10</v>
      </c>
      <c r="F22" s="12" t="n">
        <v>34</v>
      </c>
      <c r="G22" s="13" t="n">
        <v>32.4</v>
      </c>
      <c r="H22" s="13" t="n">
        <v>25.4</v>
      </c>
      <c r="I22" s="13" t="n">
        <v>14.7</v>
      </c>
      <c r="J22" s="11"/>
      <c r="K22" s="12" t="n">
        <v>1860</v>
      </c>
      <c r="L22" s="11"/>
    </row>
    <row r="23" ht="17" customHeight="1">
      <c r="A23" s="4" t="str">
        <v>HP 240x11</v>
      </c>
      <c r="B23" s="4"/>
      <c r="C23" s="4"/>
      <c r="D23" s="12" t="n">
        <v>240</v>
      </c>
      <c r="E23" s="12" t="n">
        <v>11</v>
      </c>
      <c r="F23" s="12" t="n">
        <v>34</v>
      </c>
      <c r="G23" s="13" t="n">
        <v>34.9</v>
      </c>
      <c r="H23" s="13" t="n">
        <v>27.4</v>
      </c>
      <c r="I23" s="13" t="n">
        <v>14.6</v>
      </c>
      <c r="J23" s="11"/>
      <c r="K23" s="12" t="n">
        <v>2000</v>
      </c>
      <c r="L23" s="11"/>
    </row>
    <row r="24" ht="17" customHeight="1">
      <c r="A24" s="4" t="str">
        <v>HP 240x12</v>
      </c>
      <c r="B24" s="4"/>
      <c r="C24" s="4"/>
      <c r="D24" s="12" t="n">
        <v>240</v>
      </c>
      <c r="E24" s="12" t="n">
        <v>12</v>
      </c>
      <c r="F24" s="12" t="n">
        <v>34</v>
      </c>
      <c r="G24" s="13" t="n">
        <v>37.3</v>
      </c>
      <c r="H24" s="13" t="n">
        <v>29.3</v>
      </c>
      <c r="I24" s="13" t="n">
        <v>14.4</v>
      </c>
      <c r="J24" s="11"/>
      <c r="K24" s="12" t="n">
        <v>2130</v>
      </c>
      <c r="L24" s="11"/>
    </row>
    <row r="25" ht="17" customHeight="1">
      <c r="A25" s="4" t="str">
        <v>HP 260x10</v>
      </c>
      <c r="B25" s="4"/>
      <c r="C25" s="4"/>
      <c r="D25" s="12" t="n">
        <v>260</v>
      </c>
      <c r="E25" s="12" t="n">
        <v>10</v>
      </c>
      <c r="F25" s="12" t="n">
        <v>37</v>
      </c>
      <c r="G25" s="13" t="n">
        <v>36.1</v>
      </c>
      <c r="H25" s="13" t="n">
        <v>28.3</v>
      </c>
      <c r="I25" s="13" t="n">
        <v>16.2</v>
      </c>
      <c r="J25" s="11"/>
      <c r="K25" s="12" t="n">
        <v>2477</v>
      </c>
      <c r="L25" s="11"/>
    </row>
    <row r="26" ht="17" customHeight="1">
      <c r="A26" s="4" t="str">
        <v>HP 260x11</v>
      </c>
      <c r="B26" s="4"/>
      <c r="C26" s="4"/>
      <c r="D26" s="12" t="n">
        <v>260</v>
      </c>
      <c r="E26" s="12" t="n">
        <v>11</v>
      </c>
      <c r="F26" s="12" t="n">
        <v>37</v>
      </c>
      <c r="G26" s="13" t="n">
        <v>38.7</v>
      </c>
      <c r="H26" s="13" t="n">
        <v>30.3</v>
      </c>
      <c r="I26" s="12" t="n">
        <v>16</v>
      </c>
      <c r="J26" s="11"/>
      <c r="K26" s="12" t="n">
        <v>2610</v>
      </c>
      <c r="L26" s="11"/>
    </row>
    <row r="27" ht="17" customHeight="1">
      <c r="A27" s="4" t="str">
        <v>HP 260x12</v>
      </c>
      <c r="B27" s="4"/>
      <c r="C27" s="4"/>
      <c r="D27" s="12" t="n">
        <v>260</v>
      </c>
      <c r="E27" s="12" t="n">
        <v>12</v>
      </c>
      <c r="F27" s="12" t="n">
        <v>37</v>
      </c>
      <c r="G27" s="13" t="n">
        <v>41.3</v>
      </c>
      <c r="H27" s="13" t="n">
        <v>32.4</v>
      </c>
      <c r="I27" s="13" t="n">
        <v>15.8</v>
      </c>
      <c r="J27" s="11"/>
      <c r="K27" s="12" t="n">
        <v>2770</v>
      </c>
      <c r="L27" s="11"/>
    </row>
    <row r="28" ht="17" customHeight="1">
      <c r="A28" s="4" t="str">
        <v>HP 280x11</v>
      </c>
      <c r="B28" s="4"/>
      <c r="C28" s="4"/>
      <c r="D28" s="12" t="n">
        <v>280</v>
      </c>
      <c r="E28" s="12" t="n">
        <v>11</v>
      </c>
      <c r="F28" s="12" t="n">
        <v>40</v>
      </c>
      <c r="G28" s="13" t="n">
        <v>42.6</v>
      </c>
      <c r="H28" s="13" t="n">
        <v>33.5</v>
      </c>
      <c r="I28" s="13" t="n">
        <v>17.4</v>
      </c>
      <c r="J28" s="11"/>
      <c r="K28" s="12" t="n">
        <v>3330</v>
      </c>
      <c r="L28" s="11"/>
    </row>
    <row r="29" ht="17" customHeight="1">
      <c r="A29" s="4" t="str">
        <v>HP 280x12</v>
      </c>
      <c r="B29" s="4"/>
      <c r="C29" s="4"/>
      <c r="D29" s="12" t="n">
        <v>280</v>
      </c>
      <c r="E29" s="12" t="n">
        <v>12</v>
      </c>
      <c r="F29" s="12" t="n">
        <v>40</v>
      </c>
      <c r="G29" s="13" t="n">
        <v>45.5</v>
      </c>
      <c r="H29" s="13" t="n">
        <v>35.7</v>
      </c>
      <c r="I29" s="13" t="n">
        <v>17.2</v>
      </c>
      <c r="J29" s="11"/>
      <c r="K29" s="12" t="n">
        <v>3550</v>
      </c>
      <c r="L29" s="11"/>
    </row>
    <row r="30" ht="17" customHeight="1">
      <c r="A30" s="4" t="str">
        <v>HP 300x11</v>
      </c>
      <c r="B30" s="4"/>
      <c r="C30" s="4"/>
      <c r="D30" s="12" t="n">
        <v>300</v>
      </c>
      <c r="E30" s="12" t="n">
        <v>11</v>
      </c>
      <c r="F30" s="12" t="n">
        <v>43</v>
      </c>
      <c r="G30" s="13" t="n">
        <v>46.7</v>
      </c>
      <c r="H30" s="13" t="n">
        <v>36.7</v>
      </c>
      <c r="I30" s="13" t="n">
        <v>18.9</v>
      </c>
      <c r="J30" s="11"/>
      <c r="K30" s="12" t="n">
        <v>4190</v>
      </c>
      <c r="L30" s="11"/>
    </row>
    <row r="31" ht="17" customHeight="1">
      <c r="A31" s="4" t="str">
        <v>HP 300x12</v>
      </c>
      <c r="B31" s="4"/>
      <c r="C31" s="4"/>
      <c r="D31" s="12" t="n">
        <v>300</v>
      </c>
      <c r="E31" s="12" t="n">
        <v>12</v>
      </c>
      <c r="F31" s="12" t="n">
        <v>43</v>
      </c>
      <c r="G31" s="13" t="n">
        <v>49.7</v>
      </c>
      <c r="H31" s="12" t="n">
        <v>39</v>
      </c>
      <c r="I31" s="13" t="n">
        <v>18.7</v>
      </c>
      <c r="J31" s="11"/>
      <c r="K31" s="12" t="n">
        <v>4460</v>
      </c>
      <c r="L31" s="11"/>
    </row>
    <row r="32" ht="17" customHeight="1">
      <c r="A32" s="4" t="str">
        <v>HP 300x13</v>
      </c>
      <c r="B32" s="4"/>
      <c r="C32" s="4"/>
      <c r="D32" s="12" t="n">
        <v>300</v>
      </c>
      <c r="E32" s="12" t="n">
        <v>13</v>
      </c>
      <c r="F32" s="12" t="n">
        <v>43</v>
      </c>
      <c r="G32" s="13" t="n">
        <v>52.8</v>
      </c>
      <c r="H32" s="13" t="n">
        <v>41.5</v>
      </c>
      <c r="I32" s="13" t="n">
        <v>18.5</v>
      </c>
      <c r="J32" s="11"/>
      <c r="K32" s="12" t="n">
        <v>4720</v>
      </c>
      <c r="L32" s="11"/>
    </row>
    <row r="33" ht="17" customHeight="1">
      <c r="A33" s="4" t="str">
        <v>HP 320x12</v>
      </c>
      <c r="B33" s="4"/>
      <c r="C33" s="4"/>
      <c r="D33" s="12" t="n">
        <v>320</v>
      </c>
      <c r="E33" s="12" t="n">
        <v>12</v>
      </c>
      <c r="F33" s="12" t="n">
        <v>46</v>
      </c>
      <c r="G33" s="13" t="n">
        <v>54.2</v>
      </c>
      <c r="H33" s="13" t="n">
        <v>42.5</v>
      </c>
      <c r="I33" s="13" t="n">
        <v>20.1</v>
      </c>
      <c r="J33" s="11"/>
      <c r="K33" s="12" t="n">
        <v>5530</v>
      </c>
      <c r="L33" s="11"/>
    </row>
    <row r="34" ht="17" customHeight="1">
      <c r="A34" s="4" t="str">
        <v>HP 320x13</v>
      </c>
      <c r="B34" s="4"/>
      <c r="C34" s="4"/>
      <c r="D34" s="12" t="n">
        <v>320</v>
      </c>
      <c r="E34" s="12" t="n">
        <v>13</v>
      </c>
      <c r="F34" s="12" t="n">
        <v>46</v>
      </c>
      <c r="G34" s="13" t="n">
        <v>57.4</v>
      </c>
      <c r="H34" s="12" t="n">
        <v>45</v>
      </c>
      <c r="I34" s="13" t="n">
        <v>19.9</v>
      </c>
      <c r="J34" s="11"/>
      <c r="K34" s="12" t="n">
        <v>5850</v>
      </c>
      <c r="L34" s="11"/>
    </row>
    <row r="35" ht="17" customHeight="1">
      <c r="A35" s="4" t="str">
        <v>HP 340x12</v>
      </c>
      <c r="B35" s="4"/>
      <c r="C35" s="4"/>
      <c r="D35" s="12" t="n">
        <v>340</v>
      </c>
      <c r="E35" s="12" t="n">
        <v>12</v>
      </c>
      <c r="F35" s="12" t="n">
        <v>49</v>
      </c>
      <c r="G35" s="13" t="n">
        <v>58.8</v>
      </c>
      <c r="H35" s="13" t="n">
        <v>46.1</v>
      </c>
      <c r="I35" s="13" t="n">
        <v>21.5</v>
      </c>
      <c r="J35" s="11"/>
      <c r="K35" s="12" t="n">
        <v>6760</v>
      </c>
      <c r="L35" s="11"/>
    </row>
    <row r="36" ht="17" customHeight="1">
      <c r="A36" s="4" t="str">
        <v>HP 340x14</v>
      </c>
      <c r="B36" s="4"/>
      <c r="C36" s="4"/>
      <c r="D36" s="12" t="n">
        <v>340</v>
      </c>
      <c r="E36" s="12" t="n">
        <v>14</v>
      </c>
      <c r="F36" s="12" t="n">
        <v>49</v>
      </c>
      <c r="G36" s="13" t="n">
        <v>65.5</v>
      </c>
      <c r="H36" s="13" t="n">
        <v>51.5</v>
      </c>
      <c r="I36" s="13" t="n">
        <v>21.1</v>
      </c>
      <c r="J36" s="11"/>
      <c r="K36" s="12" t="n">
        <v>7540</v>
      </c>
      <c r="L36" s="11"/>
    </row>
    <row r="37" ht="17" customHeight="1">
      <c r="A37" s="4" t="str">
        <v>HP 370x13</v>
      </c>
      <c r="B37" s="4"/>
      <c r="C37" s="4"/>
      <c r="D37" s="12" t="n">
        <v>370</v>
      </c>
      <c r="E37" s="12" t="n">
        <v>13</v>
      </c>
      <c r="F37" s="13" t="n">
        <v>53.5</v>
      </c>
      <c r="G37" s="13" t="n">
        <v>69.6</v>
      </c>
      <c r="H37" s="13" t="n">
        <v>54.6</v>
      </c>
      <c r="I37" s="13" t="n">
        <v>23.5</v>
      </c>
      <c r="J37" s="11"/>
      <c r="K37" s="12" t="n">
        <v>9470</v>
      </c>
      <c r="L37" s="11"/>
    </row>
    <row r="38" ht="17" customHeight="1">
      <c r="A38" s="4" t="str">
        <v>HP 370x15</v>
      </c>
      <c r="B38" s="4"/>
      <c r="C38" s="4"/>
      <c r="D38" s="12" t="n">
        <v>370</v>
      </c>
      <c r="E38" s="12" t="n">
        <v>15</v>
      </c>
      <c r="F38" s="13" t="n">
        <v>53.5</v>
      </c>
      <c r="G38" s="12" t="n">
        <v>77</v>
      </c>
      <c r="H38" s="13" t="n">
        <v>60.5</v>
      </c>
      <c r="I38" s="12" t="n">
        <v>23</v>
      </c>
      <c r="J38" s="11"/>
      <c r="K38" s="12" t="n">
        <v>10490</v>
      </c>
      <c r="L38" s="11"/>
    </row>
    <row r="39" ht="17" customHeight="1">
      <c r="A39" s="4" t="str">
        <v>HP 400x14</v>
      </c>
      <c r="B39" s="4"/>
      <c r="C39" s="4"/>
      <c r="D39" s="12" t="n">
        <v>400</v>
      </c>
      <c r="E39" s="12" t="n">
        <v>14</v>
      </c>
      <c r="F39" s="12" t="n">
        <v>58</v>
      </c>
      <c r="G39" s="13" t="n">
        <v>81.4</v>
      </c>
      <c r="H39" s="13" t="n">
        <v>63.9</v>
      </c>
      <c r="I39" s="13" t="n">
        <v>25.5</v>
      </c>
      <c r="J39" s="11"/>
      <c r="K39" s="12" t="n">
        <v>12930</v>
      </c>
      <c r="L39" s="11"/>
    </row>
    <row r="40" ht="17" customHeight="1">
      <c r="A40" s="4" t="str">
        <v>HP 400x16</v>
      </c>
      <c r="B40" s="4"/>
      <c r="C40" s="4"/>
      <c r="D40" s="12" t="n">
        <v>400</v>
      </c>
      <c r="E40" s="12" t="n">
        <v>16</v>
      </c>
      <c r="F40" s="12" t="n">
        <v>58</v>
      </c>
      <c r="G40" s="13" t="n">
        <v>89.4</v>
      </c>
      <c r="H40" s="13" t="n">
        <v>70.2</v>
      </c>
      <c r="I40" s="12" t="n">
        <v>25</v>
      </c>
      <c r="J40" s="11"/>
      <c r="K40" s="12" t="n">
        <v>14220</v>
      </c>
      <c r="L40" s="11"/>
    </row>
    <row r="41" ht="17" customHeight="1">
      <c r="A41" s="4" t="str">
        <v>HP 430x15</v>
      </c>
      <c r="B41" s="4"/>
      <c r="C41" s="4"/>
      <c r="D41" s="12" t="n">
        <v>430</v>
      </c>
      <c r="E41" s="12" t="n">
        <v>15</v>
      </c>
      <c r="F41" s="13" t="n">
        <v>62.5</v>
      </c>
      <c r="G41" s="13" t="n">
        <v>94.1</v>
      </c>
      <c r="H41" s="13" t="n">
        <v>73.9</v>
      </c>
      <c r="I41" s="13" t="n">
        <v>27.4</v>
      </c>
      <c r="J41" s="11"/>
      <c r="K41" s="12" t="n">
        <v>17260</v>
      </c>
      <c r="L41" s="11"/>
    </row>
    <row r="42" ht="17" customHeight="1">
      <c r="A42" s="4" t="str">
        <v>HP 430x17</v>
      </c>
      <c r="B42" s="4"/>
      <c r="C42" s="4"/>
      <c r="D42" s="12" t="n">
        <v>430</v>
      </c>
      <c r="E42" s="12" t="n">
        <v>17</v>
      </c>
      <c r="F42" s="13" t="n">
        <v>62.5</v>
      </c>
      <c r="G42" s="12" t="n">
        <v>103</v>
      </c>
      <c r="H42" s="13" t="n">
        <v>80.6</v>
      </c>
      <c r="I42" s="13" t="n">
        <v>26.9</v>
      </c>
      <c r="J42" s="11"/>
      <c r="K42" s="12" t="n">
        <v>18860</v>
      </c>
      <c r="L42" s="11"/>
    </row>
  </sheetData>
  <mergeCells>
    <mergeCell ref="A1:L1"/>
    <mergeCell ref="A2:C2"/>
    <mergeCell ref="I2:J2"/>
    <mergeCell ref="K2:L2"/>
    <mergeCell ref="A3:C3"/>
    <mergeCell ref="I3:J3"/>
    <mergeCell ref="K3:L3"/>
    <mergeCell ref="A4:C4"/>
    <mergeCell ref="I4:J4"/>
    <mergeCell ref="K4:L4"/>
    <mergeCell ref="A5:C5"/>
    <mergeCell ref="I5:J5"/>
    <mergeCell ref="K5:L5"/>
    <mergeCell ref="A6:C6"/>
    <mergeCell ref="I6:J6"/>
    <mergeCell ref="K6:L6"/>
    <mergeCell ref="A7:C7"/>
    <mergeCell ref="I7:J7"/>
    <mergeCell ref="K7:L7"/>
    <mergeCell ref="A8:C8"/>
    <mergeCell ref="I8:J8"/>
    <mergeCell ref="K8:L8"/>
    <mergeCell ref="A9:C9"/>
    <mergeCell ref="I9:J9"/>
    <mergeCell ref="K9:L9"/>
    <mergeCell ref="A10:C10"/>
    <mergeCell ref="I10:J10"/>
    <mergeCell ref="K10:L10"/>
    <mergeCell ref="A11:C11"/>
    <mergeCell ref="I11:J11"/>
    <mergeCell ref="K11:L11"/>
    <mergeCell ref="A12:C12"/>
    <mergeCell ref="I12:J12"/>
    <mergeCell ref="K12:L12"/>
    <mergeCell ref="A13:C13"/>
    <mergeCell ref="I13:J13"/>
    <mergeCell ref="K13:L13"/>
    <mergeCell ref="A14:C14"/>
    <mergeCell ref="I14:J14"/>
    <mergeCell ref="K14:L14"/>
    <mergeCell ref="A15:C15"/>
    <mergeCell ref="I15:J15"/>
    <mergeCell ref="K15:L15"/>
    <mergeCell ref="A16:C16"/>
    <mergeCell ref="I16:J16"/>
    <mergeCell ref="K16:L16"/>
    <mergeCell ref="A17:C17"/>
    <mergeCell ref="I17:J17"/>
    <mergeCell ref="K17:L17"/>
    <mergeCell ref="A18:C18"/>
    <mergeCell ref="I18:J18"/>
    <mergeCell ref="K18:L18"/>
    <mergeCell ref="A19:C19"/>
    <mergeCell ref="I19:J19"/>
    <mergeCell ref="K19:L19"/>
    <mergeCell ref="A20:C20"/>
    <mergeCell ref="I20:J20"/>
    <mergeCell ref="K20:L20"/>
    <mergeCell ref="A21:C21"/>
    <mergeCell ref="I21:J21"/>
    <mergeCell ref="K21:L21"/>
    <mergeCell ref="A22:C22"/>
    <mergeCell ref="I22:J22"/>
    <mergeCell ref="K22:L22"/>
    <mergeCell ref="A23:C23"/>
    <mergeCell ref="I23:J23"/>
    <mergeCell ref="K23:L23"/>
    <mergeCell ref="A24:C24"/>
    <mergeCell ref="I24:J24"/>
    <mergeCell ref="K24:L24"/>
    <mergeCell ref="A25:C25"/>
    <mergeCell ref="I25:J25"/>
    <mergeCell ref="K25:L25"/>
    <mergeCell ref="A26:C26"/>
    <mergeCell ref="I26:J26"/>
    <mergeCell ref="K26:L26"/>
    <mergeCell ref="A27:C27"/>
    <mergeCell ref="I27:J27"/>
    <mergeCell ref="K27:L27"/>
    <mergeCell ref="A28:C28"/>
    <mergeCell ref="I28:J28"/>
    <mergeCell ref="K28:L28"/>
    <mergeCell ref="A29:C29"/>
    <mergeCell ref="I29:J29"/>
    <mergeCell ref="K29:L29"/>
    <mergeCell ref="A30:C30"/>
    <mergeCell ref="I30:J30"/>
    <mergeCell ref="K30:L30"/>
    <mergeCell ref="A31:C31"/>
    <mergeCell ref="I31:J31"/>
    <mergeCell ref="K31:L31"/>
    <mergeCell ref="A32:C32"/>
    <mergeCell ref="I32:J32"/>
    <mergeCell ref="K32:L32"/>
    <mergeCell ref="A33:C33"/>
    <mergeCell ref="I33:J33"/>
    <mergeCell ref="K33:L33"/>
    <mergeCell ref="A34:C34"/>
    <mergeCell ref="I34:J34"/>
    <mergeCell ref="K34:L34"/>
    <mergeCell ref="A35:C35"/>
    <mergeCell ref="I35:J35"/>
    <mergeCell ref="K35:L35"/>
    <mergeCell ref="A36:C36"/>
    <mergeCell ref="I36:J36"/>
    <mergeCell ref="K36:L36"/>
    <mergeCell ref="A37:C37"/>
    <mergeCell ref="I37:J37"/>
    <mergeCell ref="K37:L37"/>
    <mergeCell ref="A38:C38"/>
    <mergeCell ref="I38:J38"/>
    <mergeCell ref="K38:L38"/>
    <mergeCell ref="A39:C39"/>
    <mergeCell ref="I39:J39"/>
    <mergeCell ref="K39:L39"/>
    <mergeCell ref="A40:C40"/>
    <mergeCell ref="I40:J40"/>
    <mergeCell ref="K40:L40"/>
    <mergeCell ref="A41:C41"/>
    <mergeCell ref="I41:J41"/>
    <mergeCell ref="K41:L41"/>
    <mergeCell ref="A42:C42"/>
    <mergeCell ref="I42:J42"/>
    <mergeCell ref="K42:L42"/>
  </mergeCells>
  <printOptions horizontalCentered="1" headings="0" gridLines="0"/>
  <pageMargins left="0.3" right="0.3" top="0.35" bottom="0.35" header="0.1" footer="0.15"/>
  <pageSetup paperSize="9" orientation="landscape" fitToWidth="1" fitToHeight="0" useFirstPageNumber="0"/>
</worksheet>
</file>